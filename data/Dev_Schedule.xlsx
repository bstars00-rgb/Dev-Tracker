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ohmylab-my.sharepoint.com/personal/jw_yoon_ohmyhotel_com/Documents/Microsoft Teams 채팅 파일/"/>
    </mc:Choice>
  </mc:AlternateContent>
  <xr:revisionPtr revIDLastSave="0" documentId="8_{CDD4A023-86F7-427B-84CE-887D44E5B148}" xr6:coauthVersionLast="47" xr6:coauthVersionMax="47" xr10:uidLastSave="{00000000-0000-0000-0000-000000000000}"/>
  <bookViews>
    <workbookView xWindow="-110" yWindow="-110" windowWidth="29020" windowHeight="17500" tabRatio="648" firstSheet="2" activeTab="2" xr2:uid="{00000000-000D-0000-FFFF-FFFF00000000}"/>
  </bookViews>
  <sheets>
    <sheet name="트래블마트 통합" sheetId="27" r:id="rId1"/>
    <sheet name="일정 체크리스트" sheetId="28" r:id="rId2"/>
    <sheet name="Dev Tracker" sheetId="29" r:id="rId3"/>
    <sheet name="마진변동 트래킹" sheetId="11" r:id="rId4"/>
    <sheet name="계약변경" sheetId="21" r:id="rId5"/>
    <sheet name="Mapping Schedule" sheetId="23" r:id="rId6"/>
    <sheet name="Jane" sheetId="19" r:id="rId7"/>
    <sheet name="Grace" sheetId="18" r:id="rId8"/>
    <sheet name="Award" sheetId="22" r:id="rId9"/>
    <sheet name="CRM" sheetId="9" r:id="rId10"/>
    <sheet name="Jasmine" sheetId="20" r:id="rId11"/>
    <sheet name="Ben" sheetId="13" r:id="rId12"/>
    <sheet name="Bryant" sheetId="24" r:id="rId13"/>
  </sheets>
  <definedNames>
    <definedName name="_xlnm._FilterDatabase" localSheetId="9" hidden="1">CRM!$A$2:$AJ$384</definedName>
    <definedName name="_xlnm._FilterDatabase" localSheetId="2" hidden="1">'Dev Tracker'!$A$3:$AK$100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9" l="1"/>
  <c r="B9" i="29"/>
  <c r="K9" i="29" a="1"/>
  <c r="K9" i="29"/>
  <c r="N9" i="29"/>
  <c r="K101" i="29" a="1"/>
  <c r="K101" i="29"/>
  <c r="L101" i="29"/>
  <c r="M101" i="29"/>
  <c r="N101" i="29"/>
  <c r="B101" i="29"/>
  <c r="K77" i="29" a="1"/>
  <c r="K77" i="29"/>
  <c r="A101" i="29"/>
  <c r="L14" i="29"/>
  <c r="K14" i="29" a="1"/>
  <c r="K14" i="29"/>
  <c r="K15" i="29" a="1"/>
  <c r="K15" i="29"/>
  <c r="B14" i="29"/>
  <c r="N14" i="29"/>
  <c r="L55" i="29"/>
  <c r="K55" i="29" a="1"/>
  <c r="K55" i="29" s="1"/>
  <c r="B55" i="29"/>
  <c r="A55" i="29"/>
  <c r="L54" i="29"/>
  <c r="K54" i="29" a="1"/>
  <c r="K54" i="29" s="1"/>
  <c r="B54" i="29"/>
  <c r="A54" i="29"/>
  <c r="L53" i="29"/>
  <c r="K53" i="29" a="1"/>
  <c r="K53" i="29" s="1"/>
  <c r="B53" i="29"/>
  <c r="A53" i="29"/>
  <c r="L52" i="29"/>
  <c r="K52" i="29" a="1"/>
  <c r="K52" i="29" s="1"/>
  <c r="B52" i="29"/>
  <c r="A52" i="29"/>
  <c r="L51" i="29"/>
  <c r="K51" i="29" a="1"/>
  <c r="K51" i="29" s="1"/>
  <c r="B51" i="29"/>
  <c r="A51" i="29"/>
  <c r="L50" i="29"/>
  <c r="K50" i="29" a="1"/>
  <c r="K50" i="29" s="1"/>
  <c r="B50" i="29"/>
  <c r="A50" i="29"/>
  <c r="E57" i="28"/>
  <c r="H95" i="28"/>
  <c r="I95" i="28"/>
  <c r="A95" i="28"/>
  <c r="B95" i="28"/>
  <c r="C95" i="28"/>
  <c r="D95" i="28"/>
  <c r="E95" i="28"/>
  <c r="H94" i="28"/>
  <c r="I94" i="28"/>
  <c r="A94" i="28"/>
  <c r="B94" i="28"/>
  <c r="C94" i="28"/>
  <c r="D94" i="28"/>
  <c r="E94" i="28"/>
  <c r="H93" i="28"/>
  <c r="I93" i="28"/>
  <c r="A93" i="28"/>
  <c r="B93" i="28"/>
  <c r="C93" i="28"/>
  <c r="D93" i="28"/>
  <c r="E93" i="28"/>
  <c r="H92" i="28"/>
  <c r="I92" i="28"/>
  <c r="A92" i="28"/>
  <c r="B92" i="28"/>
  <c r="C92" i="28"/>
  <c r="D92" i="28"/>
  <c r="E92" i="28"/>
  <c r="H91" i="28"/>
  <c r="I91" i="28"/>
  <c r="A91" i="28"/>
  <c r="B91" i="28"/>
  <c r="C91" i="28"/>
  <c r="D91" i="28"/>
  <c r="E91" i="28"/>
  <c r="H90" i="28"/>
  <c r="I90" i="28"/>
  <c r="A90" i="28"/>
  <c r="B90" i="28"/>
  <c r="C90" i="28"/>
  <c r="D90" i="28"/>
  <c r="E90" i="28"/>
  <c r="H89" i="28"/>
  <c r="I89" i="28"/>
  <c r="A89" i="28"/>
  <c r="B89" i="28"/>
  <c r="C89" i="28"/>
  <c r="D89" i="28"/>
  <c r="E89" i="28"/>
  <c r="H88" i="28"/>
  <c r="I88" i="28"/>
  <c r="A88" i="28"/>
  <c r="B88" i="28"/>
  <c r="C88" i="28"/>
  <c r="D88" i="28"/>
  <c r="E88" i="28"/>
  <c r="H87" i="28"/>
  <c r="I87" i="28"/>
  <c r="A87" i="28"/>
  <c r="B87" i="28"/>
  <c r="C87" i="28"/>
  <c r="D87" i="28"/>
  <c r="E87" i="28"/>
  <c r="H86" i="28"/>
  <c r="I86" i="28"/>
  <c r="A86" i="28"/>
  <c r="B86" i="28"/>
  <c r="C86" i="28"/>
  <c r="D86" i="28"/>
  <c r="E86" i="28"/>
  <c r="H85" i="28"/>
  <c r="I85" i="28"/>
  <c r="A85" i="28"/>
  <c r="B85" i="28"/>
  <c r="C85" i="28"/>
  <c r="D85" i="28"/>
  <c r="E85" i="28"/>
  <c r="H84" i="28"/>
  <c r="I84" i="28"/>
  <c r="A84" i="28"/>
  <c r="B84" i="28"/>
  <c r="C84" i="28"/>
  <c r="D84" i="28"/>
  <c r="E84" i="28"/>
  <c r="H83" i="28"/>
  <c r="I83" i="28"/>
  <c r="A83" i="28"/>
  <c r="B83" i="28"/>
  <c r="C83" i="28"/>
  <c r="D83" i="28"/>
  <c r="E83" i="28"/>
  <c r="H82" i="28"/>
  <c r="I82" i="28"/>
  <c r="A82" i="28"/>
  <c r="B82" i="28"/>
  <c r="C82" i="28"/>
  <c r="D82" i="28"/>
  <c r="E82" i="28"/>
  <c r="H81" i="28"/>
  <c r="I81" i="28"/>
  <c r="A81" i="28"/>
  <c r="B81" i="28"/>
  <c r="C81" i="28"/>
  <c r="D81" i="28"/>
  <c r="E81" i="28"/>
  <c r="H80" i="28"/>
  <c r="I80" i="28"/>
  <c r="A80" i="28"/>
  <c r="B80" i="28"/>
  <c r="C80" i="28"/>
  <c r="D80" i="28"/>
  <c r="E80" i="28"/>
  <c r="H79" i="28"/>
  <c r="I79" i="28"/>
  <c r="A79" i="28"/>
  <c r="B79" i="28"/>
  <c r="C79" i="28"/>
  <c r="D79" i="28"/>
  <c r="E79" i="28"/>
  <c r="H78" i="28"/>
  <c r="I78" i="28"/>
  <c r="A78" i="28"/>
  <c r="B78" i="28"/>
  <c r="C78" i="28"/>
  <c r="D78" i="28"/>
  <c r="E78" i="28"/>
  <c r="H77" i="28"/>
  <c r="I77" i="28"/>
  <c r="A77" i="28"/>
  <c r="B77" i="28"/>
  <c r="C77" i="28"/>
  <c r="D77" i="28"/>
  <c r="E77" i="28"/>
  <c r="H76" i="28"/>
  <c r="I76" i="28"/>
  <c r="A76" i="28"/>
  <c r="B76" i="28"/>
  <c r="C76" i="28"/>
  <c r="D76" i="28"/>
  <c r="E76" i="28"/>
  <c r="H75" i="28"/>
  <c r="I75" i="28"/>
  <c r="A75" i="28"/>
  <c r="B75" i="28"/>
  <c r="C75" i="28"/>
  <c r="D75" i="28"/>
  <c r="E75" i="28"/>
  <c r="H74" i="28"/>
  <c r="I74" i="28"/>
  <c r="A74" i="28"/>
  <c r="B74" i="28"/>
  <c r="C74" i="28"/>
  <c r="D74" i="28"/>
  <c r="E74" i="28"/>
  <c r="H73" i="28"/>
  <c r="I73" i="28"/>
  <c r="A73" i="28"/>
  <c r="B73" i="28"/>
  <c r="C73" i="28"/>
  <c r="D73" i="28"/>
  <c r="E73" i="28"/>
  <c r="H72" i="28"/>
  <c r="I72" i="28"/>
  <c r="A72" i="28"/>
  <c r="B72" i="28"/>
  <c r="C72" i="28"/>
  <c r="D72" i="28"/>
  <c r="E72" i="28"/>
  <c r="H71" i="28"/>
  <c r="I71" i="28"/>
  <c r="A71" i="28"/>
  <c r="B71" i="28"/>
  <c r="C71" i="28"/>
  <c r="D71" i="28"/>
  <c r="E71" i="28"/>
  <c r="H70" i="28"/>
  <c r="I70" i="28"/>
  <c r="A70" i="28"/>
  <c r="B70" i="28"/>
  <c r="C70" i="28"/>
  <c r="D70" i="28"/>
  <c r="E70" i="28"/>
  <c r="H69" i="28"/>
  <c r="I69" i="28"/>
  <c r="A69" i="28"/>
  <c r="B69" i="28"/>
  <c r="C69" i="28"/>
  <c r="D69" i="28"/>
  <c r="E69" i="28"/>
  <c r="H68" i="28"/>
  <c r="I68" i="28"/>
  <c r="A68" i="28"/>
  <c r="B68" i="28"/>
  <c r="C68" i="28"/>
  <c r="D68" i="28"/>
  <c r="E68" i="28"/>
  <c r="A5" i="29"/>
  <c r="A6" i="29"/>
  <c r="A7" i="29"/>
  <c r="A8" i="29"/>
  <c r="A10" i="29"/>
  <c r="A11" i="29"/>
  <c r="A12" i="29"/>
  <c r="A13"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L100" i="29"/>
  <c r="K100" i="29" a="1"/>
  <c r="K100" i="29" s="1"/>
  <c r="B100" i="29" s="1"/>
  <c r="L99" i="29"/>
  <c r="K99" i="29" a="1"/>
  <c r="K99" i="29" s="1"/>
  <c r="B99" i="29" s="1"/>
  <c r="L98" i="29"/>
  <c r="K98" i="29" a="1"/>
  <c r="K98" i="29" s="1"/>
  <c r="B98" i="29" s="1"/>
  <c r="L97" i="29"/>
  <c r="K97" i="29" a="1"/>
  <c r="K97" i="29" s="1"/>
  <c r="B97" i="29" s="1"/>
  <c r="L96" i="29"/>
  <c r="K96" i="29" a="1"/>
  <c r="K96" i="29" s="1"/>
  <c r="B96" i="29" s="1"/>
  <c r="L95" i="29"/>
  <c r="K95" i="29" a="1"/>
  <c r="K95" i="29" s="1"/>
  <c r="B95" i="29" s="1"/>
  <c r="L94" i="29"/>
  <c r="K94" i="29" a="1"/>
  <c r="K94" i="29" s="1"/>
  <c r="B94" i="29" s="1"/>
  <c r="L93" i="29"/>
  <c r="K93" i="29" a="1"/>
  <c r="K93" i="29" s="1"/>
  <c r="B93" i="29" s="1"/>
  <c r="L92" i="29"/>
  <c r="K92" i="29" a="1"/>
  <c r="K92" i="29" s="1"/>
  <c r="B92" i="29" s="1"/>
  <c r="L91" i="29"/>
  <c r="K91" i="29" a="1"/>
  <c r="K91" i="29" s="1"/>
  <c r="B91" i="29" s="1"/>
  <c r="L90" i="29"/>
  <c r="K90" i="29" a="1"/>
  <c r="K90" i="29" s="1"/>
  <c r="B90" i="29" s="1"/>
  <c r="L89" i="29"/>
  <c r="K89" i="29" a="1"/>
  <c r="K89" i="29" s="1"/>
  <c r="B89" i="29" s="1"/>
  <c r="L88" i="29"/>
  <c r="K88" i="29" a="1"/>
  <c r="K88" i="29" s="1"/>
  <c r="B88" i="29" s="1"/>
  <c r="L87" i="29"/>
  <c r="K87" i="29" a="1"/>
  <c r="K87" i="29" s="1"/>
  <c r="B87" i="29" s="1"/>
  <c r="L86" i="29"/>
  <c r="K86" i="29" a="1"/>
  <c r="K86" i="29" s="1"/>
  <c r="B86" i="29" s="1"/>
  <c r="L85" i="29"/>
  <c r="K85" i="29" a="1"/>
  <c r="K85" i="29" s="1"/>
  <c r="B85" i="29" s="1"/>
  <c r="L84" i="29"/>
  <c r="K84" i="29" a="1"/>
  <c r="K84" i="29" s="1"/>
  <c r="B84" i="29" s="1"/>
  <c r="L83" i="29"/>
  <c r="K83" i="29" a="1"/>
  <c r="K83" i="29" s="1"/>
  <c r="B83" i="29" s="1"/>
  <c r="L82" i="29"/>
  <c r="K82" i="29" a="1"/>
  <c r="K82" i="29" s="1"/>
  <c r="B82" i="29" s="1"/>
  <c r="L81" i="29"/>
  <c r="K81" i="29" a="1"/>
  <c r="K81" i="29" s="1"/>
  <c r="B81" i="29" s="1"/>
  <c r="L80" i="29"/>
  <c r="K80" i="29" a="1"/>
  <c r="K80" i="29" s="1"/>
  <c r="B80" i="29" s="1"/>
  <c r="L79" i="29"/>
  <c r="K79" i="29" a="1"/>
  <c r="K79" i="29" s="1"/>
  <c r="L78" i="29"/>
  <c r="K78" i="29" a="1"/>
  <c r="K78" i="29" s="1"/>
  <c r="L77" i="29"/>
  <c r="L76" i="29"/>
  <c r="K76" i="29" a="1"/>
  <c r="K76" i="29" s="1"/>
  <c r="B76" i="29" s="1"/>
  <c r="L75" i="29"/>
  <c r="K75" i="29" a="1"/>
  <c r="K75" i="29" s="1"/>
  <c r="L74" i="29"/>
  <c r="K74" i="29" a="1"/>
  <c r="K74" i="29" s="1"/>
  <c r="L73" i="29"/>
  <c r="K73" i="29" a="1"/>
  <c r="K73" i="29" s="1"/>
  <c r="L72" i="29"/>
  <c r="K72" i="29" a="1"/>
  <c r="K72" i="29" s="1"/>
  <c r="L71" i="29"/>
  <c r="K71" i="29" a="1"/>
  <c r="K71" i="29" s="1"/>
  <c r="L70" i="29"/>
  <c r="B70" i="29" s="1"/>
  <c r="K70" i="29" a="1"/>
  <c r="K70" i="29" s="1"/>
  <c r="L69" i="29"/>
  <c r="B69" i="29" s="1"/>
  <c r="K69" i="29" a="1"/>
  <c r="K69" i="29" s="1"/>
  <c r="L68" i="29"/>
  <c r="B68" i="29" s="1"/>
  <c r="K68" i="29" a="1"/>
  <c r="K68" i="29" s="1"/>
  <c r="L67" i="29"/>
  <c r="K67" i="29" a="1"/>
  <c r="K67" i="29" s="1"/>
  <c r="L66" i="29"/>
  <c r="B66" i="29" s="1"/>
  <c r="K66" i="29" a="1"/>
  <c r="K66" i="29" s="1"/>
  <c r="L65" i="29"/>
  <c r="B65" i="29" s="1"/>
  <c r="K65" i="29" a="1"/>
  <c r="K65" i="29" s="1"/>
  <c r="L64" i="29"/>
  <c r="B64" i="29" s="1"/>
  <c r="K64" i="29" a="1"/>
  <c r="K64" i="29" s="1"/>
  <c r="L63" i="29"/>
  <c r="B63" i="29" s="1"/>
  <c r="K63" i="29" a="1"/>
  <c r="K63" i="29" s="1"/>
  <c r="L62" i="29"/>
  <c r="B62" i="29" s="1"/>
  <c r="K62" i="29" a="1"/>
  <c r="K62" i="29" s="1"/>
  <c r="L61" i="29"/>
  <c r="B61" i="29" s="1"/>
  <c r="K61" i="29" a="1"/>
  <c r="K61" i="29" s="1"/>
  <c r="L60" i="29"/>
  <c r="B60" i="29" s="1"/>
  <c r="K60" i="29" a="1"/>
  <c r="K60" i="29" s="1"/>
  <c r="L59" i="29"/>
  <c r="B59" i="29" s="1"/>
  <c r="K59" i="29" a="1"/>
  <c r="K59" i="29" s="1"/>
  <c r="L58" i="29"/>
  <c r="B58" i="29" s="1"/>
  <c r="K58" i="29" a="1"/>
  <c r="K58" i="29" s="1"/>
  <c r="L57" i="29"/>
  <c r="B57" i="29" s="1"/>
  <c r="K57" i="29" a="1"/>
  <c r="K57" i="29" s="1"/>
  <c r="L56" i="29"/>
  <c r="B56" i="29" s="1"/>
  <c r="K56" i="29" a="1"/>
  <c r="K56" i="29" s="1"/>
  <c r="L49" i="29"/>
  <c r="B49" i="29" s="1"/>
  <c r="K49" i="29" a="1"/>
  <c r="K49" i="29" s="1"/>
  <c r="L48" i="29"/>
  <c r="K48" i="29" a="1"/>
  <c r="K48" i="29" s="1"/>
  <c r="L47" i="29"/>
  <c r="K47" i="29" a="1"/>
  <c r="K47" i="29" s="1"/>
  <c r="L46" i="29"/>
  <c r="B46" i="29" s="1"/>
  <c r="K46" i="29" a="1"/>
  <c r="K46" i="29" s="1"/>
  <c r="L45" i="29"/>
  <c r="K45" i="29" a="1"/>
  <c r="K45" i="29" s="1"/>
  <c r="L44" i="29"/>
  <c r="B44" i="29" s="1"/>
  <c r="K44" i="29" a="1"/>
  <c r="K44" i="29" s="1"/>
  <c r="L43" i="29"/>
  <c r="K43" i="29" a="1"/>
  <c r="K43" i="29" s="1"/>
  <c r="L42" i="29"/>
  <c r="K42" i="29" a="1"/>
  <c r="K42" i="29" s="1"/>
  <c r="L41" i="29"/>
  <c r="B41" i="29" s="1"/>
  <c r="K41" i="29" a="1"/>
  <c r="K41" i="29" s="1"/>
  <c r="L40" i="29"/>
  <c r="B40" i="29" s="1"/>
  <c r="K40" i="29" a="1"/>
  <c r="K40" i="29" s="1"/>
  <c r="L39" i="29"/>
  <c r="B39" i="29" s="1"/>
  <c r="K39" i="29" a="1"/>
  <c r="K39" i="29" s="1"/>
  <c r="L38" i="29"/>
  <c r="B38" i="29" s="1"/>
  <c r="K38" i="29" a="1"/>
  <c r="K38" i="29" s="1"/>
  <c r="L37" i="29"/>
  <c r="B37" i="29" s="1"/>
  <c r="K37" i="29" a="1"/>
  <c r="K37" i="29" s="1"/>
  <c r="L36" i="29"/>
  <c r="B36" i="29" s="1"/>
  <c r="K36" i="29" a="1"/>
  <c r="K36" i="29" s="1"/>
  <c r="L35" i="29"/>
  <c r="K35" i="29" a="1"/>
  <c r="K35" i="29" s="1"/>
  <c r="L34" i="29"/>
  <c r="B34" i="29" s="1"/>
  <c r="K34" i="29" a="1"/>
  <c r="K34" i="29" s="1"/>
  <c r="L33" i="29"/>
  <c r="K33" i="29" a="1"/>
  <c r="K33" i="29" s="1"/>
  <c r="L32" i="29"/>
  <c r="B32" i="29" s="1"/>
  <c r="K32" i="29" a="1"/>
  <c r="K32" i="29" s="1"/>
  <c r="L31" i="29"/>
  <c r="K31" i="29" a="1"/>
  <c r="K31" i="29" s="1"/>
  <c r="L30" i="29"/>
  <c r="K30" i="29" a="1"/>
  <c r="K30" i="29" s="1"/>
  <c r="L29" i="29"/>
  <c r="K29" i="29" a="1"/>
  <c r="K29" i="29" s="1"/>
  <c r="L28" i="29"/>
  <c r="K28" i="29" a="1"/>
  <c r="K28" i="29" s="1"/>
  <c r="L27" i="29"/>
  <c r="K27" i="29" a="1"/>
  <c r="K27" i="29" s="1"/>
  <c r="L26" i="29"/>
  <c r="K26" i="29" a="1"/>
  <c r="K26" i="29" s="1"/>
  <c r="L25" i="29"/>
  <c r="B25" i="29" s="1"/>
  <c r="K25" i="29" a="1"/>
  <c r="K25" i="29" s="1"/>
  <c r="L24" i="29"/>
  <c r="B24" i="29" s="1"/>
  <c r="K24" i="29" a="1"/>
  <c r="K24" i="29" s="1"/>
  <c r="L23" i="29"/>
  <c r="K23" i="29" a="1"/>
  <c r="K23" i="29" s="1"/>
  <c r="L22" i="29"/>
  <c r="B22" i="29" s="1"/>
  <c r="K22" i="29" a="1"/>
  <c r="K22" i="29" s="1"/>
  <c r="L21" i="29"/>
  <c r="B21" i="29" s="1"/>
  <c r="K21" i="29" a="1"/>
  <c r="K21" i="29" s="1"/>
  <c r="L20" i="29"/>
  <c r="K20" i="29" a="1"/>
  <c r="K20" i="29" s="1"/>
  <c r="L19" i="29"/>
  <c r="K19" i="29" a="1"/>
  <c r="K19" i="29" s="1"/>
  <c r="L18" i="29"/>
  <c r="B18" i="29" s="1"/>
  <c r="K18" i="29" a="1"/>
  <c r="K18" i="29" s="1"/>
  <c r="L17" i="29"/>
  <c r="B17" i="29" s="1"/>
  <c r="K17" i="29" a="1"/>
  <c r="K17" i="29" s="1"/>
  <c r="L16" i="29"/>
  <c r="B16" i="29" s="1"/>
  <c r="K16" i="29" a="1"/>
  <c r="K16" i="29" s="1"/>
  <c r="L15" i="29"/>
  <c r="B15" i="29" s="1"/>
  <c r="L13" i="29"/>
  <c r="K13" i="29" a="1"/>
  <c r="K13" i="29" s="1"/>
  <c r="L12" i="29"/>
  <c r="B12" i="29" s="1"/>
  <c r="K12" i="29" a="1"/>
  <c r="K12" i="29" s="1"/>
  <c r="L11" i="29"/>
  <c r="B11" i="29" s="1"/>
  <c r="K11" i="29" a="1"/>
  <c r="K11" i="29" s="1"/>
  <c r="L10" i="29"/>
  <c r="B10" i="29" s="1"/>
  <c r="K10" i="29" a="1"/>
  <c r="K10" i="29" s="1"/>
  <c r="L8" i="29"/>
  <c r="B8" i="29" s="1"/>
  <c r="K8" i="29" a="1"/>
  <c r="K8" i="29" s="1"/>
  <c r="L7" i="29"/>
  <c r="B7" i="29" s="1"/>
  <c r="K7" i="29" a="1"/>
  <c r="K7" i="29" s="1"/>
  <c r="L6" i="29"/>
  <c r="B6" i="29" s="1"/>
  <c r="K6" i="29" a="1"/>
  <c r="K6" i="29" s="1"/>
  <c r="L5" i="29"/>
  <c r="K5" i="29" a="1"/>
  <c r="K5" i="29" s="1"/>
  <c r="L4" i="29"/>
  <c r="B4" i="29" s="1"/>
  <c r="K4" i="29" a="1"/>
  <c r="K4" i="29"/>
  <c r="A4" i="29"/>
  <c r="I48" i="28"/>
  <c r="H48" i="28"/>
  <c r="E48" i="28"/>
  <c r="D48" i="28"/>
  <c r="B48" i="28"/>
  <c r="A48" i="28"/>
  <c r="A4" i="28"/>
  <c r="B4" i="28"/>
  <c r="C4" i="28"/>
  <c r="D4" i="28"/>
  <c r="E4" i="28"/>
  <c r="H4" i="28"/>
  <c r="I4" i="28"/>
  <c r="A5" i="28"/>
  <c r="B5" i="28"/>
  <c r="C5" i="28"/>
  <c r="D5" i="28"/>
  <c r="E5" i="28"/>
  <c r="H5" i="28"/>
  <c r="I5" i="28"/>
  <c r="A6" i="28"/>
  <c r="B6" i="28"/>
  <c r="C6" i="28"/>
  <c r="D6" i="28"/>
  <c r="E6" i="28"/>
  <c r="H6" i="28"/>
  <c r="I6" i="28"/>
  <c r="A7" i="28"/>
  <c r="B7" i="28"/>
  <c r="C7" i="28"/>
  <c r="D7" i="28"/>
  <c r="E7" i="28"/>
  <c r="H7" i="28"/>
  <c r="I7" i="28"/>
  <c r="A8" i="28"/>
  <c r="B8" i="28"/>
  <c r="C8" i="28"/>
  <c r="D8" i="28"/>
  <c r="E8" i="28"/>
  <c r="H8" i="28"/>
  <c r="I8" i="28"/>
  <c r="A9" i="28"/>
  <c r="B9" i="28"/>
  <c r="C9" i="28"/>
  <c r="D9" i="28"/>
  <c r="E9" i="28"/>
  <c r="H9" i="28"/>
  <c r="I9" i="28"/>
  <c r="A10" i="28"/>
  <c r="B10" i="28"/>
  <c r="C10" i="28"/>
  <c r="D10" i="28"/>
  <c r="E10" i="28"/>
  <c r="H10" i="28"/>
  <c r="I10" i="28"/>
  <c r="A11" i="28"/>
  <c r="B11" i="28"/>
  <c r="C11" i="28"/>
  <c r="D11" i="28"/>
  <c r="E11" i="28"/>
  <c r="H11" i="28"/>
  <c r="I11" i="28"/>
  <c r="A12" i="28"/>
  <c r="B12" i="28"/>
  <c r="C12" i="28"/>
  <c r="D12" i="28"/>
  <c r="E12" i="28"/>
  <c r="H12" i="28"/>
  <c r="I12" i="28"/>
  <c r="A13" i="28"/>
  <c r="B13" i="28"/>
  <c r="C13" i="28"/>
  <c r="D13" i="28"/>
  <c r="E13" i="28"/>
  <c r="H13" i="28"/>
  <c r="I13" i="28"/>
  <c r="A14" i="28"/>
  <c r="B14" i="28"/>
  <c r="C14" i="28"/>
  <c r="D14" i="28"/>
  <c r="E14" i="28"/>
  <c r="H14" i="28"/>
  <c r="I14" i="28"/>
  <c r="A15" i="28"/>
  <c r="B15" i="28"/>
  <c r="C15" i="28"/>
  <c r="D15" i="28"/>
  <c r="E15" i="28"/>
  <c r="H15" i="28"/>
  <c r="I15" i="28"/>
  <c r="A16" i="28"/>
  <c r="B16" i="28"/>
  <c r="C16" i="28"/>
  <c r="D16" i="28"/>
  <c r="E16" i="28"/>
  <c r="H16" i="28"/>
  <c r="I16" i="28"/>
  <c r="A17" i="28"/>
  <c r="B17" i="28"/>
  <c r="C17" i="28"/>
  <c r="D17" i="28"/>
  <c r="E17" i="28"/>
  <c r="H17" i="28"/>
  <c r="I17" i="28"/>
  <c r="A18" i="28"/>
  <c r="B18" i="28"/>
  <c r="C18" i="28"/>
  <c r="D18" i="28"/>
  <c r="E18" i="28"/>
  <c r="H18" i="28"/>
  <c r="I18" i="28"/>
  <c r="A19" i="28"/>
  <c r="B19" i="28"/>
  <c r="C19" i="28"/>
  <c r="D19" i="28"/>
  <c r="E19" i="28"/>
  <c r="H19" i="28"/>
  <c r="I19" i="28"/>
  <c r="A20" i="28"/>
  <c r="B20" i="28"/>
  <c r="C20" i="28"/>
  <c r="D20" i="28"/>
  <c r="E20" i="28"/>
  <c r="H20" i="28"/>
  <c r="I20" i="28"/>
  <c r="A21" i="28"/>
  <c r="B21" i="28"/>
  <c r="C21" i="28"/>
  <c r="D21" i="28"/>
  <c r="E21" i="28"/>
  <c r="H21" i="28"/>
  <c r="I21" i="28"/>
  <c r="A22" i="28"/>
  <c r="B22" i="28"/>
  <c r="C22" i="28"/>
  <c r="D22" i="28"/>
  <c r="E22" i="28"/>
  <c r="H22" i="28"/>
  <c r="I22" i="28"/>
  <c r="A23" i="28"/>
  <c r="B23" i="28"/>
  <c r="C23" i="28"/>
  <c r="D23" i="28"/>
  <c r="E23" i="28"/>
  <c r="H23" i="28"/>
  <c r="I23" i="28"/>
  <c r="A24" i="28"/>
  <c r="B24" i="28"/>
  <c r="C24" i="28"/>
  <c r="D24" i="28"/>
  <c r="E24" i="28"/>
  <c r="H24" i="28"/>
  <c r="I24" i="28"/>
  <c r="A25" i="28"/>
  <c r="B25" i="28"/>
  <c r="C25" i="28"/>
  <c r="D25" i="28"/>
  <c r="E25" i="28"/>
  <c r="H25" i="28"/>
  <c r="I25" i="28"/>
  <c r="A26" i="28"/>
  <c r="B26" i="28"/>
  <c r="C26" i="28"/>
  <c r="D26" i="28"/>
  <c r="E26" i="28"/>
  <c r="H26" i="28"/>
  <c r="I26" i="28"/>
  <c r="A27" i="28"/>
  <c r="B27" i="28"/>
  <c r="C27" i="28"/>
  <c r="D27" i="28"/>
  <c r="E27" i="28"/>
  <c r="H27" i="28"/>
  <c r="I27" i="28"/>
  <c r="A28" i="28"/>
  <c r="B28" i="28"/>
  <c r="C28" i="28"/>
  <c r="D28" i="28"/>
  <c r="E28" i="28"/>
  <c r="H28" i="28"/>
  <c r="I28" i="28"/>
  <c r="A29" i="28"/>
  <c r="B29" i="28"/>
  <c r="C29" i="28"/>
  <c r="D29" i="28"/>
  <c r="E29" i="28"/>
  <c r="H29" i="28"/>
  <c r="I29" i="28"/>
  <c r="A30" i="28"/>
  <c r="B30" i="28"/>
  <c r="C30" i="28"/>
  <c r="D30" i="28"/>
  <c r="E30" i="28"/>
  <c r="H30" i="28"/>
  <c r="I30" i="28"/>
  <c r="A31" i="28"/>
  <c r="B31" i="28"/>
  <c r="C31" i="28"/>
  <c r="D31" i="28"/>
  <c r="E31" i="28"/>
  <c r="H31" i="28"/>
  <c r="I31" i="28"/>
  <c r="A32" i="28"/>
  <c r="B32" i="28"/>
  <c r="C32" i="28"/>
  <c r="D32" i="28"/>
  <c r="E32" i="28"/>
  <c r="H32" i="28"/>
  <c r="I32" i="28"/>
  <c r="A33" i="28"/>
  <c r="B33" i="28"/>
  <c r="C33" i="28"/>
  <c r="D33" i="28"/>
  <c r="E33" i="28"/>
  <c r="H33" i="28"/>
  <c r="I33" i="28"/>
  <c r="A34" i="28"/>
  <c r="B34" i="28"/>
  <c r="C34" i="28"/>
  <c r="D34" i="28"/>
  <c r="E34" i="28"/>
  <c r="H34" i="28"/>
  <c r="I34" i="28"/>
  <c r="A35" i="28"/>
  <c r="B35" i="28"/>
  <c r="C35" i="28"/>
  <c r="D35" i="28"/>
  <c r="E35" i="28"/>
  <c r="H35" i="28"/>
  <c r="I35" i="28"/>
  <c r="A36" i="28"/>
  <c r="B36" i="28"/>
  <c r="C36" i="28"/>
  <c r="D36" i="28"/>
  <c r="E36" i="28"/>
  <c r="H36" i="28"/>
  <c r="I36" i="28"/>
  <c r="A37" i="28"/>
  <c r="B37" i="28"/>
  <c r="C37" i="28"/>
  <c r="D37" i="28"/>
  <c r="E37" i="28"/>
  <c r="H37" i="28"/>
  <c r="I37" i="28"/>
  <c r="A38" i="28"/>
  <c r="B38" i="28"/>
  <c r="C38" i="28"/>
  <c r="D38" i="28"/>
  <c r="E38" i="28"/>
  <c r="H38" i="28"/>
  <c r="I38" i="28"/>
  <c r="A39" i="28"/>
  <c r="B39" i="28"/>
  <c r="C39" i="28"/>
  <c r="D39" i="28"/>
  <c r="E39" i="28"/>
  <c r="H39" i="28"/>
  <c r="I39" i="28"/>
  <c r="A40" i="28"/>
  <c r="B40" i="28"/>
  <c r="C40" i="28"/>
  <c r="D40" i="28"/>
  <c r="E40" i="28"/>
  <c r="H40" i="28"/>
  <c r="I40" i="28"/>
  <c r="A41" i="28"/>
  <c r="B41" i="28"/>
  <c r="C41" i="28"/>
  <c r="D41" i="28"/>
  <c r="E41" i="28"/>
  <c r="H41" i="28"/>
  <c r="I41" i="28"/>
  <c r="A42" i="28"/>
  <c r="B42" i="28"/>
  <c r="C42" i="28"/>
  <c r="D42" i="28"/>
  <c r="E42" i="28"/>
  <c r="H42" i="28"/>
  <c r="I42" i="28"/>
  <c r="A43" i="28"/>
  <c r="B43" i="28"/>
  <c r="C43" i="28"/>
  <c r="D43" i="28"/>
  <c r="E43" i="28"/>
  <c r="H43" i="28"/>
  <c r="I43" i="28"/>
  <c r="A44" i="28"/>
  <c r="B44" i="28"/>
  <c r="C44" i="28"/>
  <c r="D44" i="28"/>
  <c r="E44" i="28"/>
  <c r="H44" i="28"/>
  <c r="I44" i="28"/>
  <c r="A45" i="28"/>
  <c r="B45" i="28"/>
  <c r="C45" i="28"/>
  <c r="D45" i="28"/>
  <c r="E45" i="28"/>
  <c r="H45" i="28"/>
  <c r="I45" i="28"/>
  <c r="A46" i="28"/>
  <c r="B46" i="28"/>
  <c r="C46" i="28"/>
  <c r="D46" i="28"/>
  <c r="E46" i="28"/>
  <c r="H46" i="28"/>
  <c r="I46" i="28"/>
  <c r="A47" i="28"/>
  <c r="B47" i="28"/>
  <c r="C47" i="28"/>
  <c r="D47" i="28"/>
  <c r="E47" i="28"/>
  <c r="H47" i="28"/>
  <c r="I47" i="28"/>
  <c r="A49" i="28"/>
  <c r="B49" i="28"/>
  <c r="C49" i="28"/>
  <c r="D49" i="28"/>
  <c r="E49" i="28"/>
  <c r="H49" i="28"/>
  <c r="I49" i="28"/>
  <c r="A50" i="28"/>
  <c r="B50" i="28"/>
  <c r="C50" i="28"/>
  <c r="D50" i="28"/>
  <c r="E50" i="28"/>
  <c r="H50" i="28"/>
  <c r="I50" i="28"/>
  <c r="A51" i="28"/>
  <c r="B51" i="28"/>
  <c r="C51" i="28"/>
  <c r="D51" i="28"/>
  <c r="E51" i="28"/>
  <c r="H51" i="28"/>
  <c r="I51" i="28"/>
  <c r="A52" i="28"/>
  <c r="B52" i="28"/>
  <c r="C52" i="28"/>
  <c r="D52" i="28"/>
  <c r="E52" i="28"/>
  <c r="H52" i="28"/>
  <c r="I52" i="28"/>
  <c r="A53" i="28"/>
  <c r="B53" i="28"/>
  <c r="C53" i="28"/>
  <c r="D53" i="28"/>
  <c r="E53" i="28"/>
  <c r="H53" i="28"/>
  <c r="I53" i="28"/>
  <c r="A54" i="28"/>
  <c r="B54" i="28"/>
  <c r="C54" i="28"/>
  <c r="D54" i="28"/>
  <c r="E54" i="28"/>
  <c r="H54" i="28"/>
  <c r="I54" i="28"/>
  <c r="A55" i="28"/>
  <c r="B55" i="28"/>
  <c r="C55" i="28"/>
  <c r="D55" i="28"/>
  <c r="E55" i="28"/>
  <c r="H55" i="28"/>
  <c r="I55" i="28"/>
  <c r="A56" i="28"/>
  <c r="B56" i="28"/>
  <c r="C56" i="28"/>
  <c r="D56" i="28"/>
  <c r="E56" i="28"/>
  <c r="H56" i="28"/>
  <c r="I56" i="28"/>
  <c r="A57" i="28"/>
  <c r="B57" i="28"/>
  <c r="C57" i="28"/>
  <c r="D57" i="28"/>
  <c r="H57" i="28"/>
  <c r="I57" i="28"/>
  <c r="A58" i="28"/>
  <c r="B58" i="28"/>
  <c r="C58" i="28"/>
  <c r="D58" i="28"/>
  <c r="E58" i="28"/>
  <c r="H58" i="28"/>
  <c r="I58" i="28"/>
  <c r="A59" i="28"/>
  <c r="B59" i="28"/>
  <c r="C59" i="28"/>
  <c r="D59" i="28"/>
  <c r="E59" i="28"/>
  <c r="H59" i="28"/>
  <c r="I59" i="28"/>
  <c r="A60" i="28"/>
  <c r="B60" i="28"/>
  <c r="C60" i="28"/>
  <c r="D60" i="28"/>
  <c r="E60" i="28"/>
  <c r="H60" i="28"/>
  <c r="I60" i="28"/>
  <c r="A61" i="28"/>
  <c r="B61" i="28"/>
  <c r="C61" i="28"/>
  <c r="D61" i="28"/>
  <c r="E61" i="28"/>
  <c r="H61" i="28"/>
  <c r="I61" i="28"/>
  <c r="A62" i="28"/>
  <c r="B62" i="28"/>
  <c r="C62" i="28"/>
  <c r="D62" i="28"/>
  <c r="E62" i="28"/>
  <c r="H62" i="28"/>
  <c r="I62" i="28"/>
  <c r="A63" i="28"/>
  <c r="B63" i="28"/>
  <c r="C63" i="28"/>
  <c r="D63" i="28"/>
  <c r="E63" i="28"/>
  <c r="H63" i="28"/>
  <c r="I63" i="28"/>
  <c r="A64" i="28"/>
  <c r="B64" i="28"/>
  <c r="C64" i="28"/>
  <c r="D64" i="28"/>
  <c r="E64" i="28"/>
  <c r="H64" i="28"/>
  <c r="I64" i="28"/>
  <c r="A65" i="28"/>
  <c r="B65" i="28"/>
  <c r="C65" i="28"/>
  <c r="D65" i="28"/>
  <c r="E65" i="28"/>
  <c r="H65" i="28"/>
  <c r="I65" i="28"/>
  <c r="A66" i="28"/>
  <c r="B66" i="28"/>
  <c r="C66" i="28"/>
  <c r="D66" i="28"/>
  <c r="E66" i="28"/>
  <c r="H66" i="28"/>
  <c r="I66" i="28"/>
  <c r="A67" i="28"/>
  <c r="B67" i="28"/>
  <c r="C67" i="28"/>
  <c r="D67" i="28"/>
  <c r="E67" i="28"/>
  <c r="H67" i="28"/>
  <c r="I67" i="28"/>
  <c r="V11" i="9"/>
  <c r="V12" i="9"/>
  <c r="V13" i="9"/>
  <c r="V106" i="9"/>
  <c r="J8" i="23"/>
  <c r="K8" i="23"/>
  <c r="L8" i="23"/>
  <c r="M8" i="23"/>
  <c r="N8" i="23"/>
  <c r="O8" i="23"/>
  <c r="P8" i="23"/>
  <c r="Q8" i="23"/>
  <c r="R8" i="23"/>
  <c r="S8" i="23"/>
  <c r="T8" i="23"/>
  <c r="U8" i="23"/>
  <c r="V8" i="23"/>
  <c r="W8" i="23"/>
  <c r="X8" i="23"/>
  <c r="Y8" i="23"/>
  <c r="Z8" i="23"/>
  <c r="AA8" i="23"/>
  <c r="AB8" i="23"/>
  <c r="AC8" i="23"/>
  <c r="AD8" i="23"/>
  <c r="AE8" i="23"/>
  <c r="AF8" i="23"/>
  <c r="AG8" i="23"/>
  <c r="AH8" i="23"/>
  <c r="AI8" i="23"/>
  <c r="AJ8" i="23"/>
  <c r="AK8" i="23"/>
  <c r="AL8" i="23"/>
  <c r="AM8" i="23"/>
  <c r="AN8" i="23"/>
  <c r="AO8" i="23"/>
  <c r="AP8" i="23"/>
  <c r="AQ8" i="23"/>
  <c r="AR8" i="23"/>
  <c r="AS8" i="23"/>
  <c r="AT8" i="23"/>
  <c r="AU8" i="23"/>
  <c r="AV8" i="23"/>
  <c r="AW8" i="23"/>
  <c r="AX8" i="23"/>
  <c r="AY8" i="23"/>
  <c r="AZ8" i="23"/>
  <c r="BA8" i="23"/>
  <c r="BB8" i="23"/>
  <c r="BC8" i="23"/>
  <c r="BD8" i="23"/>
  <c r="BE8" i="23"/>
  <c r="BF8" i="23"/>
  <c r="BG8" i="23"/>
  <c r="BH8" i="23"/>
  <c r="BI8" i="23"/>
  <c r="I9" i="11"/>
  <c r="H9" i="11"/>
  <c r="J4" i="23"/>
  <c r="K4" i="23"/>
  <c r="L4" i="23"/>
  <c r="M4" i="23"/>
  <c r="N4" i="23"/>
  <c r="O4" i="23"/>
  <c r="P4" i="23"/>
  <c r="Q4" i="23"/>
  <c r="R4" i="23"/>
  <c r="S4" i="23"/>
  <c r="T4" i="23"/>
  <c r="U4" i="23"/>
  <c r="V4" i="23"/>
  <c r="W4" i="23"/>
  <c r="X4" i="23"/>
  <c r="Y4" i="23"/>
  <c r="Z4" i="23"/>
  <c r="AA4" i="23"/>
  <c r="AB4" i="23"/>
  <c r="AC4" i="23"/>
  <c r="AD4" i="23"/>
  <c r="AE4" i="23"/>
  <c r="AF4" i="23"/>
  <c r="AG4" i="23"/>
  <c r="AH4" i="23"/>
  <c r="AI4" i="23"/>
  <c r="AJ4" i="23"/>
  <c r="AK4" i="23"/>
  <c r="AL4" i="23"/>
  <c r="AM4" i="23"/>
  <c r="AN4" i="23"/>
  <c r="AO4" i="23"/>
  <c r="AP4" i="23"/>
  <c r="AQ4" i="23"/>
  <c r="AR4" i="23"/>
  <c r="AS4" i="23"/>
  <c r="AT4" i="23"/>
  <c r="AU4" i="23"/>
  <c r="AV4" i="23"/>
  <c r="AW4" i="23"/>
  <c r="AX4" i="23"/>
  <c r="AY4" i="23"/>
  <c r="AZ4" i="23"/>
  <c r="BA4" i="23"/>
  <c r="BB4" i="23"/>
  <c r="BC4" i="23"/>
  <c r="BD4" i="23"/>
  <c r="BE4" i="23"/>
  <c r="BF4" i="23"/>
  <c r="BG4" i="23"/>
  <c r="BH4" i="23"/>
  <c r="BI4" i="23"/>
  <c r="J5" i="23"/>
  <c r="K5" i="23"/>
  <c r="L5" i="23"/>
  <c r="M5" i="23"/>
  <c r="N5" i="23"/>
  <c r="O5" i="23"/>
  <c r="P5" i="23"/>
  <c r="Q5" i="23"/>
  <c r="R5" i="23"/>
  <c r="S5" i="23"/>
  <c r="T5" i="23"/>
  <c r="U5" i="23"/>
  <c r="V5" i="23"/>
  <c r="W5" i="23"/>
  <c r="X5" i="23"/>
  <c r="Y5" i="23"/>
  <c r="Z5" i="23"/>
  <c r="AA5" i="23"/>
  <c r="AB5" i="23"/>
  <c r="AC5" i="23"/>
  <c r="AD5" i="23"/>
  <c r="AE5" i="23"/>
  <c r="AF5" i="23"/>
  <c r="AG5" i="23"/>
  <c r="AH5" i="23"/>
  <c r="AI5" i="23"/>
  <c r="AJ5" i="23"/>
  <c r="AK5" i="23"/>
  <c r="AL5" i="23"/>
  <c r="AM5" i="23"/>
  <c r="AN5" i="23"/>
  <c r="AO5" i="23"/>
  <c r="AP5" i="23"/>
  <c r="AQ5" i="23"/>
  <c r="AR5" i="23"/>
  <c r="AS5" i="23"/>
  <c r="AT5" i="23"/>
  <c r="AU5" i="23"/>
  <c r="AV5" i="23"/>
  <c r="AW5" i="23"/>
  <c r="AX5" i="23"/>
  <c r="AY5" i="23"/>
  <c r="AZ5" i="23"/>
  <c r="BA5" i="23"/>
  <c r="BB5" i="23"/>
  <c r="BC5" i="23"/>
  <c r="BD5" i="23"/>
  <c r="BE5" i="23"/>
  <c r="BF5" i="23"/>
  <c r="BG5" i="23"/>
  <c r="BH5" i="23"/>
  <c r="BI5" i="23"/>
  <c r="J7" i="23"/>
  <c r="K7" i="23"/>
  <c r="L7" i="23"/>
  <c r="M7" i="23"/>
  <c r="N7" i="23"/>
  <c r="O7" i="23"/>
  <c r="P7" i="23"/>
  <c r="Q7" i="23"/>
  <c r="R7" i="23"/>
  <c r="S7" i="23"/>
  <c r="T7" i="23"/>
  <c r="U7" i="23"/>
  <c r="V7" i="23"/>
  <c r="W7" i="23"/>
  <c r="X7" i="23"/>
  <c r="Y7" i="23"/>
  <c r="Z7" i="23"/>
  <c r="AA7" i="23"/>
  <c r="AB7" i="23"/>
  <c r="AC7" i="23"/>
  <c r="AD7" i="23"/>
  <c r="AE7" i="23"/>
  <c r="AF7" i="23"/>
  <c r="AG7" i="23"/>
  <c r="AH7" i="23"/>
  <c r="AI7" i="23"/>
  <c r="AJ7" i="23"/>
  <c r="AK7" i="23"/>
  <c r="AL7" i="23"/>
  <c r="AM7" i="23"/>
  <c r="AN7" i="23"/>
  <c r="AO7" i="23"/>
  <c r="AP7" i="23"/>
  <c r="AQ7" i="23"/>
  <c r="AR7" i="23"/>
  <c r="AS7" i="23"/>
  <c r="AT7" i="23"/>
  <c r="AU7" i="23"/>
  <c r="AV7" i="23"/>
  <c r="AW7" i="23"/>
  <c r="AX7" i="23"/>
  <c r="AY7" i="23"/>
  <c r="AZ7" i="23"/>
  <c r="BA7" i="23"/>
  <c r="BB7" i="23"/>
  <c r="BC7" i="23"/>
  <c r="BD7" i="23"/>
  <c r="BE7" i="23"/>
  <c r="BF7" i="23"/>
  <c r="BG7" i="23"/>
  <c r="BH7" i="23"/>
  <c r="BI7" i="23"/>
  <c r="H8" i="11"/>
  <c r="H7" i="11"/>
  <c r="I7" i="11"/>
  <c r="J7" i="11"/>
  <c r="G8" i="11"/>
  <c r="G7" i="11"/>
  <c r="J28" i="11"/>
  <c r="G28" i="11"/>
  <c r="J27" i="11"/>
  <c r="G27" i="11"/>
  <c r="J26" i="11"/>
  <c r="G26" i="11"/>
  <c r="J25" i="11"/>
  <c r="G25" i="11"/>
  <c r="J24" i="11"/>
  <c r="G24" i="11"/>
  <c r="J23" i="11"/>
  <c r="G23" i="11"/>
  <c r="J22" i="11"/>
  <c r="G22" i="11"/>
  <c r="J21" i="11"/>
  <c r="G21" i="11"/>
  <c r="J20" i="11"/>
  <c r="G20" i="11"/>
  <c r="J19" i="11"/>
  <c r="G19" i="11"/>
  <c r="J18" i="11"/>
  <c r="G18" i="11"/>
  <c r="J17" i="11"/>
  <c r="G17" i="11"/>
  <c r="J16" i="11"/>
  <c r="G16" i="11"/>
  <c r="J15" i="11"/>
  <c r="G15" i="11"/>
  <c r="J14" i="11"/>
  <c r="G14" i="11"/>
  <c r="J13" i="11"/>
  <c r="G13" i="11"/>
  <c r="J12" i="11"/>
  <c r="G12" i="11"/>
  <c r="J11" i="11"/>
  <c r="G11" i="11"/>
  <c r="J10" i="11"/>
  <c r="G10" i="11"/>
  <c r="J9" i="11"/>
  <c r="J8" i="11"/>
  <c r="B5" i="29" l="1"/>
  <c r="B28" i="29"/>
  <c r="B23" i="29"/>
  <c r="B13" i="29"/>
  <c r="B67" i="29"/>
  <c r="N50" i="29"/>
  <c r="M50" i="29"/>
  <c r="N51" i="29"/>
  <c r="M51" i="29"/>
  <c r="M52" i="29"/>
  <c r="N52" i="29" s="1"/>
  <c r="N53" i="29"/>
  <c r="M53" i="29"/>
  <c r="N54" i="29"/>
  <c r="M54" i="29"/>
  <c r="M55" i="29"/>
  <c r="N55" i="29" s="1"/>
  <c r="B19" i="29"/>
  <c r="B48" i="29"/>
  <c r="B47" i="29"/>
  <c r="B45" i="29"/>
  <c r="B42" i="29"/>
  <c r="B33" i="29"/>
  <c r="B35" i="29"/>
  <c r="H1" i="28"/>
  <c r="F1" i="28"/>
  <c r="B71" i="29"/>
  <c r="N4" i="29"/>
  <c r="M4" i="29"/>
  <c r="B20" i="29"/>
  <c r="B26" i="29"/>
  <c r="B27" i="29"/>
  <c r="B29" i="29"/>
  <c r="B30" i="29"/>
  <c r="B31" i="29"/>
  <c r="B43" i="29"/>
  <c r="B72" i="29"/>
  <c r="B73" i="29"/>
  <c r="B74" i="29"/>
  <c r="B75" i="29"/>
  <c r="B77" i="29"/>
  <c r="B78" i="29"/>
  <c r="B79" i="29"/>
  <c r="M5" i="29"/>
  <c r="N5" i="29" s="1"/>
  <c r="N6" i="29"/>
  <c r="M6" i="29"/>
  <c r="N7" i="29"/>
  <c r="M7" i="29"/>
  <c r="N8" i="29"/>
  <c r="M8" i="29"/>
  <c r="N10" i="29"/>
  <c r="M10" i="29"/>
  <c r="N11" i="29"/>
  <c r="M11" i="29"/>
  <c r="N12" i="29"/>
  <c r="M12" i="29"/>
  <c r="M13" i="29"/>
  <c r="N13" i="29" s="1"/>
  <c r="N15" i="29"/>
  <c r="M15" i="29"/>
  <c r="N16" i="29"/>
  <c r="M16" i="29"/>
  <c r="N17" i="29"/>
  <c r="M17" i="29"/>
  <c r="N18" i="29"/>
  <c r="M18" i="29"/>
  <c r="M19" i="29"/>
  <c r="N19" i="29" s="1"/>
  <c r="M20" i="29"/>
  <c r="N20" i="29" s="1"/>
  <c r="N21" i="29"/>
  <c r="M21" i="29"/>
  <c r="N22" i="29"/>
  <c r="M22" i="29"/>
  <c r="M23" i="29"/>
  <c r="N23" i="29" s="1"/>
  <c r="N24" i="29"/>
  <c r="M24" i="29"/>
  <c r="N25" i="29"/>
  <c r="M25" i="29"/>
  <c r="M26" i="29"/>
  <c r="N26" i="29" s="1"/>
  <c r="M27" i="29"/>
  <c r="N27" i="29" s="1"/>
  <c r="M28" i="29"/>
  <c r="N28" i="29" s="1"/>
  <c r="M29" i="29"/>
  <c r="N29" i="29" s="1"/>
  <c r="M30" i="29"/>
  <c r="N30" i="29" s="1"/>
  <c r="M31" i="29"/>
  <c r="N31" i="29" s="1"/>
  <c r="N32" i="29"/>
  <c r="M32" i="29"/>
  <c r="M33" i="29"/>
  <c r="N33" i="29" s="1"/>
  <c r="N34" i="29"/>
  <c r="M34" i="29"/>
  <c r="M35" i="29"/>
  <c r="N35" i="29" s="1"/>
  <c r="N36" i="29"/>
  <c r="M36" i="29"/>
  <c r="N37" i="29"/>
  <c r="M37" i="29"/>
  <c r="N38" i="29"/>
  <c r="M38" i="29"/>
  <c r="N39" i="29"/>
  <c r="M39" i="29"/>
  <c r="N40" i="29"/>
  <c r="M40" i="29"/>
  <c r="N41" i="29"/>
  <c r="M41" i="29"/>
  <c r="M42" i="29"/>
  <c r="N42" i="29" s="1"/>
  <c r="M43" i="29"/>
  <c r="N43" i="29" s="1"/>
  <c r="N44" i="29"/>
  <c r="M44" i="29"/>
  <c r="M45" i="29"/>
  <c r="N45" i="29" s="1"/>
  <c r="N46" i="29"/>
  <c r="M46" i="29"/>
  <c r="M47" i="29"/>
  <c r="N47" i="29" s="1"/>
  <c r="M48" i="29"/>
  <c r="N48" i="29" s="1"/>
  <c r="N49" i="29"/>
  <c r="M49" i="29"/>
  <c r="N56" i="29"/>
  <c r="M56" i="29"/>
  <c r="N57" i="29"/>
  <c r="M57" i="29"/>
  <c r="N58" i="29"/>
  <c r="M58" i="29"/>
  <c r="N59" i="29"/>
  <c r="M59" i="29"/>
  <c r="N60" i="29"/>
  <c r="M60" i="29"/>
  <c r="N61" i="29"/>
  <c r="M61" i="29"/>
  <c r="N62" i="29"/>
  <c r="M62" i="29"/>
  <c r="N63" i="29"/>
  <c r="M63" i="29"/>
  <c r="N64" i="29"/>
  <c r="M64" i="29"/>
  <c r="N65" i="29"/>
  <c r="M65" i="29"/>
  <c r="N66" i="29"/>
  <c r="M66" i="29"/>
  <c r="M67" i="29"/>
  <c r="N67" i="29" s="1"/>
  <c r="N68" i="29"/>
  <c r="M68" i="29"/>
  <c r="N69" i="29"/>
  <c r="M69" i="29"/>
  <c r="N70" i="29"/>
  <c r="M70" i="29"/>
  <c r="N71" i="29"/>
  <c r="M71" i="29"/>
  <c r="N72" i="29"/>
  <c r="M72" i="29"/>
  <c r="N73" i="29"/>
  <c r="M73" i="29"/>
  <c r="N74" i="29"/>
  <c r="M74" i="29"/>
  <c r="N75" i="29"/>
  <c r="M75" i="29"/>
  <c r="M76" i="29"/>
  <c r="N76" i="29" s="1"/>
  <c r="N77" i="29"/>
  <c r="M77" i="29"/>
  <c r="N78" i="29"/>
  <c r="M78" i="29"/>
  <c r="N79" i="29"/>
  <c r="M79" i="29"/>
  <c r="N80" i="29"/>
  <c r="M80" i="29"/>
  <c r="N81" i="29"/>
  <c r="M81" i="29"/>
  <c r="N82" i="29"/>
  <c r="M82" i="29"/>
  <c r="N83" i="29"/>
  <c r="M83" i="29"/>
  <c r="N84" i="29"/>
  <c r="M84" i="29"/>
  <c r="N85" i="29"/>
  <c r="M85" i="29"/>
  <c r="N86" i="29"/>
  <c r="M86" i="29"/>
  <c r="N87" i="29"/>
  <c r="M87" i="29"/>
  <c r="N88" i="29"/>
  <c r="M88" i="29"/>
  <c r="N89" i="29"/>
  <c r="M89" i="29"/>
  <c r="M90" i="29"/>
  <c r="N90" i="29" s="1"/>
  <c r="N91" i="29"/>
  <c r="M91" i="29"/>
  <c r="M92" i="29"/>
  <c r="N92" i="29" s="1"/>
  <c r="N93" i="29"/>
  <c r="M93" i="29"/>
  <c r="N94" i="29"/>
  <c r="M94" i="29"/>
  <c r="N95" i="29"/>
  <c r="M95" i="29"/>
  <c r="N96" i="29"/>
  <c r="M96" i="29"/>
  <c r="N97" i="29"/>
  <c r="M97" i="29"/>
  <c r="N98" i="29"/>
  <c r="M98" i="29"/>
  <c r="N99" i="29"/>
  <c r="M99" i="29"/>
  <c r="N100" i="29"/>
  <c r="M10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Park Changbae (Aiden)</author>
  </authors>
  <commentList>
    <comment ref="C3" authorId="0" shapeId="0" xr:uid="{E8A77550-FB2F-4823-93CB-A3244927B6F8}">
      <text>
        <r>
          <rPr>
            <sz val="11"/>
            <color theme="1"/>
            <rFont val="맑은 고딕"/>
            <family val="2"/>
            <scheme val="minor"/>
          </rPr>
          <t>고객사명 기준 추정 국가. 노란색 셀은 확인 필요.</t>
        </r>
      </text>
    </comment>
    <comment ref="F3" authorId="0" shapeId="0" xr:uid="{7C3FBEA5-AD5B-44B4-B97B-004B3C134B2A}">
      <text>
        <r>
          <rPr>
            <sz val="11"/>
            <color theme="1"/>
            <rFont val="맑은 고딕"/>
            <family val="2"/>
            <scheme val="minor"/>
          </rPr>
          <t>Dropdown: High / Mid / Low. Set by Sales/PM (unset count shown in the summary panel).</t>
        </r>
      </text>
    </comment>
    <comment ref="K3" authorId="0" shapeId="0" xr:uid="{5ABED5B0-E9B4-495A-9489-5712CE12CA14}">
      <text>
        <r>
          <rPr>
            <sz val="11"/>
            <color theme="1"/>
            <rFont val="맑은 고딕"/>
            <family val="2"/>
            <scheme val="minor"/>
          </rPr>
          <t>날짜가 입력된 마지막 단계의 가중치(Y3:AI3 참조)를 자동 반환. 수식 열 — 직접 입력 금지.</t>
        </r>
      </text>
    </comment>
    <comment ref="N3" authorId="0" shapeId="0" xr:uid="{7C693BB3-F44A-48D9-9585-48BE7FCC5834}">
      <text>
        <r>
          <rPr>
            <sz val="11"/>
            <color theme="1"/>
            <rFont val="맑은 고딕"/>
            <family val="2"/>
            <scheme val="minor"/>
          </rPr>
          <t>J열(최종 활동일) 기준 경과일로 자동 판정. 100%면 Live, 그 외 30/60/90일 이상 정지 시 Stalled 표기.</t>
        </r>
      </text>
    </comment>
    <comment ref="O3" authorId="0" shapeId="0" xr:uid="{96588028-9B13-4E61-9C9F-35F411FB908A}">
      <text>
        <r>
          <rPr>
            <sz val="11"/>
            <color theme="1"/>
            <rFont val="맑은 고딕"/>
            <family val="2"/>
            <scheme val="minor"/>
          </rPr>
          <t>M~W열은 수동 입력(단계별 실제 일자). CRM 시트의 NDA~API Live 이력에서 시딩됨.</t>
        </r>
      </text>
    </comment>
    <comment ref="AA3" authorId="0" shapeId="0" xr:uid="{BDFCCA1F-04D3-4795-A7A7-E516CCE2E265}">
      <text>
        <r>
          <rPr>
            <sz val="11"/>
            <color theme="1"/>
            <rFont val="맑은 고딕"/>
            <family val="2"/>
            <scheme val="minor"/>
          </rPr>
          <t>Progress % 계산 가중치. M~W 단계 순서와 1:1 대응. 파란색 = 직접 수정 가능한 입력값.</t>
        </r>
      </text>
    </comment>
    <comment ref="AA5" authorId="0" shapeId="0" xr:uid="{971E945E-8D66-4A54-9E79-2E4FFDE830A1}">
      <text>
        <r>
          <rPr>
            <sz val="11"/>
            <color theme="1"/>
            <rFont val="맑은 고딕"/>
            <family val="2"/>
            <scheme val="minor"/>
          </rPr>
          <t>진행률이 이 값 이상이면 우우에 해당 상태를 B열에 통진. 단계 날짜가 전혀 없으면 Contact.</t>
        </r>
      </text>
    </comment>
    <comment ref="P16" authorId="0" shapeId="0" xr:uid="{F9CF34FA-CAB6-4500-85EC-109410E9E9FC}">
      <text>
        <r>
          <rPr>
            <sz val="11"/>
            <color theme="1"/>
            <rFont val="맑은 고딕"/>
            <family val="2"/>
            <scheme val="minor"/>
          </rPr>
          <t>Source: OMH_API_Integration_Process_Sales_Training.pptx (Phase 4) - 양사 계약서 + SLA 서명 완료</t>
        </r>
      </text>
    </comment>
    <comment ref="Q16" authorId="0" shapeId="0" xr:uid="{EA4D4C3B-3405-4C9B-8BEE-3FFED229ED99}">
      <text>
        <r>
          <rPr>
            <sz val="11"/>
            <color theme="1"/>
            <rFont val="맑은 고딕"/>
            <family val="2"/>
            <scheme val="minor"/>
          </rPr>
          <t>Source: 같은 PPT (Phase 4) - SLA 별도 문서로 분리 후 동시 서명</t>
        </r>
      </text>
    </comment>
    <comment ref="T16" authorId="0" shapeId="0" xr:uid="{3ED7B781-4512-4EB5-97A2-012889693F5E}">
      <text>
        <r>
          <rPr>
            <sz val="11"/>
            <color theme="1"/>
            <rFont val="맑은 고딕"/>
            <family val="2"/>
            <scheme val="minor"/>
          </rPr>
          <t>Source: 같은 PPT (Phase 12 요약) - Cert 통과 4/29</t>
        </r>
      </text>
    </comment>
    <comment ref="U16" authorId="0" shapeId="0" xr:uid="{E3377FEC-2AFD-4271-9E8C-94577BF3CF3B}">
      <text>
        <r>
          <rPr>
            <sz val="11"/>
            <color theme="1"/>
            <rFont val="맑은 고딕"/>
            <family val="2"/>
            <scheme val="minor"/>
          </rPr>
          <t>Source: 같은 PPT (Phase 12 요약) - Live Test 5/7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tc={52FF7402-F976-44A1-9946-8645FC249EE3}</author>
  </authors>
  <commentList>
    <comment ref="I4" authorId="0" shapeId="0" xr:uid="{52FF7402-F976-44A1-9946-8645FC249EE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@HooiWem Tan (Grace) 계약변경, 여기다 업데이트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Park Changbae (Aiden)</author>
    <author>tc={D406B42E-3F94-4DC2-8CD9-4C05ACBD676D}</author>
  </authors>
  <commentList>
    <comment ref="B2" authorId="0" shapeId="0" xr:uid="{A1BC296A-6082-4DD9-8CCA-CCA1C8DD7B24}">
      <text>
        <r>
          <rPr>
            <sz val="11"/>
            <color theme="1"/>
            <rFont val="맑은 고딕"/>
            <family val="2"/>
            <scheme val="minor"/>
          </rPr>
          <t>[Status Guide - Please keep this updated]
Whenever a channel's situation changes, update its Status to the latest value based on the criteria below.
• New : Newly registered, not yet contacted
• Pipeline : Prospecting / sales in progress (pre-contract)
• NDA : NDA (Non-Disclosure Agreement) stage
• Contract : Contract negotiation / signing in progress
• Certificate : Certification / documentation stage
• Pending LIVE : Awaiting go-live (launch)
• Active : Live and operating normally
• On Hold : Temporarily paused
• Terminated : Channel whose contract was signed but has ended
• Dropped : Channel discarded at the pipeline stage
* Definitions can be adjusted as needed.</t>
        </r>
      </text>
    </comment>
    <comment ref="H4" authorId="1" shapeId="0" xr:uid="{D406B42E-3F94-4DC2-8CD9-4C05ACBD676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@Jungwon Yoon (Sophia) 싱가포르 한국인 담당자로 변경해요~~</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<sst xmlns="http://schemas.openxmlformats.org/spreadsheetml/2006/main" count="9275" uniqueCount="3914">
  <si>
    <t>2026 Travel Mart Schedule + Super Event (트래블마트 캘린더 통합)</t>
  </si>
  <si>
    <t>Update: 2026-7-30</t>
  </si>
  <si>
    <t>국가</t>
  </si>
  <si>
    <t>도시</t>
  </si>
  <si>
    <t>2026년 1월</t>
  </si>
  <si>
    <t>2026년 2월</t>
  </si>
  <si>
    <t>2026년 3월</t>
  </si>
  <si>
    <t>2026년 4월</t>
  </si>
  <si>
    <t>2026년 5월</t>
  </si>
  <si>
    <t>2026년 6월</t>
  </si>
  <si>
    <t>2026년 7월</t>
  </si>
  <si>
    <t>2026년 8월</t>
  </si>
  <si>
    <t>2026년 9월</t>
  </si>
  <si>
    <t>2026년 10월</t>
  </si>
  <si>
    <t>2026년 11월</t>
  </si>
  <si>
    <t>2026년 12월</t>
  </si>
  <si>
    <t>2027년 1월</t>
  </si>
  <si>
    <t>2027년 2월</t>
  </si>
  <si>
    <t>2027년 3월</t>
  </si>
  <si>
    <t>2027년 4월</t>
  </si>
  <si>
    <t>2027년 5월</t>
  </si>
  <si>
    <t>2027년 6월</t>
  </si>
  <si>
    <r>
      <rPr>
        <sz val="11"/>
        <color theme="1"/>
        <rFont val="맑은 고딕"/>
        <family val="2"/>
        <scheme val="minor"/>
      </rPr>
      <t xml:space="preserve">Super Events
</t>
    </r>
    <r>
      <rPr>
        <sz val="18"/>
        <color theme="1"/>
        <rFont val="맑은 고딕"/>
        <family val="2"/>
        <scheme val="minor"/>
      </rPr>
      <t>(Sports)</t>
    </r>
  </si>
  <si>
    <t>2026 밀라노-코르티나 동계올림픽 (이탈리아)
2026년 2월 6일 ~ 2월 22일</t>
  </si>
  <si>
    <t>Grand Prix
13-15 March 2026 상하이
27-29 March 2026 일본</t>
  </si>
  <si>
    <t>Grand Prix
10-12 April 2026 바레인
17-19 April 2026 사우디</t>
  </si>
  <si>
    <t>2026 FIFA 월드컵 (미국·캐나다·멕시코)
2026년 6월 11일 ~ 7월 19일</t>
  </si>
  <si>
    <t>2026 커먼웰스 게임즈 (조호르, 말레이시아 예정)</t>
  </si>
  <si>
    <t>Grand Prix
9-11 October 2026 싱가포르</t>
  </si>
  <si>
    <t>Grand Prix
4-6 December 2026 UAE</t>
  </si>
  <si>
    <t>F1 Grand Prix
중국(상하이)·일본(스즈카) 3월 중 (예상)</t>
  </si>
  <si>
    <t>2027 FIFA 여자월드컵 (브라질)
2027년 6월 24일 ~ 7월 25일</t>
  </si>
  <si>
    <r>
      <rPr>
        <sz val="11"/>
        <color theme="1"/>
        <rFont val="맑은 고딕"/>
        <family val="2"/>
        <scheme val="minor"/>
      </rPr>
      <t xml:space="preserve">Super Events
</t>
    </r>
    <r>
      <rPr>
        <sz val="18"/>
        <color theme="1"/>
        <rFont val="맑은 고딕"/>
        <family val="2"/>
        <scheme val="minor"/>
      </rPr>
      <t>(Religious &amp; Culture)</t>
    </r>
  </si>
  <si>
    <t>라마단 &amp; 이드 알 피트르
라마단: 2026년 2월 20일 ~ 3월 21일
이드: 2026년 3월 22일
중동 → 동남아 (태국·말레이시아·한국) 여행 붐</t>
  </si>
  <si>
    <t>골든위크(일본)
2026년 4월 29일 ~ 5월 5일
Qingming Festival (청명절)
중국·홍콩·대만 출발 단기 여행 증가</t>
  </si>
  <si>
    <t>Wesak (부처님오신날)
인도네시아·태국·말레이시아·싱가포르</t>
  </si>
  <si>
    <t>추석
한국·중국 outbound 혼잡
일본·베트남·대만 호텔 추가 수요 발생</t>
  </si>
  <si>
    <t>Diwali (빛의 축제) – 인도 및 인도계 디아스포라
인도 출발 아웃바운드 여행 증가 → 태국, 베트남, 아랍에미리트
Yi Peng Festival (라이트·랜턴 축제) - 태국</t>
  </si>
  <si>
    <t>라마단 &amp; 이드 알 피트르
라마단: 2027년 2월 9일경 ~ 3월 10일경 (예상)
이드: 3월 11일경
중동 → 동남아·한국 여행 붐</t>
  </si>
  <si>
    <t>이드 알 피트르 3월 11일경 (예상)
중동·인도네시아·말레이시아 장기 연휴</t>
  </si>
  <si>
    <t>골든위크(일본) 4월 29일 ~ 5월 5일
Qingming Festival (청명절) 4월 5일
중국·홍콩·대만 단기 여행 증가</t>
  </si>
  <si>
    <t>Wesak (부처님오신날) 5월 중
인도네시아·태국·말레이시아·싱가포르</t>
  </si>
  <si>
    <r>
      <rPr>
        <sz val="11"/>
        <color theme="1"/>
        <rFont val="맑은 고딕"/>
        <family val="2"/>
        <scheme val="minor"/>
      </rPr>
      <t xml:space="preserve">Super Events
</t>
    </r>
    <r>
      <rPr>
        <sz val="18"/>
        <color theme="1"/>
        <rFont val="맑은 고딕"/>
        <family val="2"/>
        <scheme val="minor"/>
      </rPr>
      <t>(MICE)</t>
    </r>
  </si>
  <si>
    <t>CES 2026 (라스베가스)</t>
  </si>
  <si>
    <t>MWC Barcelona 2026</t>
  </si>
  <si>
    <t>GDC(San Francisco), SXSW(Austin)</t>
  </si>
  <si>
    <t>China Import &amp; Export Fair</t>
  </si>
  <si>
    <t>ASEAN Summit 2026 — 라오스 (Vientiane) 개최</t>
  </si>
  <si>
    <t>China Import &amp; Export Fair
Japan CEATEC – 일본 최대 ICT 박람회</t>
  </si>
  <si>
    <t>Web Summit 2026 (리스본)
APEC Summit 2026 – 싱가포르
Singapore FinTech Festival 2026
Seoul MICE Week</t>
  </si>
  <si>
    <t>CES 2027 (라스베이거스)
1월 상순 (예상)</t>
  </si>
  <si>
    <t>MWC Barcelona 2027 (3월 상순, 예상)
SXSW Austin / GDC San Francisco (3월)</t>
  </si>
  <si>
    <t>China Import &amp; Export Fair (캔톤페어)
4월 중순 ~ 5월 초</t>
  </si>
  <si>
    <t>China Events</t>
  </si>
  <si>
    <t>방학시즌</t>
  </si>
  <si>
    <t>춘절</t>
  </si>
  <si>
    <t>벗꽃축제</t>
  </si>
  <si>
    <t>국경절, 노동절</t>
  </si>
  <si>
    <t>추석, 중추절</t>
  </si>
  <si>
    <t>춘절 (2027년 2월 6일)</t>
  </si>
  <si>
    <t>벚꽃축제</t>
  </si>
  <si>
    <t>노동절 (5/1~5/5)</t>
  </si>
  <si>
    <t>SEA Events</t>
  </si>
  <si>
    <t>Chiness New Year</t>
  </si>
  <si>
    <t>Chinese New Year (2/6)</t>
  </si>
  <si>
    <t>India &amp; Rusia</t>
  </si>
  <si>
    <t>중국</t>
  </si>
  <si>
    <t>광동,화동,화북,내륙</t>
  </si>
  <si>
    <t>1차 세일즈콜
광저우, 심천</t>
  </si>
  <si>
    <t>1차 세일즈 콜
베이징</t>
  </si>
  <si>
    <t>1차 세일즈 콜
청두, 시안, 중경
COTTM Beijing (보통 4월)
[★★★ 최우선] 중국 outbound 전문 B2B</t>
  </si>
  <si>
    <t>5/26–5/28 – ITB China
1차 Shanghai
GITF (Guangzhou International Travel Fair) 5/21–23
[★★★ 최우선] 중국 outbound 최상위 B2B</t>
  </si>
  <si>
    <t>2차 세일즈 콜
심천+대만+홍콩</t>
  </si>
  <si>
    <t>2차 광저우, 심천</t>
  </si>
  <si>
    <t>1차 세일즈 콜
청두, 시안, 무한
CITIE Tourism Expo 2026 Guangzhou China (September 11-13)
2026 CHINA OUTBOUND &amp; INBOUND TRAVEL MARKET 10/14–16 (베이징)</t>
  </si>
  <si>
    <t>2차 베이징
국경절 1~7일
 COITM from 14-16 October in Beijing</t>
  </si>
  <si>
    <t>2차 상하이</t>
  </si>
  <si>
    <t>COTTM Beijing 2027
4월 중 (예상)
[★★★ 최우선] 중국 outbound 전문 B2B</t>
  </si>
  <si>
    <t>ITB China 2027 (상하이) 5월 중 (예상)
GITF Guangzhou 5월 하순 (예상)
[★★★ 최우선] 중국 outbound 최상위 B2B</t>
  </si>
  <si>
    <t>한국</t>
  </si>
  <si>
    <t>서울</t>
  </si>
  <si>
    <t>일산 트래블마트
5월 14~17일</t>
  </si>
  <si>
    <t>6/4–6/7 – Seoul International Travel Fair (SITF)
[★ 선택] 한국 최대 여행박람회</t>
  </si>
  <si>
    <t>6/30~7/1
SITM</t>
  </si>
  <si>
    <t>한국 세일즈콜
8월3~7일</t>
  </si>
  <si>
    <t>Travel Show
11월 12~15일
Korea MICE Expo (KME) 11/18–11/20
[★ 선택] 한국 MICE 대표 행사</t>
  </si>
  <si>
    <t>일산 트래블마트 2027
5월 중 (예상)</t>
  </si>
  <si>
    <t>Seoul International Travel Fair (SITF) 2027
6월 상순 (예상)
SITM 6월 말~7월 초 (예상)
[★ 선택] 한국 최대 여행박람회</t>
  </si>
  <si>
    <t>일본</t>
  </si>
  <si>
    <t>(순환개최)</t>
  </si>
  <si>
    <t>9/24–9/27 – Tourism EXPO Japan (TEJ)
[★★ 중간] 일본 최대 종합 트래블쇼</t>
  </si>
  <si>
    <t>대만</t>
  </si>
  <si>
    <t>타이베이</t>
  </si>
  <si>
    <t>1차 세일즈 콜
대만+홍콩</t>
  </si>
  <si>
    <t>5/22–5/25 – Taipei Tourism Expo (TTE)
[★ 선택] 대만 최대 B2C, FIT 시장 강함</t>
  </si>
  <si>
    <t>ITF Taiwan International Travel Fair (ITF) 11월 6일 (금) ~ 11월 9일(월)</t>
  </si>
  <si>
    <t>Taipei Tourism Expo (TTE) 2027
5월 하순 (예상)
[★ 선택] 대만 최대 B2C, FIT 시장 강함</t>
  </si>
  <si>
    <t>홍콩</t>
  </si>
  <si>
    <t>ITE Hong Kong
6월 11~14일 전후
[★★ 중간] 홍콩–광둥 outbound 중심</t>
  </si>
  <si>
    <t>2차 세일즈 콜
대만+홍콩</t>
  </si>
  <si>
    <t>ITE Hong Kong 2027
6월 중순 (예상)
[★★ 중간] 홍콩–광둥 outbound 중심</t>
  </si>
  <si>
    <t>필리핀</t>
  </si>
  <si>
    <t>세부, 마닐라</t>
  </si>
  <si>
    <t>1/28–1/30 – ASEAN Tourism Forum + TRAVEX
[★★ 중간] ASEAN 10개국 공식 B2B, 관광청 네트워크 최강</t>
  </si>
  <si>
    <t>2/6–2/8 – PTAA TravelTour Expo
[★★★ 최우선] 필리핀 최대 소비자+B2B, 패키지 판매에 최적</t>
  </si>
  <si>
    <t>Travel Madness Expo 2026
July 10 to 12, 2026</t>
  </si>
  <si>
    <t>ASEAN Tourism Forum + TRAVEX 2027
1월 하순 (예상, 개최국 순회)
[★★ 중간] ASEAN 10개국 공식 B2B, 관광청 네트워킹</t>
  </si>
  <si>
    <t>PTAA TravelTour Expo 2027
2월 중 (예상)
[★★★ 최우선] 필리핀 최대 소비자+B2B, 패키지 판매에 최적</t>
  </si>
  <si>
    <t>베트남</t>
  </si>
  <si>
    <t>호치민
하노이</t>
  </si>
  <si>
    <t>Vietnam International Travel Mart HANOI
[★★ 중간] 북베트남 B2B+B2C</t>
  </si>
  <si>
    <t>ITE HCMC
16~18 Oct
[★★ 중간] 메콩 최대 B2B+B2C (Calendar 기준 9/3–9/5)</t>
  </si>
  <si>
    <t>VITM Hanoi 2027 (Vietnam Int'l Travel Mart)
4월 상순 (예상)
[★★ 중간] 북베트남 B2B+B2C</t>
  </si>
  <si>
    <t>태국</t>
  </si>
  <si>
    <t>방콕</t>
  </si>
  <si>
    <t>1/22–1/25 – Thai International Travel Fair
[★★★ 최우선] 태국 최대 B2B+B2C, 태국→한국·일본 outbound 중심</t>
  </si>
  <si>
    <t>5-8 Mar 
Thai Teaw Thai (77th Edition)
B2C</t>
  </si>
  <si>
    <t>TTM+ (Thailand Travel Mart Plus) 2026
예상 날짜: 2026년 6월 중 (보통 6월 둘째 주)
장소: 미정
특징: 태국 관광청(TAT) 주관 행사</t>
  </si>
  <si>
    <t>Visit Japan FIT Fair #17
올해 10월16~18일 개최</t>
  </si>
  <si>
    <t>Thai International Travel Fair 2027
1월 하순 (예상)
[★★★ 최우선] 태국 최대 B2B+B2C</t>
  </si>
  <si>
    <t>Thai Teaw Thai (B2C)
3월 상순 (예상)</t>
  </si>
  <si>
    <t>TTM+ (Thailand Travel Mart Plus) 2027
6월 둘째 주 (예상)
태국 관광청(TAT) 주관</t>
  </si>
  <si>
    <t>말레이시아</t>
  </si>
  <si>
    <t>쿠알라룸프르, 쿠칭</t>
  </si>
  <si>
    <t>MATTA Fair
3 - 5 April 2026
[★ 선택] 말레이시아 최대 B2C</t>
  </si>
  <si>
    <t>8/18–8/20 – PATA Travel Mart
[★★ 중간] 아시아·태평양 대표 B2B</t>
  </si>
  <si>
    <t>MATTA Fair
[★ 선택] 말레이시아 최대 B2C</t>
  </si>
  <si>
    <t>MATTA Fair 2027 (상반기)
3월 말~4월 초 (예상)
[★ 선택] 말레이시아 최대 B2C</t>
  </si>
  <si>
    <t>싱가포르</t>
  </si>
  <si>
    <t>마리나베이</t>
  </si>
  <si>
    <t>ILTM Asia Pacific 2026
2026년 6월 29일 ~ 7월 2일
[★ 선택] 아시아 럭셔리 여행 최상위 행사</t>
  </si>
  <si>
    <t>NATAS (2026년 8월 21~23일)</t>
  </si>
  <si>
    <t>10/21–10/23 – ITB Asia
[★★★ 최우선] 아시아 No.1 B2B 허브</t>
  </si>
  <si>
    <t>ILTM Asia Pacific 2027 (싱가포르)
6월 말 (예상)
[★ 선택] 아시아 럭셔리 여행 최상위 행사</t>
  </si>
  <si>
    <t>인도네시아</t>
  </si>
  <si>
    <t>자카르타</t>
  </si>
  <si>
    <t>BBTF (Bali &amp; Beyond Travel Fair) 2026
날짜: 2026년 5월 28일(목) ~ 5월 30일(토)
특징: 상반기 동남아시아 일정 중 호텔 소싱에 가장 중요한 행사</t>
  </si>
  <si>
    <t>Travel Meet Asia 2026
2026년 6월 23-24일
[★ 선택] 아세안 B2B 네트워크 허브</t>
  </si>
  <si>
    <t>BBTF (Bali &amp; Beyond Travel Fair) 2027
6월 중 (예상)
Travel Meet Asia 2027 6월 하순 (예상)
호텔 소싱 핵심 행사</t>
  </si>
  <si>
    <t>인도</t>
  </si>
  <si>
    <t>뭄바이
뉴델리</t>
  </si>
  <si>
    <t>OTM (Outbound Travel Mart, Mumbai)
5-7 Feb</t>
  </si>
  <si>
    <t>SATTE 2026
2026.02.25 – 02.27
[★★ 중간] 남아시아 인바운드/아웃바운드</t>
  </si>
  <si>
    <t>9/2–9/4 – ITB India
[★★★ 최우선] 인도 outbound 핵심</t>
  </si>
  <si>
    <t>South Asia Travel &amp; Tourism Exchange</t>
  </si>
  <si>
    <t>OTM Mumbai 2027 (Outbound Travel Mart)
2월 상순 (예상)
SATTE 2027 (뉴델리) 2월 하순 (예상)
[★★ 중간] 인도 아웃바운드 핵심</t>
  </si>
  <si>
    <t>러시아</t>
  </si>
  <si>
    <t>모스크바</t>
  </si>
  <si>
    <t>MITT 2026
2026년 3월 11일 ~ 3월 13일
[★★ 중간] 러시아·CIS 최대, 러시아 outbound 핵심</t>
  </si>
  <si>
    <t>OTDYKH Leisure Travel Market 2026
2026년 9월 10일 ~ 9월 12일
[★ 선택] 러시아 인바운드·아웃바운드 모두 강함</t>
  </si>
  <si>
    <t>MITT Moscow 2027
3월 중 (예상)
[★★ 중간] 러시아·CIS 최대, 러시아 outbound 핵심</t>
  </si>
  <si>
    <t>UAE</t>
  </si>
  <si>
    <t>Dubai</t>
  </si>
  <si>
    <t>Arabian Travel Market (ATM) 2026
2026년 5월 4일 ~ 5월 7일
[★★★ 최우선] 중동 최대 여행 B2B, GCC 바이어 중심</t>
  </si>
  <si>
    <t>Arabian Travel Market (ATM) 2027 (Dubai)
5월 상순 (예상)
[★★★ 최우선] 중동 최대 여행 B2B, GCC 바이어 중심</t>
  </si>
  <si>
    <t>Qatar</t>
  </si>
  <si>
    <t>Doha</t>
  </si>
  <si>
    <t>Connections Luxury Middle East 2026
2026년 3월 29일 ~ 4월 1일
[★ 선택] 초럭셔리 바이어 행사, 하이엔드 전략용</t>
  </si>
  <si>
    <t>Connections Luxury Middle East 2027
3월 말~4월 초 (예상)
[★ 선택] 초럭셔리 바이어 행사</t>
  </si>
  <si>
    <t>독일</t>
  </si>
  <si>
    <t>베를린
오버하우젠</t>
  </si>
  <si>
    <t>ITB Berlin 2026
2026년 3월 3일(화) ~ 3월 5일(목)
[★★★ 최우선] 세계 1위 여행 B2B, 글로벌 파트너 확장 필수</t>
  </si>
  <si>
    <t>Germany Travel Mart (GTM) 2026
2026년 4월 19일 ~ 21일
[★ 선택] 독일 관광청 주최, 유럽 인바운드 중심</t>
  </si>
  <si>
    <t>ITB Berlin 2027
3월 상순 (예상, 통상 첫째 주 화~목)
[★★★ 최우선] 세계 1위 여행 B2B, 글로벌 파트너 확장 필수</t>
  </si>
  <si>
    <t>Germany Travel Mart (GTM) 2027
4월 중 (예상)
[★ 선택] 독일 관광청 주최, 유럽 인바운드 중심</t>
  </si>
  <si>
    <t>호주</t>
  </si>
  <si>
    <t>시드니, 애들레이드</t>
  </si>
  <si>
    <t>5/10–5/14 – Australian Tourism Exchange (ATE)
[★ 선택] 오세아니아 최대 B2B</t>
  </si>
  <si>
    <t>Luxperience</t>
  </si>
  <si>
    <t>Australian Tourism Exchange (ATE) 2027
5월 중 (예상)
[★ 선택] 오세아니아 최대 B2B</t>
  </si>
  <si>
    <t>영국</t>
  </si>
  <si>
    <t>런던</t>
  </si>
  <si>
    <t>WTM London 2026
2026.11.04 – 11.06
[★★★ 최우선] 글로벌 레저, 기술, 지속가능성</t>
  </si>
  <si>
    <t>스페인</t>
  </si>
  <si>
    <t>마드리드</t>
  </si>
  <si>
    <t>FITUR Madrid 2026
1월 21일 ~ 25일
[★★ 중간] 세계 3대 관광박람회, 유럽·라틴 시장 핵심 B2B</t>
  </si>
  <si>
    <t>FITUR Madrid 2027
1월 하순 (예상, 통상 1/20~1/24)
[★★ 중간] 세계 3대 관광박람회, 유럽·라틴 핵심</t>
  </si>
  <si>
    <t>미국</t>
  </si>
  <si>
    <t>플로리다주
뉴욕</t>
  </si>
  <si>
    <t>NYTTravel Show</t>
  </si>
  <si>
    <t>IPW 2026
2026년 5월 17-21일
[★ 선택] 미국 인바운드 최대 B2B 행사</t>
  </si>
  <si>
    <t>Business Travel Show America 2026
2026년 10월 14-15일
[★ 선택] 북미 코퍼레이트 트래블 대표 행사</t>
  </si>
  <si>
    <t>New York Times Travel Show 2027
1월 하순 (예상)</t>
  </si>
  <si>
    <t>IPW 2027 (U.S. Travel Association)
5월 하순 (예상)
[★ 선택] 미국 인바운드 최대 B2B</t>
  </si>
  <si>
    <t>멕시코</t>
  </si>
  <si>
    <t>과달라하라</t>
  </si>
  <si>
    <t>ITB Americas 2026
2026년 11월 10-12일
[★ 선택] 미주 전역 바이어 연결 허브</t>
  </si>
  <si>
    <t>South Africa</t>
  </si>
  <si>
    <t>Cape Town</t>
  </si>
  <si>
    <t>WTM Africa 2026
[★ 선택] 아프리카 시장 접근</t>
  </si>
  <si>
    <t>WTM Africa 2027 (Cape Town)
4월 중 (예상)
[★ 선택] 아프리카 시장 접근</t>
  </si>
  <si>
    <t>브라질</t>
  </si>
  <si>
    <t>상파울루</t>
  </si>
  <si>
    <t>WTM Latin America 2026
2026년 4월 14-16일
[★ 선택] 남미 최대 B2B, 라틴 바이어 네트워크</t>
  </si>
  <si>
    <t>WTM Latin America 2027 (상파울루)
4월 중 (예상)
[★ 선택] 남미 최대 B2B, 라틴 바이어 네트워크</t>
  </si>
  <si>
    <t>범례 (우선순위 · FOR OMH BY AI)</t>
  </si>
  <si>
    <t>★★★ 최우선</t>
  </si>
  <si>
    <t>반드시 참가 · 핵심 소싱/바이어 시장 (셀 좌측 굵은 파란선)</t>
  </si>
  <si>
    <t>★★ 중간</t>
  </si>
  <si>
    <t>여력에 따라 참가 · 지역 보완용 (좌측 검정선)</t>
  </si>
  <si>
    <t>★ 선택</t>
  </si>
  <si>
    <t>선택 참가 · 전략적 필요 시 (좌측 빨간선)</t>
  </si>
  <si>
    <t>비고</t>
  </si>
  <si>
    <t>각 행사 셀 하단의 [우선순위] 표기와 설명은 기존 Calendar 시트에서 통합된 내용입니다. ITE HCMC는 두 자료의 일정이 상이(10/16–18 vs 9/3–5)하여 병기했습니다.</t>
  </si>
  <si>
    <t>※ 2027년 상반기(O~T열) 일정은 매년 정기 개최되는 행사를 기준으로 작성한 초안입니다. "(예상)"으로 표기된 일정은 주최 측 공식 발표 전이므로 확정 시 업데이트가 필요합니다. (웹 검색 차단 상태에서 작성 · 2026-08-18)</t>
  </si>
  <si>
    <t>2026 트래블마트 일정 체크리스트 (2027년 상반기 포함)</t>
  </si>
  <si>
    <t>참가</t>
  </si>
  <si>
    <t>진행완료</t>
  </si>
  <si>
    <t>월</t>
  </si>
  <si>
    <t>일정명</t>
  </si>
  <si>
    <t>우선순위</t>
  </si>
  <si>
    <t>상태</t>
  </si>
  <si>
    <t>상세 내용</t>
  </si>
  <si>
    <t>API Integration Dev Tracker (IT / Dev Shared) — Actual Progress History by Stage Process</t>
  </si>
  <si>
    <t>Stage Weights (progress calc · maps to cols M~W)</t>
  </si>
  <si>
    <t>Project / Dev Info</t>
  </si>
  <si>
    <t>Progress Status (Auto-calculated)</t>
  </si>
  <si>
    <t>①</t>
  </si>
  <si>
    <t>②</t>
  </si>
  <si>
    <t>③</t>
  </si>
  <si>
    <t>④</t>
  </si>
  <si>
    <t>⑤</t>
  </si>
  <si>
    <t>⑥</t>
  </si>
  <si>
    <t>⑦</t>
  </si>
  <si>
    <t>⑧</t>
  </si>
  <si>
    <t>⑨</t>
  </si>
  <si>
    <t>⑩</t>
  </si>
  <si>
    <t>⑪</t>
  </si>
  <si>
    <t>No.</t>
  </si>
  <si>
    <t>Status</t>
  </si>
  <si>
    <t>Country</t>
  </si>
  <si>
    <t>Project</t>
  </si>
  <si>
    <t>Category</t>
  </si>
  <si>
    <t>Biz Impact</t>
  </si>
  <si>
    <t>OHMY Dev Load</t>
  </si>
  <si>
    <t>Switching</t>
  </si>
  <si>
    <t>Handling Team</t>
  </si>
  <si>
    <t>PIC (Sales)</t>
  </si>
  <si>
    <t>Progress %</t>
  </si>
  <si>
    <t>Last Activity</t>
  </si>
  <si>
    <t>Days Elapsed</t>
  </si>
  <si>
    <t>Delay Check</t>
  </si>
  <si>
    <t>① NDA Signed (20%)</t>
  </si>
  <si>
    <t>② Contract Signed (30%)</t>
  </si>
  <si>
    <t>③ SLA Finalized (40%)</t>
  </si>
  <si>
    <t>④ Dev Kickoff Planned (45%)</t>
  </si>
  <si>
    <t>⑤ Dev Kickoff / SPEC·DEV Key (50%) / Credential</t>
  </si>
  <si>
    <t>⑥ Certification (60%)</t>
  </si>
  <si>
    <t>⑦ Live Test (70%)</t>
  </si>
  <si>
    <t>⑧ Dev Completion Planned (75%)</t>
  </si>
  <si>
    <t>⑨ Live Key Open (80%)</t>
  </si>
  <si>
    <t>⑩ First Booking (90%)</t>
  </si>
  <si>
    <t>⑪ API Live Complete (100%)</t>
  </si>
  <si>
    <t>Status (manual backup)</t>
  </si>
  <si>
    <t>Dev Owner</t>
  </si>
  <si>
    <t>Target Go-Live</t>
  </si>
  <si>
    <t>Blocker</t>
  </si>
  <si>
    <t>Note</t>
  </si>
  <si>
    <t>Hold/Drop</t>
  </si>
  <si>
    <t>Korea</t>
  </si>
  <si>
    <t>HANHWA Hotel &amp; Resort</t>
  </si>
  <si>
    <t>CRS</t>
  </si>
  <si>
    <t>High</t>
  </si>
  <si>
    <t>🔴 Full (100%)</t>
  </si>
  <si>
    <t>SLA</t>
  </si>
  <si>
    <t>Sophia</t>
  </si>
  <si>
    <t>Contact</t>
  </si>
  <si>
    <t>China</t>
  </si>
  <si>
    <t>Shiji</t>
  </si>
  <si>
    <t>Switching System</t>
  </si>
  <si>
    <t>🟡 Half (50%)</t>
  </si>
  <si>
    <t>In Development</t>
  </si>
  <si>
    <t>NDA/Contract</t>
  </si>
  <si>
    <t>Spain</t>
  </si>
  <si>
    <t>TGX</t>
  </si>
  <si>
    <t>Juniper</t>
  </si>
  <si>
    <t>Mid</t>
  </si>
  <si>
    <t>🟢 Minimal (5-10%)</t>
  </si>
  <si>
    <t>Testing</t>
  </si>
  <si>
    <t>Singapore</t>
  </si>
  <si>
    <t>TAN</t>
  </si>
  <si>
    <t>Low</t>
  </si>
  <si>
    <t>Live</t>
  </si>
  <si>
    <t>IOL</t>
  </si>
  <si>
    <t>Derbysoft</t>
  </si>
  <si>
    <t>USA</t>
  </si>
  <si>
    <t>Synxis</t>
  </si>
  <si>
    <t>11infortec</t>
  </si>
  <si>
    <t>Hong Kong</t>
  </si>
  <si>
    <t>Klook</t>
  </si>
  <si>
    <t>Channel API</t>
  </si>
  <si>
    <t>GSM</t>
  </si>
  <si>
    <t>Grace</t>
  </si>
  <si>
    <t>Indonesia</t>
  </si>
  <si>
    <t>Tiket.com</t>
  </si>
  <si>
    <t>Aiden</t>
  </si>
  <si>
    <t>Israel</t>
  </si>
  <si>
    <t>GGT (Go Global)</t>
  </si>
  <si>
    <t xml:space="preserve"> Aiden</t>
  </si>
  <si>
    <t>India</t>
  </si>
  <si>
    <t>TBO</t>
  </si>
  <si>
    <t>Russia</t>
  </si>
  <si>
    <t>RateHawk</t>
  </si>
  <si>
    <t>Luxury Tours</t>
  </si>
  <si>
    <t>Travelata(Vivatech)</t>
  </si>
  <si>
    <t>🟢 Minimal (5-11%)</t>
  </si>
  <si>
    <t>Within Earth</t>
  </si>
  <si>
    <t>🟢 Minimal (5-15%)</t>
  </si>
  <si>
    <t>Thailand</t>
  </si>
  <si>
    <t>Pax2night</t>
  </si>
  <si>
    <t>🟢 Minimal (5-16%)</t>
  </si>
  <si>
    <t>Happy Travel</t>
  </si>
  <si>
    <t>🟢 Minimal (5-17%)</t>
  </si>
  <si>
    <t>bizplay</t>
  </si>
  <si>
    <t>HBX</t>
  </si>
  <si>
    <t>Webbeds</t>
  </si>
  <si>
    <t>Taiwan</t>
  </si>
  <si>
    <t>Lion Travel</t>
  </si>
  <si>
    <t>SHIJI</t>
  </si>
  <si>
    <t>Star Travel</t>
  </si>
  <si>
    <t>Cola Tour</t>
  </si>
  <si>
    <t>Uone</t>
  </si>
  <si>
    <t>Amerilink</t>
  </si>
  <si>
    <t>Vietnam</t>
  </si>
  <si>
    <t>Chudu24</t>
  </si>
  <si>
    <t>Prime Travel</t>
  </si>
  <si>
    <t>Fangcang</t>
  </si>
  <si>
    <t>Meiya</t>
  </si>
  <si>
    <t>IKET</t>
  </si>
  <si>
    <t>JL Tour</t>
  </si>
  <si>
    <t>Qian Tao</t>
  </si>
  <si>
    <t>MakeMyTrip</t>
  </si>
  <si>
    <t>Vietravel</t>
  </si>
  <si>
    <t>Mafengwo</t>
  </si>
  <si>
    <t>Chai Yi Lc -Yihao</t>
  </si>
  <si>
    <t>Fenbeitong</t>
  </si>
  <si>
    <t>Hibeds</t>
  </si>
  <si>
    <t>Momo</t>
  </si>
  <si>
    <t>Wingspulse</t>
  </si>
  <si>
    <t>Huamao</t>
  </si>
  <si>
    <t>Linkall travel</t>
  </si>
  <si>
    <t>SUZHOU YILV SUNSHINE TRAVEL AGENCY CO.,LTD</t>
  </si>
  <si>
    <t>Ziru (TMC)</t>
  </si>
  <si>
    <t>Didi TMC</t>
  </si>
  <si>
    <t>CN Booking</t>
  </si>
  <si>
    <t>Gotadi - HCM Branch</t>
  </si>
  <si>
    <t>Gotadi - HN Branch</t>
  </si>
  <si>
    <t>Joy Travel</t>
  </si>
  <si>
    <t>Cheapotel</t>
  </si>
  <si>
    <t>Justgotrip</t>
  </si>
  <si>
    <t>3rd Party Hotel</t>
  </si>
  <si>
    <t>Rate Hawk</t>
  </si>
  <si>
    <t>Restel Hotels</t>
  </si>
  <si>
    <t>MG Group</t>
  </si>
  <si>
    <t>Welcomebeds</t>
  </si>
  <si>
    <t>UK</t>
  </si>
  <si>
    <t>G2 Travel</t>
  </si>
  <si>
    <t>Go Global</t>
  </si>
  <si>
    <t>Japan</t>
  </si>
  <si>
    <t>Miki</t>
  </si>
  <si>
    <t>Accomy</t>
  </si>
  <si>
    <t>ABC Travel</t>
  </si>
  <si>
    <t>JTR</t>
  </si>
  <si>
    <t>3rd Party Activity</t>
  </si>
  <si>
    <t>Linktivity</t>
  </si>
  <si>
    <t>Toto booking</t>
  </si>
  <si>
    <t>Agoda</t>
  </si>
  <si>
    <t>Qunar</t>
  </si>
  <si>
    <t>Alitrip</t>
  </si>
  <si>
    <t>Myrealtrip API</t>
  </si>
  <si>
    <t>Hikari Global</t>
  </si>
  <si>
    <t>Tripbtoz</t>
  </si>
  <si>
    <t>Hotelpass</t>
  </si>
  <si>
    <t>Toptown API (시트립 Vacation 자회사)</t>
  </si>
  <si>
    <t>Traveloka</t>
  </si>
  <si>
    <t>MG Group (Room Deal)</t>
  </si>
  <si>
    <t>RTX (Rakuten)</t>
  </si>
  <si>
    <t>SS Booking</t>
  </si>
  <si>
    <t>Linkstay</t>
  </si>
  <si>
    <t>Hotelbank</t>
  </si>
  <si>
    <t>Huamin</t>
  </si>
  <si>
    <t>Bingtrip</t>
  </si>
  <si>
    <t>Ctrip Korea</t>
  </si>
  <si>
    <t>Dida</t>
  </si>
  <si>
    <t>KAKE</t>
  </si>
  <si>
    <t>Hey Trip</t>
  </si>
  <si>
    <t>Coolprice</t>
  </si>
  <si>
    <t>Tourmind</t>
  </si>
  <si>
    <t>Meituan</t>
  </si>
  <si>
    <t>Elong</t>
  </si>
  <si>
    <t>PKFARE API</t>
  </si>
  <si>
    <t>Ctrip Vietnam</t>
  </si>
  <si>
    <t>Convergent API (Huizhi)</t>
  </si>
  <si>
    <t>triptopaz</t>
  </si>
  <si>
    <t>Qiyouji</t>
  </si>
  <si>
    <t>Jejupay</t>
  </si>
  <si>
    <t>Jane</t>
  </si>
  <si>
    <t>📋 마진 변동 기안서 생성 프롬프트 (Margin Adjustment Proposal Prompt)</t>
  </si>
  <si>
    <t>아래 프롬프트를 복사하여 Claude에 붙여넣으면 기안서가 텍스트로 생성됩니다. (Copy the prompt below and paste it into Claude to generate a proposal in text format.)</t>
  </si>
  <si>
    <t>▼ 프롬프트 (아래 전체를 복사하세요) / Prompt (Copy everything below)</t>
  </si>
  <si>
    <t>아래 정보를 바탕으로 고객사 마진 변동 기안서를 텍스트로 작성해줘. 표 형식 없이, 읽기 쉬운 문서 형태로 출력해줘.
(Based on the information below, write a client margin adjustment proposal in text format. Output in a readable document format without tables.)
---
[기본 정보 (Basic Info)]
- 기안 제목(Title): {제목 입력}
- 고객사명(Client): {고객사명 입력}
- 담당자(PIC): {담당자명 입력}
- 기안일자(Date): {YYYY-MM-DD}
- 프로모션명(Promotion): {프로모션명 입력}
[마진 변동 내용 (Margin Change Details)]
- 기존 마진(Before Markup): {예: 25%}
- 변경 마진(After Markup): {예: 22%}
- 변동폭(Change): {예: -3%p}
- 변동 사유(Reason): {사유 입력}
[적용 일정 (Schedule)]
- 적용 시작일(Start Date): {YYYY-MM-DD}
- 적용 종료일(End Date): {YYYY-MM-DD}
- 시작 시간(Start Time): {예: 오전 9시}
- 시간대(Timezone): {예: KST / CST}
[기대 효과 (Expected Effects)]
1. {기대효과 1}
2. {기대효과 2}
3. {기대효과 3}
[결재 (Approval)]
- 기안자(Drafter): {성명}
- 1차 결재자(1st Approver): {성명}
- 최종 결재자(Final Approver): {성명}
---
위 내용으로 "고객사 마진 변동 및 프로모션 진행 건 (Client Margin Adjustment &amp; Promotion)" 형태의 공식 기안서를 작성해줘.
각 섹션에 번호를 매기고, 목적/마진변동내용/적용일정/기대효과/결재란을 포함해줘.
출력은 순수 텍스트(글)로만 해줘.</t>
  </si>
  <si>
    <t>📊 마진 변동 트래킹 로그 (Margin Change Tracking Log)</t>
  </si>
  <si>
    <t>번호(No.)</t>
  </si>
  <si>
    <t>고객사명(Client)</t>
  </si>
  <si>
    <t>담당자(PIC)</t>
  </si>
  <si>
    <t>프로모션명(Promotion)</t>
  </si>
  <si>
    <t>기존 마진(Before)</t>
  </si>
  <si>
    <t>변경 마진(After)</t>
  </si>
  <si>
    <t>변동폭(Change)</t>
  </si>
  <si>
    <t>적용 시작일(Start)</t>
  </si>
  <si>
    <t>적용 종료일(End)</t>
  </si>
  <si>
    <t>적용 기간(Duration)</t>
  </si>
  <si>
    <t>상태(Status)</t>
  </si>
  <si>
    <t>결과(Result)</t>
  </si>
  <si>
    <t>비고(Note)</t>
  </si>
  <si>
    <t>Report CEO</t>
  </si>
  <si>
    <t>OMH PROMOTION</t>
  </si>
  <si>
    <t>진행중(Active)</t>
  </si>
  <si>
    <t>소폭 증가</t>
  </si>
  <si>
    <t>Aiden Check</t>
  </si>
  <si>
    <t>☑</t>
  </si>
  <si>
    <t>대폭 증가</t>
  </si>
  <si>
    <t>Ben</t>
  </si>
  <si>
    <t>Company</t>
  </si>
  <si>
    <t>Settlement Period</t>
  </si>
  <si>
    <t>Contract Date</t>
  </si>
  <si>
    <t>Follow Up</t>
  </si>
  <si>
    <t>완료 날짜(예상포함)</t>
  </si>
  <si>
    <t>Citibank announcement</t>
    <phoneticPr fontId="2" type="noConversion"/>
  </si>
  <si>
    <t>MEITUAN</t>
  </si>
  <si>
    <t>Weekly</t>
  </si>
  <si>
    <t>3/2 재변경 진행 중</t>
  </si>
  <si>
    <t>화폐 모두 변경 완료</t>
  </si>
  <si>
    <t>이전 check out 건 manual 정리 포함</t>
  </si>
  <si>
    <t>QUNAR</t>
  </si>
  <si>
    <r>
      <t xml:space="preserve">4/6 </t>
    </r>
    <r>
      <rPr>
        <sz val="10"/>
        <color theme="1"/>
        <rFont val="맑은 고딕"/>
        <family val="2"/>
        <charset val="129"/>
      </rPr>
      <t>변경 진행 중</t>
    </r>
    <phoneticPr fontId="2" type="noConversion"/>
  </si>
  <si>
    <t>6/1 변경 완료</t>
  </si>
  <si>
    <t>Qunar 6/3일 내부 변경 예정, 원본 합의서 우편으로 보냄</t>
  </si>
  <si>
    <t>CONVERGENT</t>
  </si>
  <si>
    <t xml:space="preserve">3/2 재변경 완료 </t>
  </si>
  <si>
    <t>4/13변경 완료</t>
  </si>
  <si>
    <t>TONGCHENG</t>
  </si>
  <si>
    <t>3/2 변경 완료</t>
  </si>
  <si>
    <t>3/23 변경 완료</t>
  </si>
  <si>
    <t>Monthly</t>
  </si>
  <si>
    <t>6/4 change completely</t>
  </si>
  <si>
    <t>6/4 finish</t>
  </si>
  <si>
    <t>PKFARE</t>
  </si>
  <si>
    <t>Bi-Weekly</t>
  </si>
  <si>
    <t xml:space="preserve">3/16 변경 완료 - 이건 한국 들어감 </t>
  </si>
  <si>
    <t>4/1변경 완료</t>
  </si>
  <si>
    <t>QIYOUJI</t>
  </si>
  <si>
    <t>3/16 변경 완료</t>
  </si>
  <si>
    <t>DIDA</t>
  </si>
  <si>
    <t>4/1 재변경 진행 중</t>
  </si>
  <si>
    <t>4/16 변경 완료</t>
  </si>
  <si>
    <t>TOURMIND</t>
  </si>
  <si>
    <t>HEYTRIP</t>
  </si>
  <si>
    <t>4/1 협의 진행 중, 데포짓 변경처리 필요</t>
  </si>
  <si>
    <t>5/1로 변경 완료</t>
  </si>
  <si>
    <t>deposit 우리에게 씨티 입금해야되는데, Heytrip 담당 입금정보 시스템에서 업데이트 안되어있어 싱가포르 KEB Hana 엔화 계좌 입금했음</t>
  </si>
  <si>
    <t>리뷰 회신 대기 중 -3/16계약로 진행</t>
  </si>
  <si>
    <t>ALITRIP</t>
  </si>
  <si>
    <t>3/1 재변경 완료</t>
  </si>
  <si>
    <t>SS BOOKING</t>
  </si>
  <si>
    <t>TOPTOWN</t>
    <phoneticPr fontId="2" type="noConversion"/>
  </si>
  <si>
    <t>RTX</t>
  </si>
  <si>
    <t>4/1 변경 완료</t>
  </si>
  <si>
    <t>변경 완료</t>
  </si>
  <si>
    <t>Room Deal (MG)</t>
  </si>
  <si>
    <t>5/1자 변경 진행 중, 크로스셀링으로 진행</t>
    <phoneticPr fontId="2" type="noConversion"/>
  </si>
  <si>
    <t>MS. Sophia review the MG's feedback - related to Purchasing contract</t>
  </si>
  <si>
    <t>Ctrip</t>
  </si>
  <si>
    <t>메일 확인 ~ 소피아님 확인 필요</t>
  </si>
  <si>
    <t>No.</t>
    <phoneticPr fontId="2" type="noConversion"/>
  </si>
  <si>
    <t>Company</t>
    <phoneticPr fontId="2" type="noConversion"/>
  </si>
  <si>
    <t>Settlement Period</t>
    <phoneticPr fontId="2" type="noConversion"/>
  </si>
  <si>
    <t>Contract Date</t>
    <phoneticPr fontId="2" type="noConversion"/>
  </si>
  <si>
    <t>Follow Up</t>
    <phoneticPr fontId="2" type="noConversion"/>
  </si>
  <si>
    <t>HOTELBANK</t>
    <phoneticPr fontId="2" type="noConversion"/>
  </si>
  <si>
    <r>
      <t xml:space="preserve">3/1 </t>
    </r>
    <r>
      <rPr>
        <sz val="10"/>
        <color theme="1"/>
        <rFont val="맑은 고딕"/>
        <family val="2"/>
        <charset val="129"/>
      </rPr>
      <t>재</t>
    </r>
    <r>
      <rPr>
        <sz val="10"/>
        <color theme="1"/>
        <rFont val="맑은 고딕"/>
        <family val="3"/>
        <charset val="129"/>
      </rPr>
      <t>변경</t>
    </r>
    <r>
      <rPr>
        <sz val="10"/>
        <color theme="1"/>
        <rFont val="Calibri"/>
        <family val="2"/>
      </rPr>
      <t xml:space="preserve"> </t>
    </r>
    <r>
      <rPr>
        <sz val="10"/>
        <color theme="1"/>
        <rFont val="맑은 고딕"/>
        <family val="3"/>
        <charset val="129"/>
      </rPr>
      <t>완료</t>
    </r>
    <phoneticPr fontId="2" type="noConversion"/>
  </si>
  <si>
    <t>HUAMIN</t>
    <phoneticPr fontId="2" type="noConversion"/>
  </si>
  <si>
    <t>3/16변경 완료</t>
  </si>
  <si>
    <t>COOLPRICE</t>
    <phoneticPr fontId="2" type="noConversion"/>
  </si>
  <si>
    <r>
      <rPr>
        <sz val="10"/>
        <color rgb="FF000000"/>
        <rFont val="Calibri"/>
        <family val="2"/>
      </rPr>
      <t xml:space="preserve">3/31 Addendum </t>
    </r>
    <r>
      <rPr>
        <sz val="10"/>
        <color rgb="FF000000"/>
        <rFont val="Aptos"/>
        <family val="2"/>
      </rPr>
      <t>보냈음</t>
    </r>
  </si>
  <si>
    <t>STAR TRAVEL</t>
    <phoneticPr fontId="2" type="noConversion"/>
  </si>
  <si>
    <t>addendum with new bank acc</t>
  </si>
  <si>
    <t>4/1변경 완료 ( no addendum yet)</t>
  </si>
  <si>
    <t>LINKSTAY</t>
    <phoneticPr fontId="2" type="noConversion"/>
  </si>
  <si>
    <t>KLOOK</t>
    <phoneticPr fontId="2" type="noConversion"/>
  </si>
  <si>
    <t>New contract</t>
  </si>
  <si>
    <t>[2026 Mapping Schedule]</t>
  </si>
  <si>
    <t>Q1</t>
  </si>
  <si>
    <t>Q2</t>
  </si>
  <si>
    <t>Q3</t>
  </si>
  <si>
    <t>Q4</t>
  </si>
  <si>
    <t>Jan</t>
  </si>
  <si>
    <t>Feb</t>
  </si>
  <si>
    <t>Mar</t>
  </si>
  <si>
    <t>Apr</t>
  </si>
  <si>
    <t>May</t>
  </si>
  <si>
    <t>Jun</t>
  </si>
  <si>
    <t>Jul</t>
  </si>
  <si>
    <t>Aug</t>
  </si>
  <si>
    <t>Sep</t>
  </si>
  <si>
    <t>Oct</t>
  </si>
  <si>
    <t>Nov</t>
  </si>
  <si>
    <t>Dec</t>
  </si>
  <si>
    <t>PIC</t>
  </si>
  <si>
    <t>Current Step</t>
  </si>
  <si>
    <t>Start Date</t>
  </si>
  <si>
    <t>End Date</t>
  </si>
  <si>
    <t>Notes / Issues</t>
  </si>
  <si>
    <t>W1</t>
  </si>
  <si>
    <t>W2</t>
  </si>
  <si>
    <t>W3</t>
  </si>
  <si>
    <t>W4</t>
  </si>
  <si>
    <t>W5</t>
  </si>
  <si>
    <t>Manual Mapping</t>
  </si>
  <si>
    <t>Ctrip KR Manual Check - Jun 2026</t>
  </si>
  <si>
    <t>Content</t>
  </si>
  <si>
    <t>Receive Room List</t>
  </si>
  <si>
    <t>Done</t>
  </si>
  <si>
    <t>Finish manual mapping</t>
  </si>
  <si>
    <t>Ctrip VN Manual Check</t>
  </si>
  <si>
    <t>Manual Map after SCM Review</t>
  </si>
  <si>
    <t>On Hold</t>
  </si>
  <si>
    <t>Following up with SCM on some denied create-new-room requests, almost finished</t>
  </si>
  <si>
    <t>Ctrip KR Manual Check - Aug 2026</t>
  </si>
  <si>
    <t>896 rooms. Prioritizing Alitrip recheck</t>
  </si>
  <si>
    <t>Recheck Alitrip's Manual Mapping</t>
  </si>
  <si>
    <t>In Progress</t>
  </si>
  <si>
    <t>~1100 rooms</t>
  </si>
  <si>
    <t>Dida Manual Check 
- VN SCM</t>
  </si>
  <si>
    <t>Not Started</t>
  </si>
  <si>
    <t>Blocked</t>
  </si>
  <si>
    <t>날짜
(Date)</t>
  </si>
  <si>
    <t>작성자
(Reporter)</t>
  </si>
  <si>
    <t>채널명
(Channel)</t>
  </si>
  <si>
    <t>유형
(Type)</t>
  </si>
  <si>
    <t>내용
(Details)</t>
  </si>
  <si>
    <t>대응/액션
(Action Plan)</t>
  </si>
  <si>
    <t>비고
(Remarks)</t>
  </si>
  <si>
    <t>예: 04/07
e.g. MM/DD</t>
  </si>
  <si>
    <t>이름
Name</t>
  </si>
  <si>
    <t>채널/업체명
Channel/Company Name</t>
  </si>
  <si>
    <t>▼ 선택
▼ Select</t>
  </si>
  <si>
    <t>상세 내용 기재
Describe in detail</t>
  </si>
  <si>
    <t>"무엇을, 언제까지" 명시
Specify "What, by When"</t>
  </si>
  <si>
    <t>4/13 ~ 4/17</t>
  </si>
  <si>
    <t>하나투어</t>
  </si>
  <si>
    <t>요금/물량 이슈</t>
  </si>
  <si>
    <t>13개 호텔에 대한 가격 조정 요청 및 연장 요청</t>
  </si>
  <si>
    <t>진행 중인 프로모션 리체크 하여 최대한 가격 조정 및 연장 가능한 호텔
연장 처리 완료</t>
  </si>
  <si>
    <t>여기어때투어</t>
  </si>
  <si>
    <t>JP SCM에서 Oriental Hotel Universal City 한국 마켓에 판매 해달라는 요청 있어 여기어때투어에 특가 요금표 제공하여 판매 부스트하는 방식으로 가능 안내</t>
  </si>
  <si>
    <t>업데이트 된 고정 요금 확인하였으나 메타 최저가 대비 가격이 높아 제안 불가, 호텔과 다시 조정 필요함 안내</t>
  </si>
  <si>
    <t>4/20 ~ 4/24</t>
  </si>
  <si>
    <t>샬레코리아</t>
  </si>
  <si>
    <t>프로모션제안</t>
  </si>
  <si>
    <t>SK이노베이션 하드블럭 요청</t>
  </si>
  <si>
    <t>요금 안내 드렸으나 유류할증료 인상 등의 영향으로 해외 시설은 모객이 어려울 것으로 판단 되어 진행 어렵다고 함</t>
  </si>
  <si>
    <t>4/27 ~ 4/30</t>
  </si>
  <si>
    <t>모두투어</t>
  </si>
  <si>
    <t>기타</t>
  </si>
  <si>
    <t xml:space="preserve">API 연동 관련 제안서 발송 및 미팅 </t>
  </si>
  <si>
    <t>공급사 추가 계획 아직 없어 미팅 진행 어렵다고 함</t>
  </si>
  <si>
    <t>스테이폴리오</t>
  </si>
  <si>
    <t>API 연동 관련 미팅</t>
  </si>
  <si>
    <t>5월 미팅 예정, 일정 확인 중</t>
  </si>
  <si>
    <t>11번가</t>
  </si>
  <si>
    <t>업체 파악</t>
  </si>
  <si>
    <t>문의 메일 드렸으나 답변 없음</t>
  </si>
  <si>
    <t>매핑/콘텐츠</t>
  </si>
  <si>
    <t>매핑 이슈</t>
  </si>
  <si>
    <t xml:space="preserve">1) K26020711004H01 기존 매핑 이슈 발생 건, 11번가 오류로 관련 취소 수수료 11번가에서 지불 예정 확인 받았으나 지불 예정 날짜 답변 받지 못해서 체이스 예정
2) 객실명에 해당 단어들이 모두 포함되어 있으면 매칭 되는 11번가 룸매핑 방식에 따라 추후 비슷한 케이스 발생할 가능성 높을 것으로 보임 </t>
  </si>
  <si>
    <t>5/4 ~ 5/8</t>
  </si>
  <si>
    <t>점보투어즈 한국지사</t>
  </si>
  <si>
    <t xml:space="preserve">닷비즈 신규 가입, 3rd party 공급 문의 </t>
  </si>
  <si>
    <t>소피아님께 전달 드림</t>
  </si>
  <si>
    <t>5/14 미팅 예정</t>
  </si>
  <si>
    <t>이상 없음(No Issue)</t>
  </si>
  <si>
    <t>기존 FIT본부와 별개로 고품격여행팀에서 닷비즈 신규 가입 및 호텔 리스트 요청</t>
  </si>
  <si>
    <t>호텔 리스트 정리 및 요금표 송부, 닷비즈 사용법 안내</t>
  </si>
  <si>
    <t>5/18 ~ 5/22</t>
  </si>
  <si>
    <t>현대여행사</t>
  </si>
  <si>
    <t>단체 견적 요청</t>
  </si>
  <si>
    <t>3개 호텔 단체 견적서 제출</t>
  </si>
  <si>
    <t>3분기 요금표 요청</t>
  </si>
  <si>
    <t>API 연동 관련 미팅 예정</t>
  </si>
  <si>
    <t>KKDAY</t>
  </si>
  <si>
    <t>3분기 요금/재고 업데이트 요청</t>
  </si>
  <si>
    <t>금주까지 예약 추이 보고 제공 금액 결정 예정</t>
  </si>
  <si>
    <t>Hotel Monterey Fukuoka 요금표 요청</t>
  </si>
  <si>
    <t>송부 드림</t>
  </si>
  <si>
    <t>5/25~5/29</t>
  </si>
  <si>
    <t>회신 및 연장 처리 확인 완료</t>
  </si>
  <si>
    <t>KOKO HOTEL Nagoya Sakae, Sotetsu Fresa Inn Nihombashi Kayabacho 요금표 요청</t>
  </si>
  <si>
    <t>AGL</t>
  </si>
  <si>
    <t>미팅</t>
  </si>
  <si>
    <t>미팅 참석, 호텔리스트 송부 예정</t>
  </si>
  <si>
    <t>Myrealtrip</t>
  </si>
  <si>
    <t>마이리얼트립 화이트리스트 요청</t>
  </si>
  <si>
    <t>JP 취합 완료, VN 회신 대기 중</t>
  </si>
  <si>
    <t>Tripbtoz-Hotel Skypark Daejeon 1 매핑 이슈</t>
  </si>
  <si>
    <t>수정 요청 하였으나 처리에 시간 다소 걸릴 것 같아 우선 해당 호텔 블락 처리</t>
  </si>
  <si>
    <t>료칸리스트, 테스트 계정 요청</t>
  </si>
  <si>
    <t>전달 완료</t>
  </si>
  <si>
    <t>6/1~6/5</t>
  </si>
  <si>
    <t xml:space="preserve">API 연동 관련 미팅 </t>
  </si>
  <si>
    <t>참석 완료</t>
  </si>
  <si>
    <t>화이트리스트 요청</t>
  </si>
  <si>
    <t>JP 전달 완료, 노출 여부 확인 예정 / VN 취합 중</t>
  </si>
  <si>
    <t>Triptopaz</t>
  </si>
  <si>
    <t>JP, VN 취합 중</t>
  </si>
  <si>
    <t>1년 요금 제공 가능한 호텔 확인 중</t>
  </si>
  <si>
    <t xml:space="preserve">부산 대학교 연합 </t>
  </si>
  <si>
    <t>후쿠오카 단체 견적</t>
  </si>
  <si>
    <t>JP SCM 확인 중</t>
  </si>
  <si>
    <t>STEM</t>
  </si>
  <si>
    <t>Hikari</t>
  </si>
  <si>
    <t>어레인지 완료, 매출리포트 작성</t>
  </si>
  <si>
    <t>K26050210011H01 매핑 오류</t>
  </si>
  <si>
    <t>Compensation 발생 시 5:5 부담 예정, 우선 VN OP로 핸들링 내용 전달</t>
  </si>
  <si>
    <t>K26052911150H01 매핑 오류</t>
  </si>
  <si>
    <t>Tripbtoz-sub agent 수정 중이라고 함</t>
  </si>
  <si>
    <t>연동 관련 F/U</t>
  </si>
  <si>
    <t>테스트 계정, 톱리스트 전달</t>
  </si>
  <si>
    <t>호텔 리스트</t>
  </si>
  <si>
    <t>고정 요금 제공 가능한 호텔 리스트 전달</t>
  </si>
  <si>
    <t>6/8~6/12</t>
  </si>
  <si>
    <t>3분기 요금표</t>
  </si>
  <si>
    <t>5개 호텔 전달 완료</t>
  </si>
  <si>
    <t>매핑 되어 있으나 요금 안 나오는 호텔</t>
  </si>
  <si>
    <t>예시 호텔 우선 확인 중, 추가 호텔 리스트 요청 예정</t>
  </si>
  <si>
    <t>MKS</t>
  </si>
  <si>
    <t>호텔 가격 확인 요청</t>
  </si>
  <si>
    <t>11개 호텔 객실료 회신 완료</t>
  </si>
  <si>
    <t>기타큐슈 단체 견적</t>
  </si>
  <si>
    <t>Hanatour</t>
  </si>
  <si>
    <t>Sotetsu Grand Fresa Osaka - Namba 전용 요금</t>
  </si>
  <si>
    <t>6/15~6/19</t>
  </si>
  <si>
    <t xml:space="preserve">여기어때 </t>
  </si>
  <si>
    <t>요금표 송부</t>
  </si>
  <si>
    <t>3개 호텔 요금표 송부 완료</t>
  </si>
  <si>
    <t>All</t>
  </si>
  <si>
    <t>Room Type Name 로직 변경 관련 검토 요청</t>
  </si>
  <si>
    <t>각 에이전트로 메일 송부, 회신 대기 중</t>
  </si>
  <si>
    <t>Tripbtoz, Triptopaz, Hotelpass</t>
  </si>
  <si>
    <t>여름 프로모션 참여 가능 여부 확인 요청</t>
  </si>
  <si>
    <t>소테츠 브랜드관 프로모션</t>
  </si>
  <si>
    <t>마리트에서 추가 정보 요청, 회신 예정</t>
  </si>
  <si>
    <t>Triptopaz, Myrealtrip</t>
  </si>
  <si>
    <t>후쿠오카시장 트렌드 조사</t>
  </si>
  <si>
    <t>3개 에이전트 메일 송부 드림, 회신 대기 중</t>
  </si>
  <si>
    <t>미팅 참석 및 리캡 완료</t>
  </si>
  <si>
    <t>6월 상반 인보이스 확인</t>
  </si>
  <si>
    <t>확인 및 수동 발송 완료</t>
  </si>
  <si>
    <t>Stem</t>
  </si>
  <si>
    <t>예약금 입금 확인, 숙박객 명단 대기 중</t>
  </si>
  <si>
    <t>6/22~6/26</t>
  </si>
  <si>
    <t>Hotelpass, Myrealtrip, Triptopaz, Tripbtoz, Hikari</t>
  </si>
  <si>
    <t>6월 트렌드 인사이트 및 설문</t>
  </si>
  <si>
    <t>요청 완료, 회신 대기중</t>
  </si>
  <si>
    <t>예약 생성 완료, 8월 잔금 확인 예정</t>
  </si>
  <si>
    <t>Hotelpass, Myrealtrip</t>
  </si>
  <si>
    <t>후지타 관광 프로모션</t>
  </si>
  <si>
    <t>JP SCM Rate 셋팅 확인 되면 각 에이전트로 전달 예정</t>
  </si>
  <si>
    <t>JP SCM에서 금일 중 회신 예정</t>
  </si>
  <si>
    <t>Myrealtrip, Triptopaz</t>
  </si>
  <si>
    <t>후쿠오카 시장 트렌드 조사</t>
  </si>
  <si>
    <t>Triptopaz 미회신, Myrealtrip 회신 받음</t>
  </si>
  <si>
    <t>웹베즈 미팅</t>
  </si>
  <si>
    <t>DOTW · FITRuums 매출 리포트 작성 완료</t>
  </si>
  <si>
    <t>6/29~7/3</t>
  </si>
  <si>
    <t>Hotelpass, Hikari 취합 완료</t>
  </si>
  <si>
    <t>Hotelpass, Myrealytrip에 전달 완료</t>
  </si>
  <si>
    <t>티켓패스 월 마감</t>
  </si>
  <si>
    <t>"판매량 12 / 수탁고 126,518 / 수익 5,839</t>
  </si>
  <si>
    <t>돌하루팡</t>
  </si>
  <si>
    <t>미팅 어레인지</t>
  </si>
  <si>
    <t>어레인지 완료, 7/3 미팅 예정</t>
  </si>
  <si>
    <t>프로모션 기간 확인, 오픈 시 페이지 공유 예정</t>
  </si>
  <si>
    <t>신규 한국 업체 컨택</t>
  </si>
  <si>
    <t>업체 이메일 발송 중</t>
  </si>
  <si>
    <t>마리특</t>
  </si>
  <si>
    <t>VN Hotel list 발송</t>
  </si>
  <si>
    <t>7/6~ 7/10</t>
  </si>
  <si>
    <t>7개 KR Agent</t>
  </si>
  <si>
    <t>KR Agent 미팅 어레인지</t>
  </si>
  <si>
    <t>에어텔닷컴, 트립비토즈 완료</t>
  </si>
  <si>
    <t xml:space="preserve">판매 개시 </t>
  </si>
  <si>
    <t>마리특 베트남 프로모션</t>
  </si>
  <si>
    <t>NDA 송부</t>
  </si>
  <si>
    <t>리뷰 완료 했다고 함, 날인본 수령 예정</t>
  </si>
  <si>
    <t>미팅 후속 F/U</t>
  </si>
  <si>
    <t>메일 드렸으나 회신 없음</t>
  </si>
  <si>
    <t>Hotelpass 판매 시작, Myrealytrip 판매 예정</t>
  </si>
  <si>
    <t>업체 컨택 중</t>
  </si>
  <si>
    <t>7/13~7/16</t>
  </si>
  <si>
    <t>NDA 날인본 및 회사 소개서 수령, 계약서 준비중</t>
  </si>
  <si>
    <t>추후 진행 필요 시 논의 예정, 케이스 종료</t>
  </si>
  <si>
    <t>Kayak</t>
  </si>
  <si>
    <t>API 문서 공유 요청</t>
  </si>
  <si>
    <t>이제너두</t>
  </si>
  <si>
    <t>제휴 문의</t>
  </si>
  <si>
    <t>온라인 미팅 어레인지 중</t>
  </si>
  <si>
    <t>7/20~7/24</t>
  </si>
  <si>
    <t>한국 업체 미팅</t>
  </si>
  <si>
    <t>어레인지 중</t>
  </si>
  <si>
    <t>신규 계약</t>
  </si>
  <si>
    <t>계약서 발송 필요</t>
  </si>
  <si>
    <t>국문 계약서 준비 중</t>
  </si>
  <si>
    <t>대면 미팅 예정</t>
  </si>
  <si>
    <t>Hotel Monterey Fukuoka 4분기 요금표 요청</t>
  </si>
  <si>
    <t>한국 에이전트 태국 탑셀링 요청</t>
  </si>
  <si>
    <t>호텔패스, 마이리얼트립 전달 완료, 트립토파즈 대기 중</t>
  </si>
  <si>
    <t>빅체인 호텔을 전용 브랜드관 요청</t>
  </si>
  <si>
    <t>asiarooms</t>
  </si>
  <si>
    <t>NDA 수령</t>
  </si>
  <si>
    <t>계약 진행 여부 확인 중</t>
  </si>
  <si>
    <t>7/27~7/31</t>
  </si>
  <si>
    <t>어레인지 완료</t>
  </si>
  <si>
    <t>계약서 발송</t>
  </si>
  <si>
    <t>국문 계약서 피드백 받아 수정 중</t>
  </si>
  <si>
    <t>트립토파즈 전달 완료</t>
  </si>
  <si>
    <t>신규 복지몰 입점 1년치 요금 요청</t>
  </si>
  <si>
    <t>일본 지진 관련 예약 트렌드 여파</t>
  </si>
  <si>
    <t>보고서 작성하여 JP SCM 전달 완료</t>
  </si>
  <si>
    <t>8/3~8/7</t>
  </si>
  <si>
    <t>미팅 완료, NDA와 다이렉스 호텔 리스트, 탑셀링 리스트 송부</t>
  </si>
  <si>
    <t>계약서 날인본 발송 및 API 문서 전달</t>
  </si>
  <si>
    <t>트립토파즈</t>
  </si>
  <si>
    <t>25&amp;26년 부킹 트렌드 리포트 작성</t>
  </si>
  <si>
    <t>마이리얼트립</t>
  </si>
  <si>
    <t>소테츠 프로모션 성과 리포트 작성</t>
  </si>
  <si>
    <t>에어텔닷컴</t>
  </si>
  <si>
    <t>25&amp;26년 예약 실적 리포트</t>
  </si>
  <si>
    <t>8/10~8/14</t>
  </si>
  <si>
    <t>회신 없어 전화 드림, 리뷰에 시간이 걸린다고 함</t>
  </si>
  <si>
    <t>개발 착수</t>
  </si>
  <si>
    <t>양사 개발팀 컨택포인트 전달 완료</t>
  </si>
  <si>
    <t>호텔 추천 요청</t>
  </si>
  <si>
    <t>탑셀링 전달, 요금표 송부</t>
  </si>
  <si>
    <t>네이버 슈퍼위크 프로모션</t>
  </si>
  <si>
    <t>각 SCM에 프로모션 확인 요청</t>
  </si>
  <si>
    <t>8/17~8/21</t>
  </si>
  <si>
    <t>프로모션 연장 문의</t>
  </si>
  <si>
    <t>여름 프로모션 결과값 기반으로 호텔패스와 진행 방향 확인 중</t>
  </si>
  <si>
    <t>3 KR Agent</t>
  </si>
  <si>
    <t>겨울 시즌 국내 집중 도시 확인</t>
  </si>
  <si>
    <t>2곳 답변 받아 보고 완료</t>
  </si>
  <si>
    <t>이화의료원 하드블럭 문의</t>
  </si>
  <si>
    <t>하드블럭 프로모션 제안</t>
  </si>
  <si>
    <t>국내 폐쇄몰, 복지몰 조사</t>
  </si>
  <si>
    <t>업데이트 완료</t>
  </si>
  <si>
    <t>Convergent</t>
  </si>
  <si>
    <t>화폐에 대한 추가 논의 중; 4/8 화폐 변경 완료</t>
  </si>
  <si>
    <t>변경 후 모니터링</t>
  </si>
  <si>
    <t>현재 부킹 다시 상승</t>
  </si>
  <si>
    <t>AMT</t>
  </si>
  <si>
    <t>API 연동 진행</t>
  </si>
  <si>
    <t>API 문서 보내고 계약 진행 현황 확인 중</t>
  </si>
  <si>
    <t>개발 시점 확인 필요</t>
  </si>
  <si>
    <t>FBT</t>
  </si>
  <si>
    <t>테스트/검증</t>
  </si>
  <si>
    <t>현재 테스트 어카운트 및 직계약 리스트 확인</t>
  </si>
  <si>
    <t>계약 진행 및 개발 일정 확인 예정</t>
  </si>
  <si>
    <t>지계약 리스트 정리 중</t>
  </si>
  <si>
    <t>3/26 이후 부킹 건 없음, 이슈 확인 요청; 4/8 물량 안 나오고 요금 매우 높음</t>
  </si>
  <si>
    <t>공급사 어딘지 알아보기</t>
  </si>
  <si>
    <t>JP supplier: Daiei, AHN, JTB, Miki (HIS) 
INTL: DIDA, EPS, HotelBeds, Rakuten X, Webbeds, TBO, Yanolja GoGlobal.</t>
  </si>
  <si>
    <t>라이브 오픈 준비</t>
  </si>
  <si>
    <t>CS 정보 요청, 오픈 직전 정보 수집 완료</t>
  </si>
  <si>
    <t>오픈 진행 예정</t>
  </si>
  <si>
    <t>4/21 그 주 오픈 예정</t>
  </si>
  <si>
    <t>인증/테스트 완료</t>
  </si>
  <si>
    <t>CS 정보 요청 완료; SLA 다시 사인, 테스트 certificate 끝</t>
  </si>
  <si>
    <t>기술 팀 검증 후 보증금 받기</t>
  </si>
  <si>
    <t>오픈 완료</t>
  </si>
  <si>
    <t>Top list 필요, 매핑 가이드 미팅 요청</t>
  </si>
  <si>
    <t>Top list 보냈음, 미팅 진행</t>
  </si>
  <si>
    <t>매핑 우리 측 하기로 함</t>
  </si>
  <si>
    <t>JL tour</t>
  </si>
  <si>
    <t>계약 갱신</t>
  </si>
  <si>
    <t>SLA 다시 사인 필요</t>
  </si>
  <si>
    <t>SLA 다시 받기</t>
  </si>
  <si>
    <t>완료</t>
  </si>
  <si>
    <t>계약 진행 중</t>
  </si>
  <si>
    <t>4월 내 마무리</t>
  </si>
  <si>
    <t>개발 일정 확인 중 (4월 말)</t>
  </si>
  <si>
    <t>Heytrip</t>
  </si>
  <si>
    <t>계약 다시 진행</t>
  </si>
  <si>
    <t>4월 안 마무리 필요</t>
  </si>
  <si>
    <t>4월13일~4월17일</t>
  </si>
  <si>
    <t>우리 먼저 공급 계약 진행</t>
  </si>
  <si>
    <t>승인 받을 수 다음 주 바로 처리함</t>
  </si>
  <si>
    <t>FBT 담당자와 티나님은 친한 관계가 있어
"현재 자체 보유 물량이 충분하지 않은 상황으로 확인되었습니다."
-우리가 공급은 가능하나 진행하는 조건은 No Deposit을 제안한 상태입니다.</t>
  </si>
  <si>
    <t>직계약 리스트를 취합하여 정리 중</t>
  </si>
  <si>
    <t>Allianze Trade는 우리에서 직접 신청 및 컨택이 필요한 업체입니다.
해당 업체에 대한 이해가 선행되어야 하기 때문에, 당사가 직접 커뮤니케이션을 진행하는 것이 적절합니다.
현재 이와 관련하여, JustGoTrip 담당자에게 EXP를 담당하는 Allianze Trade 측 PIC가 있는지 확인 중입니다.</t>
  </si>
  <si>
    <t>Allianze trade 더 알아보기</t>
  </si>
  <si>
    <t>QuoteDMC</t>
  </si>
  <si>
    <t>미팅 요청</t>
  </si>
  <si>
    <t>meeting arrangement</t>
  </si>
  <si>
    <t>4/21 그 주 오픈예정</t>
  </si>
  <si>
    <t>F/U with the process</t>
  </si>
  <si>
    <t>4월 개발 일정들어간다고 함</t>
  </si>
  <si>
    <t>chasing, but  according what PIC said, it was in the schedule</t>
  </si>
  <si>
    <t>물량 없다 계속 claimed</t>
  </si>
  <si>
    <t>room mapping % 요청했지만, 못 받을 수 있음</t>
  </si>
  <si>
    <t>IT 측 좀 chase 필요</t>
  </si>
  <si>
    <t>입금 펜딩 이미 한 달 넘어, 빨리 진행 필요</t>
  </si>
  <si>
    <t>요금 재고 다른 공급사 비교했을 때 경쟁력이 없음</t>
  </si>
  <si>
    <t xml:space="preserve">scm 측 다시 feedback 받아야함/ action 필요 </t>
  </si>
  <si>
    <t xml:space="preserve">우리 scm한테 뭐 요청할 때 deadline 추가하면 좋을 것 같음 </t>
  </si>
  <si>
    <t>정산이슈</t>
  </si>
  <si>
    <t>입금 계속 홀드상태</t>
  </si>
  <si>
    <t>Tourmind PIC랑 계속 확인 중</t>
  </si>
  <si>
    <t>HBXgroup</t>
  </si>
  <si>
    <t>Chai yi Lv</t>
  </si>
  <si>
    <t>NDA/ Contract 진행 중</t>
  </si>
  <si>
    <t>Bank guarantee 진행할 예정, 다만 Bank guarantee 통과 못 하는 부분 다시 deposit 필요함</t>
  </si>
  <si>
    <t>프로님 요청하는 부분이 있어, 은행에 따라 다를 수 있음</t>
  </si>
  <si>
    <t>4월21일~4월30일</t>
  </si>
  <si>
    <t>Kake</t>
  </si>
  <si>
    <t>현재 유일한 3rd party 일부 상품 판매하고 있음
-일중 이슈 인해 일본 3rd party 건 많이 판매 못 함, 측 오늘 3rdparty 우선 닫음</t>
  </si>
  <si>
    <t>Kake 직계약 다시 pull할 예정이고 5/1 행사 다가오기 때문에 3rd party는 5/5이후 다시 오픈 예정</t>
  </si>
  <si>
    <t>3/16~3/31 payment 다시 반송되었음
-이유: 중계 은행 없기 때문에</t>
  </si>
  <si>
    <t>citi은행 새로운 invoice 다시 발행
- 내주 확인 필요</t>
  </si>
  <si>
    <t xml:space="preserve">Staylah </t>
  </si>
  <si>
    <t>연동하고 싶지만 현재 우리 닷비즈도 고도화하면서 우선 펜딩</t>
  </si>
  <si>
    <t>CMS list 요청 및 받기</t>
  </si>
  <si>
    <t>원래 내주 오픈 예정. 상대측 시스템 조율 중 오픈 시점 5/10 그 주 예정</t>
  </si>
  <si>
    <t>5/10 다시 확인 필요</t>
  </si>
  <si>
    <t xml:space="preserve">Elong </t>
  </si>
  <si>
    <t>Epayment test 필요asap</t>
  </si>
  <si>
    <t>지라로 신청했음
-아직 대기 중 , 빨리 진행 필요</t>
  </si>
  <si>
    <t>Hibeds: 우리랑 연동 먼저, cross 나중에 실행하기로 했음</t>
  </si>
  <si>
    <t>key credential 신청, 필요 서류 보낼 예정</t>
  </si>
  <si>
    <t>PKARE</t>
  </si>
  <si>
    <t>우리한테 큰 공지가 없지만 은행 계정 바꾸려면 PK도 새로운 account 생성 필요, 그거 때문에 payment 조금 delay</t>
  </si>
  <si>
    <t>Vicky한테 공지 및 확인</t>
  </si>
  <si>
    <t>(위 내용 동일) 4/22, 오후 2시 부터~ 24시간 이내 caching 시간 필요하기 때문에 이 시간 동안 부킹이 없음</t>
  </si>
  <si>
    <t>부킹 정상 들어오는지 확인/ Third Party Payor Agreement sign 필요</t>
  </si>
  <si>
    <t>신규 계약 다시 진행</t>
  </si>
  <si>
    <t>요금 환불 및 다시 받기 그리고 termination 계약서 작성 필요</t>
  </si>
  <si>
    <t>Ebooking 관련 interface 채크 필요</t>
  </si>
  <si>
    <t>IT과 확인 (4/28)</t>
  </si>
  <si>
    <t>요금/재고 이슈 발생, no rate 경우 체널에게 전달 받지 못함, API 자동 중단됨</t>
  </si>
  <si>
    <t>QPS  문제도 있기도하고 사전 필터링 또는 검증 로직을 적용하는 것은 어렵음</t>
  </si>
  <si>
    <t xml:space="preserve"> Zhiyi Technology</t>
  </si>
  <si>
    <t>신규 핸드링 - SLA 문제 확인 중</t>
  </si>
  <si>
    <t>예약건은 API로 하는게 아님 Dotbiz으로 들어옴</t>
  </si>
  <si>
    <t>우리 고객사기 때문에 usd10 차감해줌</t>
  </si>
  <si>
    <t xml:space="preserve">QPS 초과 및 caching에 대한 </t>
  </si>
  <si>
    <t>아직 모니터링 필요, 정상 때 까지</t>
  </si>
  <si>
    <t>Third Party Payor Agreement sign: 은행 정보 업데이트
QPS 불안정적인 (4/25~4/29 오전) 4/29 오후 3시쯤 정상들어옴, 다만 다른 문제 있는지 모니터링 필요</t>
  </si>
  <si>
    <t>Ctrip 최신 room mapping list 요청</t>
  </si>
  <si>
    <t>Karl랑 확인 중이고 , mapping 빨리 진행 필요, or 오픈 지연됨</t>
  </si>
  <si>
    <t>Ctrip mapping 리스트  전달했음</t>
  </si>
  <si>
    <t>Bank guarantee/deposit 안됨 
allianze trade - 우리는 직접 신청해야함. 
결론: credit 요청 : usd 10000로 시작 
이유: 물량이 올라갈 수 없는 상황이면 bank guarantee 신청 어렵다고 함</t>
  </si>
  <si>
    <t>이거 홀드? 아님 allianze trade 담당자 섭의 필요?</t>
  </si>
  <si>
    <t>API certification 진행 완</t>
  </si>
  <si>
    <t>보증금 받은 후에 오픈 확인</t>
  </si>
  <si>
    <t>Fangcang (AMT)</t>
  </si>
  <si>
    <t xml:space="preserve">계약 진행 5/5이후  </t>
  </si>
  <si>
    <t>-</t>
  </si>
  <si>
    <t>Entity 바꾸면서 서류 진행 필요</t>
  </si>
  <si>
    <t>늦어도 6월 다 끝나야함</t>
  </si>
  <si>
    <t>5월6일~5월8일</t>
  </si>
  <si>
    <t xml:space="preserve"> 오픈 직전 </t>
  </si>
  <si>
    <t>보증금 받았음, 5/7라이브 테스트 후 오픈 예정</t>
  </si>
  <si>
    <t>매핑 이슈 확인</t>
  </si>
  <si>
    <t>Ctrip 건 쓰기 때문에 불 필요 code 발견- 해결 방법, ignore</t>
  </si>
  <si>
    <t xml:space="preserve"> CS 이슈</t>
  </si>
  <si>
    <t>CS 측 답변 끝나지만 우리 측도 개선 필요하다고 생각함</t>
  </si>
  <si>
    <t>문화, CS, 나라도 다르기  때문에 우리 어느 부분 자세하게 필요하는 지 파악 필요
특히, 이미 물량 많이 없는 업체- 오마이의 실수였으면 고객사에게 더 큰 꼬리 잡으면 안된다고 생각함</t>
  </si>
  <si>
    <t xml:space="preserve"> 계약서</t>
  </si>
  <si>
    <t>CS부분 계속 조율하고 있으며 SLA 도 받을 예정</t>
  </si>
  <si>
    <t>Cola</t>
  </si>
  <si>
    <t>개발 및 계약</t>
  </si>
  <si>
    <t>개발 일정 , 5,6월이지만 현재 확인 중</t>
  </si>
  <si>
    <t>연동 시간 늘어짐</t>
  </si>
  <si>
    <t>4월 연동 시작해야지만 종종 이슈 때문에 지연됨</t>
  </si>
  <si>
    <t>IT 한명만 기 때문에 시간 걸림</t>
  </si>
  <si>
    <t>물량 느린거 확인</t>
  </si>
  <si>
    <t>프로모션 진행기 때문에  물량 푹 상승</t>
  </si>
  <si>
    <t>현재 시장도 조사 및 확인</t>
  </si>
  <si>
    <t>현재 시장 트렌드 확인</t>
  </si>
  <si>
    <t>무가나 노출 안되는 이슈 있어, 다른 업체 다 수집해서 다음주 바로 scm보냄</t>
  </si>
  <si>
    <t>휴가 중이라 답변 다음주 다시 체이스, 그리고 물량 이슈도 확인 필요</t>
  </si>
  <si>
    <t>CTRIP 계정 받기</t>
  </si>
  <si>
    <t>다음주 요아나와 대리통 사용하는 법 알아가기</t>
  </si>
  <si>
    <t>bank guarantee 진행 중</t>
  </si>
  <si>
    <t>아직 확인 중이라, 최대한 우리에게 전달함</t>
  </si>
  <si>
    <t>Just go trip</t>
  </si>
  <si>
    <t>보증금 1만 불로 협의</t>
  </si>
  <si>
    <t>현재 협의 중, 가능하는 지 다음주 확인</t>
  </si>
  <si>
    <t>환불 진행 필요, 다만 고객사 인보이스 요청</t>
  </si>
  <si>
    <t>인보이스 요청 중임</t>
  </si>
  <si>
    <t>다만 정산 5월 건 부터 싱가포로 바꿈, 정산 시간도 5일 -&gt; 7일로 전환했음</t>
  </si>
  <si>
    <t>5월11일~5월15일</t>
  </si>
  <si>
    <t>이번 주 오픈 예정</t>
  </si>
  <si>
    <t>확인해보니 아직 오픈 안되어서 다음주 다시 확인</t>
  </si>
  <si>
    <t>Tongcheng</t>
  </si>
  <si>
    <t>일본 담당 롬 탑리스트 요청</t>
  </si>
  <si>
    <t xml:space="preserve">탑리스트 직계약만 보냈음 </t>
  </si>
  <si>
    <t>현재 벤딩 건 다 MT와  비키 확인 중 26일 다 받아야함</t>
  </si>
  <si>
    <t>당음주 벤딩건 무사히 들어오는지 확인 필요</t>
  </si>
  <si>
    <t>NDA 서로 이익 보장 안되어 Hibeds건 NDA 확인</t>
  </si>
  <si>
    <t>Hibeds NDA 우리 내부 확인 필요</t>
  </si>
  <si>
    <t>월화 완성 필요, 상상보다 담당자 분이 욺지기 빠른 편</t>
  </si>
  <si>
    <t>우리  기술적인 불안정적이고 내주 3번 offline 됨</t>
  </si>
  <si>
    <t>확인해보니 현재 PIC 한국/일본 Mapping 완료</t>
  </si>
  <si>
    <t>Push data 관련 - Alitrip 최근 마지막 받았던 push data는 작년 임</t>
  </si>
  <si>
    <t>우리는 체널 측에 Push하는 데이터 측시 Push든 꾸준히 Push 등 필요함</t>
  </si>
  <si>
    <t>오픈 준비</t>
  </si>
  <si>
    <t>5/12 오픈 완료</t>
  </si>
  <si>
    <t>부킹 건 하루 5건 ~ 10건 사이 
qps 없음 - toptown과 동일 
透传模式 사용, 우리 IT monitoring 중</t>
  </si>
  <si>
    <t>Mapping 이슈 제일 큼</t>
  </si>
  <si>
    <t>다음주 금요일 Mapping 관련 ctrip에게 교육 받기 with Content</t>
  </si>
  <si>
    <t>It issue</t>
  </si>
  <si>
    <t>Ctrip Open Platform에서 downstream, failed logs 확인해서 IT 전달, 일반적인 시스템 문제지 더 많은 문제 있을지</t>
  </si>
  <si>
    <t>계약서 피드백을 받았음</t>
  </si>
  <si>
    <t>우리 내부 확인 필요</t>
  </si>
  <si>
    <t>Klook 내 SLA 까지 우리 다 확인 필요</t>
  </si>
  <si>
    <t>3.16~3.30 정산</t>
  </si>
  <si>
    <t>5/12 AGT 반환 건 받았어 내주/차주 오마이 입금 가능</t>
  </si>
  <si>
    <t>Meituan와 2 일본 호텔 받아 -promotion</t>
  </si>
  <si>
    <t>이륭이 한국 말고 다른 나라도 된다고 해서 JP Scm 리스트 설치해서 받았는데.. 일본만 안되더라고.. 청치상 문제기 때문에</t>
  </si>
  <si>
    <t xml:space="preserve">현재 eLONG 태국 WORKSHOP 중이라 답변이 못 받아서 JP SCM 정확성 답변 줄 수 없음 </t>
  </si>
  <si>
    <t>5월18일~5월22일</t>
  </si>
  <si>
    <t xml:space="preserve">Grace
</t>
  </si>
  <si>
    <t>Pkfare</t>
  </si>
  <si>
    <t>configuration added</t>
  </si>
  <si>
    <t>Configuration added, 물량 다시 상승</t>
  </si>
  <si>
    <t>금요일 매핑 관련 다시 확인</t>
  </si>
  <si>
    <t>Active/inactive hotel push</t>
  </si>
  <si>
    <t>old and new history need to check</t>
  </si>
  <si>
    <t>lose hotel 에 대한 관련</t>
  </si>
  <si>
    <t>lose 대신 마크업 2주간 진행</t>
  </si>
  <si>
    <t>5/25~6/8 오전 9시</t>
  </si>
  <si>
    <t xml:space="preserve">Deposit 입금 잘 못 </t>
  </si>
  <si>
    <t>엔화로 입금, 엔화로 반납(termination 경우)</t>
  </si>
  <si>
    <t>5/1~5/15 Settlement 건</t>
  </si>
  <si>
    <t>한국 하나 입금했음</t>
  </si>
  <si>
    <t>프로님과 확인해서 문제 없음</t>
  </si>
  <si>
    <t>정산 마무리 필요</t>
  </si>
  <si>
    <t>펜딩건 5/20 입금 완료</t>
  </si>
  <si>
    <t>open 5/18</t>
  </si>
  <si>
    <t>부킹 건 2건</t>
  </si>
  <si>
    <t>아직 물량 없음</t>
  </si>
  <si>
    <t>Asiayo</t>
  </si>
  <si>
    <t>deposit refund</t>
  </si>
  <si>
    <t>소피아님과 확인- 기안 완료</t>
  </si>
  <si>
    <t>소피아님 마무리 필요</t>
  </si>
  <si>
    <t>물량 확인</t>
  </si>
  <si>
    <t>기술상이 업그래드 됐음 물량 소푹 상승</t>
  </si>
  <si>
    <t>1주더 모니터링 필요</t>
  </si>
  <si>
    <t>물량 첫 날 계속 상승 유지</t>
  </si>
  <si>
    <t>5/25 마크업 일 주 진행, 물량 및 경쟁사 확인</t>
  </si>
  <si>
    <t>QPS - F/U 6/22~</t>
  </si>
  <si>
    <t>5월 25~29일</t>
  </si>
  <si>
    <t>KK Day</t>
  </si>
  <si>
    <t>경쟁력 요금 확인 필요</t>
  </si>
  <si>
    <t>테스트 아카운드 진행</t>
  </si>
  <si>
    <t>5/26~6/30</t>
  </si>
  <si>
    <t>마크업 서로 맞춤</t>
  </si>
  <si>
    <t>2 주 (5/25~6/8 오전 10시 한국 시간)</t>
  </si>
  <si>
    <t>Override F/U</t>
  </si>
  <si>
    <t>오마이 마크업 내림</t>
  </si>
  <si>
    <t>1 주 (5/25~6/1 10시 한국 시간)</t>
  </si>
  <si>
    <t>계약 빨리 확인 필요</t>
  </si>
  <si>
    <t>계약 아직 진행하면서 SLA 도 우선 요청</t>
  </si>
  <si>
    <t>Ningbo candoor consulting Co., Ltd.</t>
  </si>
  <si>
    <t>test account</t>
  </si>
  <si>
    <t>신규 업체 ,test account 확인</t>
  </si>
  <si>
    <t>6/19 F/U</t>
  </si>
  <si>
    <t>6월 연동 시작 가능 - chase</t>
  </si>
  <si>
    <t>6-7 월 개발 예정</t>
  </si>
  <si>
    <t>SN tour</t>
  </si>
  <si>
    <t>test ID</t>
  </si>
  <si>
    <t>Mengtu</t>
  </si>
  <si>
    <t>API 가능</t>
  </si>
  <si>
    <t>Wingpulse</t>
  </si>
  <si>
    <t>바로 연동 가능</t>
  </si>
  <si>
    <t>초안 예정</t>
  </si>
  <si>
    <t>Hotelsys.com</t>
  </si>
  <si>
    <t>API 가능 + test ID</t>
  </si>
  <si>
    <t>Nice tour</t>
  </si>
  <si>
    <t>Group reservation 가능 정보 전달</t>
  </si>
  <si>
    <t>정보 전달</t>
  </si>
  <si>
    <t>Haven Trip</t>
  </si>
  <si>
    <t>협업 방안 찾기</t>
  </si>
  <si>
    <t>진행 예정</t>
  </si>
  <si>
    <t>Ziru</t>
  </si>
  <si>
    <t>test   account</t>
  </si>
  <si>
    <t>Yunnan province international travel agency</t>
  </si>
  <si>
    <t>6월 1~5일</t>
  </si>
  <si>
    <t>Contract  and SLA checking</t>
  </si>
  <si>
    <t>Is still checking with SLA</t>
  </si>
  <si>
    <t>API documents</t>
  </si>
  <si>
    <t>Contract done, API lead time checking</t>
  </si>
  <si>
    <t>Wild China</t>
  </si>
  <si>
    <t>Focus on Luxury hotels</t>
  </si>
  <si>
    <t>Currently timeline is not suitable to connect</t>
  </si>
  <si>
    <t>Mintu</t>
  </si>
  <si>
    <t>Deposit issue</t>
  </si>
  <si>
    <t>Deposit issue/alliance insurance required</t>
  </si>
  <si>
    <t>6월 1차 정산</t>
  </si>
  <si>
    <t>정산은 회사 대표라서, 입금 잘 못해서 다음에 다시 싱가포르로 입금할 예정</t>
  </si>
  <si>
    <t>Jevius</t>
  </si>
  <si>
    <t>test Account</t>
  </si>
  <si>
    <t>Test account, top list send to them first(6/9)</t>
  </si>
  <si>
    <t>6월 19~20일</t>
  </si>
  <si>
    <t>Jidu</t>
  </si>
  <si>
    <t>Introduction Portfolio</t>
  </si>
  <si>
    <t>회사 소개서 6/19 다시 전달 완</t>
  </si>
  <si>
    <t>Easy go</t>
  </si>
  <si>
    <t>Meeting arrangement with IT</t>
  </si>
  <si>
    <t>Regarding to their Push data should be updated</t>
  </si>
  <si>
    <t>Additional response regard to SLA is added</t>
  </si>
  <si>
    <t>Candice return on 6/22, F/U after</t>
  </si>
  <si>
    <t>Mapping Issue</t>
  </si>
  <si>
    <t>매핑 관련 이슈 발생, MT chase-&gt; CS 전달</t>
  </si>
  <si>
    <t>MT booking issue, settling with VN and MT PIC</t>
  </si>
  <si>
    <t>Deposit Issue</t>
  </si>
  <si>
    <t>Cross selling or no deposit</t>
  </si>
  <si>
    <t>Switching 문의하고 있음</t>
  </si>
  <si>
    <t>QPS 요청</t>
  </si>
  <si>
    <t>waiting for confirmation of the date of increasing QPS</t>
  </si>
  <si>
    <t>6/22~ FU</t>
  </si>
  <si>
    <t>6월 22~26일</t>
  </si>
  <si>
    <t>IT- Room name configuration</t>
  </si>
  <si>
    <t>Due to Dida, "single room" could not match with others. IT would like to collect data for all channels regarding this issue</t>
  </si>
  <si>
    <t>api 문서 + 계약서 점검
초안만 확인해서 승인 받으면 진행 예정</t>
  </si>
  <si>
    <t>usd 10,000 요청 ,Bi-weekly</t>
  </si>
  <si>
    <t>WoW 비교해서 약 10% 감소</t>
  </si>
  <si>
    <t>현재 매핑은 문제 없고 다만 SCM과 확인 중이고 Promotion 기간인지  아닌지</t>
  </si>
  <si>
    <t>Promotion 경우 주기 받아야함</t>
  </si>
  <si>
    <t>CS 이슈</t>
  </si>
  <si>
    <t>CS 이슈 -OP측 연락이 없어 급하게 ESCALATION 중</t>
  </si>
  <si>
    <t>2건 - 한국 호텔</t>
  </si>
  <si>
    <t>Huawei</t>
  </si>
  <si>
    <t>CS 언어 문제 존제 - 중국어 필수</t>
  </si>
  <si>
    <t>Chaiyilv</t>
  </si>
  <si>
    <t>뉴 담당- 다시 시작 필요</t>
  </si>
  <si>
    <t>보증금 이슈 - 확인 중</t>
  </si>
  <si>
    <t>호텔 노출 이슈</t>
  </si>
  <si>
    <t>SCM와 채크 중</t>
  </si>
  <si>
    <t xml:space="preserve">Payment 늦음 </t>
  </si>
  <si>
    <t>매핑 이슈 및 호텔 롬 업데이트 경우 compensation 확인 필요</t>
  </si>
  <si>
    <t>Payment 만 확인 및 정리</t>
  </si>
  <si>
    <t>기술 미팅</t>
  </si>
  <si>
    <t>현재 push hotel 중에 overlap 있는지 확인 필요</t>
  </si>
  <si>
    <t xml:space="preserve">추후 기술 필요시 금액 상의 필요 </t>
  </si>
  <si>
    <t>webbeds</t>
  </si>
  <si>
    <t>Meeting</t>
  </si>
  <si>
    <t>3rd party 우리한테 공급하는 게 95% 매출 하락, 그만큼 다시 올려야 연동 가능
현재 우리의 호텔 리스트 - 중국 손님 위주, 도움이 안된다고 함</t>
  </si>
  <si>
    <t>6월29~7월3일</t>
  </si>
  <si>
    <t>Meeitng arrangement</t>
  </si>
  <si>
    <t>TMC 위주</t>
  </si>
  <si>
    <t>Payment 이슈</t>
  </si>
  <si>
    <t>이건 compensation 담당 확인 필요</t>
  </si>
  <si>
    <t>계약 진행 현황</t>
  </si>
  <si>
    <t>계약 진행</t>
  </si>
  <si>
    <t>매핑관련 이슈</t>
  </si>
  <si>
    <t>Mapping 부분 -Nancy와 확인 후 AGT 전달 및 확인</t>
  </si>
  <si>
    <t>확인 후 매핑관련 content 채크 필요</t>
  </si>
  <si>
    <t>대만 출장 미팅 잡기</t>
  </si>
  <si>
    <t>Lion</t>
  </si>
  <si>
    <t>EZ</t>
  </si>
  <si>
    <t>Settour</t>
  </si>
  <si>
    <t>Star</t>
  </si>
  <si>
    <t>부킹 이슈</t>
  </si>
  <si>
    <t>투속자 취소 되어 해결   완</t>
  </si>
  <si>
    <t>매핑 이슈 투어마인드 sub agent 이슈</t>
  </si>
  <si>
    <t>Dennis 님 시청 직원과 정리하면서 앞으로 이 호텔 투어마인드에서 blacklist 예정</t>
  </si>
  <si>
    <t>7월6~7월10일</t>
  </si>
  <si>
    <t>플로모션 이슈 / legacy code</t>
  </si>
  <si>
    <t>ctrip  현재 promotion 노출해야되는데 계속 신규 코드 주었더니..
content과 확인 중</t>
  </si>
  <si>
    <t xml:space="preserve">DIDI </t>
  </si>
  <si>
    <t>Collaboration 요청</t>
  </si>
  <si>
    <t>직계약 가능하며</t>
  </si>
  <si>
    <t>Huilianyi(TMC)</t>
  </si>
  <si>
    <t>Zeeko</t>
  </si>
  <si>
    <t>신규</t>
  </si>
  <si>
    <t>출장 미팅하기</t>
  </si>
  <si>
    <t>Payment Issue</t>
  </si>
  <si>
    <t>정산 처리 완</t>
  </si>
  <si>
    <t>AI booking Issue</t>
  </si>
  <si>
    <t>AI 시도 - 현재 다 껐음</t>
  </si>
  <si>
    <t xml:space="preserve">Meeting </t>
  </si>
  <si>
    <t>Deposit: 10,000 usd
Bi-weekly : 7-10days settlement requested
currency: USD</t>
  </si>
  <si>
    <t>Oriental Namba Issue</t>
  </si>
  <si>
    <t>매핑관련 - 8 건 , Alitrip CS 느림, OMH CS 느림</t>
  </si>
  <si>
    <t xml:space="preserve">호텔에서 우리 대표님에게  큰 컴프렌드
최정 처리 완 </t>
  </si>
  <si>
    <t>Mapping  문제 생김</t>
  </si>
  <si>
    <t>Tourmind 측 sub-agent 처리 어려움 - 최종 처리했지만 좋은 방법 아님</t>
  </si>
  <si>
    <t>Ubtrip</t>
  </si>
  <si>
    <t>7월13~7월17일</t>
  </si>
  <si>
    <t>콜라 개발 시작</t>
  </si>
  <si>
    <t>현재 개발 진행 중- Dan과 확인 필요</t>
  </si>
  <si>
    <t xml:space="preserve">Dida </t>
  </si>
  <si>
    <t>blacklist  처리 완료</t>
  </si>
  <si>
    <t xml:space="preserve">제 오픈 </t>
  </si>
  <si>
    <t>xiao yun</t>
  </si>
  <si>
    <t>Meeting agenda</t>
  </si>
  <si>
    <t xml:space="preserve"> Deposit 관련 상의 필요</t>
  </si>
  <si>
    <t>F/U 7/27</t>
  </si>
  <si>
    <t>All current Agent</t>
  </si>
  <si>
    <t>I requested H1 report from channels</t>
  </si>
  <si>
    <t>Dida, Ali, Heytrip, SS replied</t>
  </si>
  <si>
    <t>제 오픈 요청 - KR</t>
  </si>
  <si>
    <t>계약 검토</t>
  </si>
  <si>
    <t>Linkall Travel</t>
  </si>
  <si>
    <t>보증금 다시 조율중</t>
  </si>
  <si>
    <t>NICE로 진행 필요 - 조권 맞아야함</t>
  </si>
  <si>
    <t>정산 주기 2주 협의 실패</t>
  </si>
  <si>
    <t>월정산 원함 - 우리 내부 확인 필요</t>
  </si>
  <si>
    <t>F/U 7/16</t>
  </si>
  <si>
    <t>Fang Cang</t>
  </si>
  <si>
    <t>계약 아직 진행 중 - 미루고  있음</t>
  </si>
  <si>
    <t>다음 주 방문하면서  다시 Chase</t>
  </si>
  <si>
    <t xml:space="preserve">계약 진행 </t>
  </si>
  <si>
    <t>API Credential 보내기 + 계약 완료 하기</t>
  </si>
  <si>
    <t>7월20~7월24일</t>
  </si>
  <si>
    <t>Promotion issue</t>
  </si>
  <si>
    <t>Legacy code확인 및 전달</t>
  </si>
  <si>
    <t>테스트 어커운더</t>
  </si>
  <si>
    <t>현재 연동은 없음- EXPEDIA만 끝나고 내년할 예정</t>
  </si>
  <si>
    <t>계약 진행 및 마무리</t>
  </si>
  <si>
    <t>SLA 문제 없고 계약만 마무리 필요</t>
  </si>
  <si>
    <t xml:space="preserve">정상 진행 </t>
  </si>
  <si>
    <t>떨어진 부분만 확인 필요</t>
  </si>
  <si>
    <t>jyluxury</t>
  </si>
  <si>
    <t>계약 우선 홀드</t>
  </si>
  <si>
    <t>현재 진행할 필요 없음</t>
  </si>
  <si>
    <t>Single use</t>
  </si>
  <si>
    <t>싱글유즈에 대한 확인 필요</t>
  </si>
  <si>
    <t>Migration 시간 걸림</t>
  </si>
  <si>
    <t>Q4 개발 가능할지 확신 안됨</t>
  </si>
  <si>
    <t>Local 판매 원함</t>
  </si>
  <si>
    <t>Sophia님과 연결 - 연락</t>
  </si>
  <si>
    <t>개발 진행 중</t>
  </si>
  <si>
    <t>개발 진행 중, 단계별하고 있음</t>
  </si>
  <si>
    <t>매핑 및 데이터 이슈</t>
  </si>
  <si>
    <t>기술적인 정보 데이터 정리 필요/ 요금재고 확인 필요</t>
  </si>
  <si>
    <t>요금 재고 데이터 정리 어떻게 해야할지 고려 필요, 그리고 일본 외 나라 호텔 기술과 상의해서 정리 필요</t>
  </si>
  <si>
    <t>EZ travel</t>
  </si>
  <si>
    <t>Income tax관련이슈</t>
  </si>
  <si>
    <t>override or we have to apply for income tax in TW</t>
  </si>
  <si>
    <t>시지와 연동 부터</t>
  </si>
  <si>
    <t>Q4 공급사 API 개발 끝- 삼방 미팅-연동</t>
  </si>
  <si>
    <t>계약 우선 진행</t>
  </si>
  <si>
    <t>개발 진행</t>
  </si>
  <si>
    <t>Q4 - 매핑은 우리</t>
  </si>
  <si>
    <t>올해 오픈 예정- 테스트 필요하니 조금 씩 오픈</t>
  </si>
  <si>
    <t>ONEFIVE관련 플로모션 연장 가능할지 확인</t>
  </si>
  <si>
    <t>8/31까지 프로모션 끝</t>
  </si>
  <si>
    <t>7/27 upcoming 처리 필요</t>
  </si>
  <si>
    <t>7/27 처리 완 - compensation on Alitrip</t>
  </si>
  <si>
    <t>계약 점건 필요</t>
  </si>
  <si>
    <t>7월27~7월31일</t>
  </si>
  <si>
    <t>계약 우선 진행 -Shiji 끝나는 경우 Lion과 미팅 다시</t>
  </si>
  <si>
    <t>Shiji 개발 시점 확인 필요</t>
  </si>
  <si>
    <t>계약 진행 완</t>
  </si>
  <si>
    <t>개발 들어갈 예정</t>
  </si>
  <si>
    <t>Clause 2.2 다시 조율 필요</t>
  </si>
  <si>
    <t>Candice에게 조율 가능할 지 확인 필요</t>
  </si>
  <si>
    <t>계약 아직 진행 중</t>
  </si>
  <si>
    <t>8월10일~8월14일</t>
  </si>
  <si>
    <t>개발 들어 갈 예정</t>
  </si>
  <si>
    <t>앞에 개발 진행 미뤄고 있음</t>
  </si>
  <si>
    <t>Booking issue</t>
  </si>
  <si>
    <t>wrong mapping - extra charge happened</t>
  </si>
  <si>
    <t>onbooking check 중</t>
  </si>
  <si>
    <t>Request timeout issue</t>
  </si>
  <si>
    <t>booking might success but failed, need manual check</t>
  </si>
  <si>
    <t xml:space="preserve">Request return failed - IT optimised </t>
  </si>
  <si>
    <t>currently less issue, but still need monitoring</t>
  </si>
  <si>
    <t xml:space="preserve">계약 확인 중 </t>
  </si>
  <si>
    <t>계약 내용 확인 필요</t>
  </si>
  <si>
    <t>계약 완료</t>
  </si>
  <si>
    <t>docusign 기다림</t>
  </si>
  <si>
    <t>Shuzhoyilv</t>
  </si>
  <si>
    <t>8월17일~8월21일</t>
  </si>
  <si>
    <t>Award Name</t>
    <phoneticPr fontId="2" type="noConversion"/>
  </si>
  <si>
    <t>Year</t>
    <phoneticPr fontId="2" type="noConversion"/>
  </si>
  <si>
    <t>Awarding Company</t>
    <phoneticPr fontId="2" type="noConversion"/>
  </si>
  <si>
    <t>Remark</t>
    <phoneticPr fontId="2" type="noConversion"/>
  </si>
  <si>
    <t>Collaborative Excellent Partner</t>
    <phoneticPr fontId="2" type="noConversion"/>
  </si>
  <si>
    <t>Trip.com</t>
    <phoneticPr fontId="2" type="noConversion"/>
  </si>
  <si>
    <t xml:space="preserve">Performance Excellent  Partner </t>
    <phoneticPr fontId="2" type="noConversion"/>
  </si>
  <si>
    <t>JP, KR 호텔 파트너</t>
    <phoneticPr fontId="2" type="noConversion"/>
  </si>
  <si>
    <t>Collaborative Excellent Partner</t>
  </si>
  <si>
    <t>VN 호텔 파트너</t>
  </si>
  <si>
    <t>Outstanding Progress Partner</t>
  </si>
  <si>
    <t>Outstanding Partner Award</t>
    <phoneticPr fontId="2" type="noConversion"/>
  </si>
  <si>
    <t>Meituan</t>
    <phoneticPr fontId="2" type="noConversion"/>
  </si>
  <si>
    <t>Influential Partner of the Year</t>
    <phoneticPr fontId="2" type="noConversion"/>
  </si>
  <si>
    <t>Outstanding Contribution Award</t>
    <phoneticPr fontId="2" type="noConversion"/>
  </si>
  <si>
    <t>Elong</t>
    <phoneticPr fontId="2" type="noConversion"/>
  </si>
  <si>
    <t>Significant Progress Award</t>
  </si>
  <si>
    <t>Channel Information (채널 정보)</t>
    <phoneticPr fontId="3" type="noConversion"/>
  </si>
  <si>
    <t>#</t>
    <phoneticPr fontId="3" type="noConversion"/>
  </si>
  <si>
    <t>Tier</t>
  </si>
  <si>
    <t>KPI Q3</t>
  </si>
  <si>
    <t>Type</t>
    <phoneticPr fontId="3" type="noConversion"/>
  </si>
  <si>
    <t>Channel Name</t>
    <phoneticPr fontId="3" type="noConversion"/>
  </si>
  <si>
    <t>Company Name</t>
  </si>
  <si>
    <t>PIC(OMH)</t>
    <phoneticPr fontId="3" type="noConversion"/>
  </si>
  <si>
    <t>Handover To</t>
  </si>
  <si>
    <t>Entity</t>
  </si>
  <si>
    <t>Region</t>
  </si>
  <si>
    <t>Country</t>
    <phoneticPr fontId="3" type="noConversion"/>
  </si>
  <si>
    <t>City</t>
    <phoneticPr fontId="3" type="noConversion"/>
  </si>
  <si>
    <t>BM</t>
  </si>
  <si>
    <t>PIC(Channel)</t>
  </si>
  <si>
    <t>Position</t>
  </si>
  <si>
    <t>System</t>
  </si>
  <si>
    <t>Supply</t>
  </si>
  <si>
    <t>Hotel
Data</t>
  </si>
  <si>
    <t>Room
Data</t>
  </si>
  <si>
    <t>Contact Number</t>
    <phoneticPr fontId="3" type="noConversion"/>
  </si>
  <si>
    <t>Chating APPs</t>
  </si>
  <si>
    <t>E-mail</t>
    <phoneticPr fontId="3" type="noConversion"/>
  </si>
  <si>
    <t>E-mail 2</t>
  </si>
  <si>
    <t>Homepage</t>
  </si>
  <si>
    <t>Address</t>
    <phoneticPr fontId="3" type="noConversion"/>
  </si>
  <si>
    <t>Currency
( for KR hotels)</t>
    <phoneticPr fontId="3" type="noConversion"/>
  </si>
  <si>
    <t>Currency
( for JP hotels)</t>
  </si>
  <si>
    <t>Currency
( for VN hotels)</t>
  </si>
  <si>
    <t>Currency
( for others)</t>
  </si>
  <si>
    <t>Payment Type</t>
  </si>
  <si>
    <t>Payment period</t>
  </si>
  <si>
    <t>Deposit Type</t>
  </si>
  <si>
    <t>Deposit</t>
    <phoneticPr fontId="3" type="noConversion"/>
  </si>
  <si>
    <t>Provide DP Rate</t>
  </si>
  <si>
    <t>Active</t>
  </si>
  <si>
    <t>Tier 1</t>
  </si>
  <si>
    <t>API</t>
  </si>
  <si>
    <t>Trip.com Travel Singapore Pte. Ltd.</t>
  </si>
  <si>
    <t>East Asia</t>
  </si>
  <si>
    <t>Global</t>
  </si>
  <si>
    <t>B2C</t>
  </si>
  <si>
    <t>Mr. Nam</t>
  </si>
  <si>
    <t>부장</t>
  </si>
  <si>
    <t>https://kr.trip.com</t>
    <phoneticPr fontId="3" type="noConversion"/>
  </si>
  <si>
    <t>7/F D-Tower 17 Jungro 3 Gil Jongrogu, Seoul, Republic of Korea</t>
  </si>
  <si>
    <t>weekly</t>
  </si>
  <si>
    <t>Agoda Company Pte. Ltd.</t>
  </si>
  <si>
    <t>Bryant</t>
  </si>
  <si>
    <t>Shanghai</t>
  </si>
  <si>
    <t>Ms. Marie
Mr. Anthony (Thailand)</t>
  </si>
  <si>
    <t>Manager
Director- Travel Distribution</t>
  </si>
  <si>
    <t>+82 10.4195.2032
66 81 825 6660</t>
  </si>
  <si>
    <t>Jihyun.lee@agoda.com
udomchai.miksirakul@agoda.com</t>
  </si>
  <si>
    <t>www.agoda.com</t>
    <phoneticPr fontId="3" type="noConversion"/>
  </si>
  <si>
    <t>999/9 Rama 1 Road. The Offices at Central World, 27th floor (changing soon in April)</t>
  </si>
  <si>
    <t>Tier 2</t>
  </si>
  <si>
    <t>DidaTravel International Limited</t>
  </si>
  <si>
    <t>Shenzhen</t>
  </si>
  <si>
    <t>B2B</t>
  </si>
  <si>
    <t>Ms. Seven</t>
  </si>
  <si>
    <t>Senior Account Manager</t>
  </si>
  <si>
    <t>+86 13524375996</t>
  </si>
  <si>
    <t>seven.sun@dida.com</t>
  </si>
  <si>
    <t>Room 17C, D, E, Tower B, Global Harbor, No. 1188 Kaixuan North Road, Putuo District, Shanghai.</t>
  </si>
  <si>
    <t>USD</t>
  </si>
  <si>
    <t>JYP</t>
  </si>
  <si>
    <t>bi-weekly</t>
  </si>
  <si>
    <t>NO</t>
  </si>
  <si>
    <t>Xigua limited</t>
  </si>
  <si>
    <t>B2B/B2C</t>
  </si>
  <si>
    <t>Ms. Zhang</t>
  </si>
  <si>
    <t>Senior Market Manager</t>
  </si>
  <si>
    <t>+86 18217620588</t>
  </si>
  <si>
    <t>zhangdan58@meituan.com</t>
  </si>
  <si>
    <t>上海市黄兴路221号互联宝地T6栋
Building T6, Hulianbaodi, No.221 Huangxing Road, Shanghai</t>
  </si>
  <si>
    <t>Tongcheng Travel Holdings Limited
eLong International Travel (Hong Kong) Limited</t>
  </si>
  <si>
    <t>Ms. Iris</t>
  </si>
  <si>
    <t>International Market Director</t>
  </si>
  <si>
    <t>+82 1094398482</t>
  </si>
  <si>
    <t>iris.nam@ly.com</t>
  </si>
  <si>
    <t>6F, Noon Square, 14, Myeongdong-gil, Jung-gu, Seoul, Korea</t>
  </si>
  <si>
    <t>深圳马可孛罗科技有限公司 (Marco Polo Technology Co., Ltd.)</t>
  </si>
  <si>
    <t>Hongkong</t>
  </si>
  <si>
    <t>Ms. Cici</t>
  </si>
  <si>
    <t>Director</t>
  </si>
  <si>
    <t>+86 13588300346</t>
  </si>
  <si>
    <t>cici.tang@pkfare.com</t>
  </si>
  <si>
    <t>www.PKFARE.com</t>
    <phoneticPr fontId="3" type="noConversion"/>
  </si>
  <si>
    <t>深圳市南山区科技中一路198号创益科兴科学园A座23层</t>
  </si>
  <si>
    <t>Bank Guarantee</t>
  </si>
  <si>
    <t>USD 10,000 (실결제 USD 9,964)</t>
  </si>
  <si>
    <t>East South Asia</t>
  </si>
  <si>
    <t>Ms. Lucy</t>
  </si>
  <si>
    <t>Vietnam Market Manager</t>
  </si>
  <si>
    <t>+84 935659690</t>
  </si>
  <si>
    <t>Lucynguyen@trip.com</t>
  </si>
  <si>
    <t>https://vn.trip.com/</t>
  </si>
  <si>
    <t>L12, LIM TOWER 3, 29A Nguyen Dinh Chieu St, Da Kao Ward, Dist 01, HCMC</t>
  </si>
  <si>
    <t>VND</t>
  </si>
  <si>
    <t>Convergent International Travel Development Co., Ltd.</t>
  </si>
  <si>
    <t>Mr. Bruce (sales)
Ms. Ying (op)
Mr. Benny</t>
  </si>
  <si>
    <t>Senior BD Manager (API)
Head of Third- Party Cooperation</t>
  </si>
  <si>
    <t>+86-18826240125
86 134 3181 6755</t>
  </si>
  <si>
    <t>bruce@huizhi-intl.com
ying.liu@huizhi-intl.com</t>
  </si>
  <si>
    <t>www.huizhi-intl.com</t>
  </si>
  <si>
    <t>广东省深圳市福田区卓越世纪中心四号楼35A02C</t>
  </si>
  <si>
    <t>USD 10,000</t>
  </si>
  <si>
    <t>Tier 3</t>
  </si>
  <si>
    <t>Seoul</t>
  </si>
  <si>
    <t>류 소정
김 종우</t>
  </si>
  <si>
    <t>차장
매니저</t>
  </si>
  <si>
    <t>sage@triptopaz.com
pauljw@triptopaz.com</t>
  </si>
  <si>
    <t>서울시 송파구 석촌동 183-4 펙베이빌딩 6층</t>
  </si>
  <si>
    <t>KRW</t>
  </si>
  <si>
    <t>GUANGDONG QIYOUJI INTERNATIONAL TRAVEL SERVICE CO.,LTD</t>
  </si>
  <si>
    <t>Guangzhou</t>
  </si>
  <si>
    <t>Ms. Lillian</t>
  </si>
  <si>
    <t>Project Manager</t>
  </si>
  <si>
    <t>lillian.lin@qiyoji.com</t>
  </si>
  <si>
    <t>http://baofangke.qiyouji.com</t>
  </si>
  <si>
    <t>Office 312, Hongxing Building, No. 238, Jinzhong Heng Lu, Baiyun Distric, Guangzhou, CHINA</t>
  </si>
  <si>
    <t>JPY</t>
  </si>
  <si>
    <t>USD 15,000</t>
  </si>
  <si>
    <t>Qunar.com Information Technology Co., Ltd.</t>
  </si>
  <si>
    <t>Beijing</t>
  </si>
  <si>
    <t>Ms. Wen</t>
  </si>
  <si>
    <t>Business Development Director-OSC</t>
  </si>
  <si>
    <t>wencheng.cheng@qunar.com</t>
  </si>
  <si>
    <t>www.qunar.com/</t>
  </si>
  <si>
    <t>深圳市福田区福华三路168号荣超国际商会中心</t>
  </si>
  <si>
    <t>Alibaba Group (Fliggy)</t>
  </si>
  <si>
    <t>Mr. Harry</t>
  </si>
  <si>
    <t>Senior Supplier Manager</t>
  </si>
  <si>
    <t>+ 080 3852-0931</t>
  </si>
  <si>
    <t>wechat</t>
  </si>
  <si>
    <t>hongbo.h@alibaba-inc.com</t>
  </si>
  <si>
    <t>https://www.fliggy.com/</t>
  </si>
  <si>
    <t>浙江省余杭区阿里巴巴西溪园区C区--C区访客中心，阿里巴巴西溪C区(C2门)</t>
  </si>
  <si>
    <t>Myrealtrip Inc.</t>
  </si>
  <si>
    <t>이미소</t>
  </si>
  <si>
    <t>매니저</t>
  </si>
  <si>
    <t>https://www.myrealtrip.com/</t>
  </si>
  <si>
    <t>서울시 서초구 강남대로 311, 드림플러스 강남 18F</t>
  </si>
  <si>
    <t>Hikari Global Inc.</t>
  </si>
  <si>
    <t>Ms. Park/Mei</t>
  </si>
  <si>
    <t>Overseas Manager</t>
  </si>
  <si>
    <t>+82 01089261624</t>
  </si>
  <si>
    <t>wigus0909@hotmail.com</t>
  </si>
  <si>
    <t>https://www.hikariglobal.co.kr/</t>
  </si>
  <si>
    <t>03149 서울특별시 종로구 인사동5길 42, 종로빌딩 11층</t>
  </si>
  <si>
    <t>Tripbtoz Inc.</t>
  </si>
  <si>
    <t>이미정</t>
  </si>
  <si>
    <t>+82 10 7328 5450</t>
  </si>
  <si>
    <t>mijungl@tripbtoz.com</t>
  </si>
  <si>
    <t>https://www.tripbtoz.com/</t>
  </si>
  <si>
    <t>서울시 강남구 테헤란로 415 L7빌딩 3층</t>
  </si>
  <si>
    <t>Guarantee Insurance</t>
  </si>
  <si>
    <t>Hotelpass Global LTD.</t>
  </si>
  <si>
    <t>박혜수</t>
  </si>
  <si>
    <t>팀장</t>
  </si>
  <si>
    <t>+82 2 2262 5114</t>
  </si>
  <si>
    <t>naomi@hotelpass.com</t>
  </si>
  <si>
    <t>13F, Gwanghui Bldg., 307 Toegyero, Jung-gu, Seoul, Korea</t>
  </si>
  <si>
    <t>Kakao</t>
  </si>
  <si>
    <t>Kakao Corp.</t>
  </si>
  <si>
    <t>Gyeonggi</t>
  </si>
  <si>
    <t>https://travel.kakao.com/</t>
  </si>
  <si>
    <t>Dotbiz</t>
  </si>
  <si>
    <t>GC Company (여기어때)</t>
  </si>
  <si>
    <t>(주)여기어때투어</t>
  </si>
  <si>
    <t>한유진</t>
  </si>
  <si>
    <t>ruby@gctour.co.kr</t>
  </si>
  <si>
    <t>서울 종로구 효자로 23 국제항운빌딩 2</t>
  </si>
  <si>
    <t>Shanghai Toptown International Travel Agency CO.,LTD</t>
  </si>
  <si>
    <t>Ms. Freya</t>
  </si>
  <si>
    <t>Vice Director</t>
  </si>
  <si>
    <t>+86 158 0045 4692</t>
  </si>
  <si>
    <t>freya.wang@toptown.cn</t>
  </si>
  <si>
    <t>"Room1604, 16F, No. 807 Zhaojiabang Road, Xuhui District, Shanghai 200032, China
上海市徐汇区肇嘉浜路807号（五洲国际大厦）1604室"</t>
  </si>
  <si>
    <t>Traveloka Services Pte. Ltd</t>
  </si>
  <si>
    <t>Jakarta</t>
  </si>
  <si>
    <t>Ida Ayu Agung Dwi Cahyantari</t>
  </si>
  <si>
    <t>ida.cahyantari@traveloka.com</t>
  </si>
  <si>
    <t>https://www.traveloka.com/en-vn</t>
  </si>
  <si>
    <t>Green Office Park 1 BSD City, Jl. BSD Raya Bar., Sampora, Kec. Cisauk, Kabupaten Tangerang, Banten 15345.</t>
  </si>
  <si>
    <t>airtel.com(에어텔닷컴)</t>
  </si>
  <si>
    <t>김성준</t>
  </si>
  <si>
    <t>주임</t>
  </si>
  <si>
    <t>sjun0223@airteltour.com</t>
  </si>
  <si>
    <t>https://www.airtel.co.kr/</t>
  </si>
  <si>
    <t>Hana Tour_JP Team</t>
  </si>
  <si>
    <t>(주)하나투어</t>
  </si>
  <si>
    <t>이현지</t>
  </si>
  <si>
    <t>선임</t>
  </si>
  <si>
    <t>hyun77@hanatour.com</t>
  </si>
  <si>
    <t>https://www.hanatour.com/</t>
  </si>
  <si>
    <t>Onlinetour</t>
  </si>
  <si>
    <t>(주)온라인투어</t>
  </si>
  <si>
    <t>GC Company와 합병</t>
  </si>
  <si>
    <t>https://www.onlinetour.co.kr/</t>
  </si>
  <si>
    <t>Modetour Network</t>
  </si>
  <si>
    <t>(주)모두투어네트워크</t>
  </si>
  <si>
    <t>정기혜</t>
  </si>
  <si>
    <t>jung_kihye@modetour.com</t>
  </si>
  <si>
    <t>https://www.modetour.com/</t>
  </si>
  <si>
    <t>KKday Group</t>
  </si>
  <si>
    <t>Taipei</t>
  </si>
  <si>
    <t>Mr. Wiko</t>
  </si>
  <si>
    <t>https://www.kkday.com/</t>
  </si>
  <si>
    <t>The Hyundai Travel</t>
  </si>
  <si>
    <t>현대백화점면세점</t>
  </si>
  <si>
    <t>현대드림투어 계정 사용</t>
  </si>
  <si>
    <t>API (B2C)</t>
  </si>
  <si>
    <t>bizplay Inc.</t>
  </si>
  <si>
    <t>여명호</t>
  </si>
  <si>
    <t>ymh0510@bizplay.co.kr</t>
  </si>
  <si>
    <t>Hodo Japan</t>
  </si>
  <si>
    <t>Hodo Japan Inc.</t>
  </si>
  <si>
    <t>Stayzada</t>
  </si>
  <si>
    <t>최영학</t>
  </si>
  <si>
    <t>이사</t>
  </si>
  <si>
    <t>eversnake@naver.com</t>
  </si>
  <si>
    <t>White Windmill Tour</t>
  </si>
  <si>
    <t>김수혁</t>
  </si>
  <si>
    <t>ppaazz4@naver.com</t>
  </si>
  <si>
    <t>Webbeds DMC</t>
  </si>
  <si>
    <t>goodtimetour</t>
  </si>
  <si>
    <t>민병일</t>
  </si>
  <si>
    <t>사장</t>
  </si>
  <si>
    <t>Geumson Tour</t>
  </si>
  <si>
    <t>주식회사 금손투어</t>
  </si>
  <si>
    <t>이성범</t>
  </si>
  <si>
    <t>togeumson@naver.com</t>
  </si>
  <si>
    <t>New</t>
  </si>
  <si>
    <t>Go UNI Travel (JPY)</t>
  </si>
  <si>
    <t>(주)Go UNI Travel</t>
  </si>
  <si>
    <t>Hana card travel bucket</t>
  </si>
  <si>
    <t>(주)하나카드</t>
  </si>
  <si>
    <t>Centum Golf Inc.</t>
  </si>
  <si>
    <t>강청구</t>
  </si>
  <si>
    <t>본부장</t>
  </si>
  <si>
    <t>joe.kang@centumgolf.com</t>
  </si>
  <si>
    <t>Ilbonman</t>
  </si>
  <si>
    <t>주식회사 일본만</t>
  </si>
  <si>
    <t>이주영</t>
  </si>
  <si>
    <t>gogojd84@ilbonman.com</t>
  </si>
  <si>
    <t>VECTORCOM</t>
  </si>
  <si>
    <t>CHALET KOREA</t>
  </si>
  <si>
    <t>이소영</t>
  </si>
  <si>
    <t>과장</t>
  </si>
  <si>
    <t>syyc220@funnbiz.co.kr</t>
  </si>
  <si>
    <t>여행작가 박은하</t>
  </si>
  <si>
    <t>(주)스트리밍하우스</t>
  </si>
  <si>
    <t>신동훈</t>
  </si>
  <si>
    <t>대표</t>
  </si>
  <si>
    <t>cs@hyuil.co.kr</t>
  </si>
  <si>
    <t>11st Korea</t>
  </si>
  <si>
    <t>(주)11번가</t>
  </si>
  <si>
    <t>한주연</t>
  </si>
  <si>
    <t>joo11@sk.com</t>
  </si>
  <si>
    <t>https://www.11st.co.kr/</t>
  </si>
  <si>
    <t>Hyundai Dream Tour</t>
  </si>
  <si>
    <t>현대드림투어</t>
  </si>
  <si>
    <t>김정민</t>
  </si>
  <si>
    <t>책임</t>
  </si>
  <si>
    <t>gem000617@hyundaidreamtour.com</t>
  </si>
  <si>
    <t>Pipeline</t>
  </si>
  <si>
    <t>EGL Tours</t>
  </si>
  <si>
    <t>EGL Tours Company Limited</t>
  </si>
  <si>
    <t>Kowloon</t>
  </si>
  <si>
    <t>Mr. Tai</t>
  </si>
  <si>
    <t>Assistant Manager</t>
  </si>
  <si>
    <t>+852 3692 0888</t>
  </si>
  <si>
    <t>info@egltours.com</t>
  </si>
  <si>
    <t>www.egltours.com</t>
  </si>
  <si>
    <t>九龍觀塘鴻圖道83號東瀛遊廣場15樓</t>
  </si>
  <si>
    <t>Wing On Travel</t>
  </si>
  <si>
    <t>香港永安旅游有限公司</t>
  </si>
  <si>
    <t>Kwuntong</t>
  </si>
  <si>
    <t>Ms. Fanny
Mr. Grabriel</t>
  </si>
  <si>
    <t>Assitant Product Manager - FIT
Travel Operation Executive Innovative Operation</t>
  </si>
  <si>
    <t>+852 2928 8882
+86 188 8892 1456</t>
  </si>
  <si>
    <t>fannylo@wingontravel.com
gabrielzheng@wingontravel.com</t>
  </si>
  <si>
    <t>30/F., Paul Y. Centre, 51 Hung To Road, Kwun Tong, Kowloon, Hongkong</t>
  </si>
  <si>
    <t>Travel Expert</t>
  </si>
  <si>
    <t>專業旅運</t>
  </si>
  <si>
    <t>Wanchai</t>
  </si>
  <si>
    <t>+852 3700 2999</t>
  </si>
  <si>
    <t>enquiry@travelexpert.com.hk</t>
  </si>
  <si>
    <t>Lion Travel Service</t>
  </si>
  <si>
    <t>Ms. VivianLin
Ms. Hana Lin
Mr. Jeff</t>
  </si>
  <si>
    <t>Manager
FIT Senior Specialist
FIT Strategies project Supervisor</t>
  </si>
  <si>
    <t>866 912 639 965
866 922 023 582</t>
  </si>
  <si>
    <t>vivianlin@liontravel.com
hanalin@liontravel.com
jeffchan@liontravel.com</t>
  </si>
  <si>
    <t>台北市內湖區石潭路151號</t>
  </si>
  <si>
    <t>Cola Travel</t>
  </si>
  <si>
    <t>Colatour Travel Service CO., Ltd.</t>
  </si>
  <si>
    <t>Ms. Feona</t>
  </si>
  <si>
    <t>全球訂房部 Manager</t>
  </si>
  <si>
    <t>02-2522-1419</t>
  </si>
  <si>
    <t>yufen.hsu@colatour.com.tw</t>
  </si>
  <si>
    <t>10457台北市中山區南京東路二段85號13樓</t>
  </si>
  <si>
    <t>South East Travel Service</t>
  </si>
  <si>
    <t>東南旅遊</t>
  </si>
  <si>
    <t>Ms. Yumi</t>
  </si>
  <si>
    <t>FIT director</t>
  </si>
  <si>
    <t>02-25110519 #2712</t>
  </si>
  <si>
    <t>yumi.lin@settour.com.tw</t>
  </si>
  <si>
    <t>台北市中山北路二段71號6樓</t>
  </si>
  <si>
    <t>Five Blessings Travel (LifeTravel)</t>
  </si>
  <si>
    <t>五福旅遊</t>
  </si>
  <si>
    <t>林宜學/Mrs Lin</t>
  </si>
  <si>
    <t>Manager</t>
  </si>
  <si>
    <t>roylin0616@lifetour.com.tw</t>
  </si>
  <si>
    <t>Everfun Holiday</t>
  </si>
  <si>
    <t>Everfun Travel Services Corp.</t>
  </si>
  <si>
    <t>nancyhsieh@everfuntravel.com</t>
  </si>
  <si>
    <t>Besttour.com. tw</t>
  </si>
  <si>
    <t>喜鴻假期</t>
  </si>
  <si>
    <t>mkd@besttour.com.tw</t>
  </si>
  <si>
    <t>Best Way Travel</t>
  </si>
  <si>
    <t>百威旅行社股份有限公司</t>
  </si>
  <si>
    <t>EZ TRAVEL</t>
  </si>
  <si>
    <t>易飛網旅行社股份有限公司</t>
  </si>
  <si>
    <t>Mr. Kaken Chen
Ms. Maria Huang</t>
  </si>
  <si>
    <t>Product Planning
Product Manager</t>
  </si>
  <si>
    <t>kakenchen@eztravel.com.tw
mariahuang@eztravel.com.tw</t>
  </si>
  <si>
    <t>4F, No.51, Sec.3, Min-Sheng E. Rd., Taipei, Taiwan 104</t>
  </si>
  <si>
    <t>Star Travel Corp</t>
  </si>
  <si>
    <t>TSG Star Travel Corp.</t>
  </si>
  <si>
    <t>葉維瑄/Ms. Syuan</t>
  </si>
  <si>
    <t>專員 Associate</t>
  </si>
  <si>
    <t>886--8183-3888 #6905</t>
  </si>
  <si>
    <t>syuan4848@startravel.com.tw</t>
  </si>
  <si>
    <t>台北市中山區民生東路二段161號7樓</t>
  </si>
  <si>
    <t>Beijing Mafengwo Network Technology Co., Ltd.</t>
  </si>
  <si>
    <t>Beijing/Guizhou</t>
  </si>
  <si>
    <t>Mr. Nan</t>
  </si>
  <si>
    <t>Product Manager</t>
  </si>
  <si>
    <t>86 186 2950 8970</t>
  </si>
  <si>
    <t>nanlei@mafengwo.com</t>
  </si>
  <si>
    <t>https://www.mafengwo.cn/</t>
  </si>
  <si>
    <t>北京市朝阳区酒仙桥北路9号院恒通国际创新园C9马蜂窝</t>
  </si>
  <si>
    <t>Rakuten Travel Xchange</t>
  </si>
  <si>
    <t>B2B wholesaler / API provider</t>
  </si>
  <si>
    <t>Dev.</t>
  </si>
  <si>
    <t>Terminated</t>
  </si>
  <si>
    <t>AsiaYo</t>
  </si>
  <si>
    <t>API,B2C,B2B</t>
  </si>
  <si>
    <t>강호연</t>
  </si>
  <si>
    <t>brad.kang@asiayo.com</t>
  </si>
  <si>
    <t>www.asiayo.com </t>
  </si>
  <si>
    <t>KAKE Hotels Marketing Co., Limited</t>
  </si>
  <si>
    <t>Mr. Wesley</t>
  </si>
  <si>
    <t>VP of Business Development</t>
  </si>
  <si>
    <t>86 15012926802</t>
  </si>
  <si>
    <t>wesley.li@mq-trip.com</t>
  </si>
  <si>
    <t>深圳市龙岗区坂田街道象角塘社区源创空间-雪象园A3栋四层-411</t>
  </si>
  <si>
    <t>Bi-weekly</t>
  </si>
  <si>
    <t>USD 30,000 (실결제 USD 29,964)</t>
  </si>
  <si>
    <t>Profit Travel</t>
  </si>
  <si>
    <t>Profit Travel Agency Company Limited</t>
  </si>
  <si>
    <t>TST East</t>
  </si>
  <si>
    <t>Mr. Teddy</t>
  </si>
  <si>
    <t>852 23112282</t>
  </si>
  <si>
    <t>sales@profittravel.com.hk</t>
  </si>
  <si>
    <t>Suite 401, Tower A, New Mandarin Plaza, 14 Science Museum Rd, TST East, KLN, HK</t>
  </si>
  <si>
    <t>Westminster</t>
  </si>
  <si>
    <t>Westminster Travel Ltd.</t>
  </si>
  <si>
    <t>Tsuen Wan</t>
  </si>
  <si>
    <t>Hey Trip Intl Corp.</t>
  </si>
  <si>
    <t>Guanzhou</t>
  </si>
  <si>
    <t>Mr. Samuel
Mr. Jack</t>
  </si>
  <si>
    <t>Overseas BD Director
Vice President</t>
  </si>
  <si>
    <t>86 19527134928
86 135 6006 1046</t>
  </si>
  <si>
    <t>samuel@heytripgo.com
Jack@heytripgo.com</t>
  </si>
  <si>
    <t>番禺区洛浦街道南桂路3号恒达中心A3栋2楼 (HQ)</t>
  </si>
  <si>
    <t>Guarantee deposit</t>
  </si>
  <si>
    <t>USD 100,000</t>
  </si>
  <si>
    <t>Gurugram</t>
  </si>
  <si>
    <t>OTA</t>
  </si>
  <si>
    <t>Vivek</t>
  </si>
  <si>
    <t>Vivek.Kumar3@go-mmt.com</t>
  </si>
  <si>
    <t>www.makemytrip.com/</t>
  </si>
  <si>
    <t>travala.com</t>
  </si>
  <si>
    <t>OTA,B2C</t>
  </si>
  <si>
    <t>let</t>
  </si>
  <si>
    <t>Mutour Int Development Limited</t>
  </si>
  <si>
    <t>Ms. Ivy Huang
Ms. Sonir</t>
  </si>
  <si>
    <t>Commercial Director
Area Commercial Director</t>
  </si>
  <si>
    <t>86 157 6622 6924
86 137 1155 9710</t>
  </si>
  <si>
    <t>ivy.huang@mutourint.com
sonir.chen@mutourint.com</t>
  </si>
  <si>
    <t>天河区黄埔大道西100号富力盈泰广场B座1106</t>
  </si>
  <si>
    <t>NDA</t>
  </si>
  <si>
    <t>AllmyTour</t>
  </si>
  <si>
    <t>Amerilink International Corp.</t>
  </si>
  <si>
    <t>Ms. Wynnie</t>
  </si>
  <si>
    <t>Business Development Manager - P6</t>
  </si>
  <si>
    <t>86 193 3719 3422</t>
  </si>
  <si>
    <t>wynnie.xiao@aichotels.com</t>
  </si>
  <si>
    <t>www.aichotels.com</t>
  </si>
  <si>
    <t>Suite707, Tower 1, Bright China Chang An Buiding, No.7 Jian Guo Men Nei Ave, Beijing</t>
  </si>
  <si>
    <t>Ratehawk</t>
  </si>
  <si>
    <t>Emerging Travel Group (RateHawk brand)</t>
  </si>
  <si>
    <t>Lisbon / Singapore (Asia HQ)</t>
  </si>
  <si>
    <t>B2B,switching</t>
  </si>
  <si>
    <t>QianTao</t>
  </si>
  <si>
    <t>Qian Tao Technology</t>
  </si>
  <si>
    <t>Ms. Nico
Mr. Bob</t>
  </si>
  <si>
    <t>Business Manager
Deputy General Manager</t>
  </si>
  <si>
    <t>86 166 76306605
86 188 2628 5255</t>
  </si>
  <si>
    <t>guanyuman@gzyuanao.com.cn
fengqianyu@qiantaohotel.com</t>
  </si>
  <si>
    <t>广州市白云区鹤联街229号万力创新园C栋C201</t>
  </si>
  <si>
    <t>TBO Tek Ltd</t>
  </si>
  <si>
    <t>India / UAE</t>
  </si>
  <si>
    <t>Catherone Guo</t>
  </si>
  <si>
    <t>Associate Director Sales</t>
  </si>
  <si>
    <t>catherine.guo@tbo.com</t>
  </si>
  <si>
    <t>ITF Traveling LTD</t>
  </si>
  <si>
    <t>New Taipei City</t>
  </si>
  <si>
    <t>Mr. Eric</t>
  </si>
  <si>
    <t>aaa61209@hotmail.com</t>
  </si>
  <si>
    <t>新北市士城区中华路一段219号29楼</t>
  </si>
  <si>
    <t>Hua Min Tourism Reservation Co., Ltd</t>
  </si>
  <si>
    <t>Mr. Jojo</t>
  </si>
  <si>
    <t>Business Development Director</t>
  </si>
  <si>
    <t>+852 2273 1000/1772</t>
  </si>
  <si>
    <t>simon.yu@huamin.com.hk/1736464190@qq.com'</t>
  </si>
  <si>
    <t>Room 2201, No. 807, Zhaojiabang Road, Shanghai</t>
  </si>
  <si>
    <t>Connexus Travel</t>
  </si>
  <si>
    <t>Connexus Travel Limitred</t>
  </si>
  <si>
    <t>Ms. Wendy</t>
  </si>
  <si>
    <t>Head of Product Management</t>
  </si>
  <si>
    <t>+852 9452 6622</t>
  </si>
  <si>
    <t>www.connexustravel.com</t>
  </si>
  <si>
    <t>ACCOMY TAIWAN</t>
  </si>
  <si>
    <t>Accomy Taiwan Co., Ltd</t>
  </si>
  <si>
    <t>Ms. Ariel</t>
  </si>
  <si>
    <t>Director of Global Partnerdhip &amp; Resource Operations</t>
  </si>
  <si>
    <t>86 916 033 331</t>
  </si>
  <si>
    <t>ariel.ho@accomy.com</t>
  </si>
  <si>
    <t>Contract</t>
  </si>
  <si>
    <t>Klook Travel Technology Limited</t>
  </si>
  <si>
    <t>Central</t>
  </si>
  <si>
    <t>Ms. Holly</t>
  </si>
  <si>
    <t>Partner Development &amp; Connectivity Manager</t>
  </si>
  <si>
    <t>852 95090067</t>
  </si>
  <si>
    <t>holly.hou@klook.com</t>
  </si>
  <si>
    <t>22/F Kinwick Centre, 32 Hollywood Road, Central, Hong Kong</t>
  </si>
  <si>
    <t>USD 30,000</t>
  </si>
  <si>
    <t>Hotel Bank</t>
  </si>
  <si>
    <t>Hotel Bank Travel Company Limited</t>
  </si>
  <si>
    <t>Gaoshiong</t>
  </si>
  <si>
    <t>Mr. Terence</t>
  </si>
  <si>
    <t>Chairman</t>
  </si>
  <si>
    <t>886918255520</t>
  </si>
  <si>
    <t>terence@hotelbank.com.tw</t>
  </si>
  <si>
    <t>No.25, Baoding St. Sanmin Dist. Kaohsiung City</t>
  </si>
  <si>
    <t>at</t>
  </si>
  <si>
    <t>Hotels Reservation Center INC.</t>
  </si>
  <si>
    <t>Ms. Eunice</t>
  </si>
  <si>
    <t>General Manager</t>
  </si>
  <si>
    <t>886 2 2740 7988</t>
  </si>
  <si>
    <t>hrc@hrclink.com.tw/
eunice@hrclink.com.tw</t>
  </si>
  <si>
    <t>台北市復興北路1號12樓之五</t>
  </si>
  <si>
    <t>龙腾捷旅</t>
  </si>
  <si>
    <t>Ms. Michelle
Ms. Anna Lan</t>
  </si>
  <si>
    <t>Overseas Supplier Contracting Manager
COO</t>
  </si>
  <si>
    <t>0755-8235164</t>
  </si>
  <si>
    <t>globalhotel-9@cnbooking.net
sz_lanyan@163.com</t>
  </si>
  <si>
    <t>https://cnbooking.net/</t>
  </si>
  <si>
    <t>25th Floor of Tian An International Building, Luohu District, Shenzhen, P.R.C.</t>
  </si>
  <si>
    <t>Cooltrip</t>
  </si>
  <si>
    <t>酷旅</t>
  </si>
  <si>
    <t>Gan You Tong</t>
  </si>
  <si>
    <t>赣游通（江西旅游科技集团有限公司）</t>
  </si>
  <si>
    <t>Henglv</t>
  </si>
  <si>
    <t>恒旅</t>
  </si>
  <si>
    <t>Huayi Travel</t>
  </si>
  <si>
    <t>香港华逸旅游</t>
  </si>
  <si>
    <t>JINGDONG TRAVEL</t>
  </si>
  <si>
    <t>京东旅行</t>
  </si>
  <si>
    <t>JL-Tour</t>
  </si>
  <si>
    <t>深圳捷旅</t>
  </si>
  <si>
    <t>Lezhi Travel</t>
  </si>
  <si>
    <t>成都乐智出游(高德)</t>
  </si>
  <si>
    <t>Spring</t>
  </si>
  <si>
    <t>春秋国旅</t>
  </si>
  <si>
    <t>mytour</t>
  </si>
  <si>
    <t>MYTOUR VIET NAM COMPANY LIMITED</t>
  </si>
  <si>
    <t>South East Asia</t>
  </si>
  <si>
    <t>Ha Noi</t>
  </si>
  <si>
    <t>Ms Huyền</t>
  </si>
  <si>
    <t>Head Hotel Business /093 6132091‬- CEO My tour</t>
  </si>
  <si>
    <t>csmytour@mytour.vn</t>
  </si>
  <si>
    <t>mytour.vn</t>
  </si>
  <si>
    <t>Tầng 3, Tòa nhà Viwaseen, Số 48, Nguyễn Cảnh Dị, Phường Dịch Vọng, Quận Cầu Giấy, Hà Nội, Việt Nam</t>
  </si>
  <si>
    <t>ACE Tours &amp; Travel</t>
  </si>
  <si>
    <t>ACE&amp; TRAVEL PTE LTD</t>
  </si>
  <si>
    <t>TA,B2C</t>
  </si>
  <si>
    <t>https://www.acetours.sg/</t>
  </si>
  <si>
    <t>WTS Travel</t>
  </si>
  <si>
    <t>WTS Travel &amp; Tours Pte Ltd</t>
  </si>
  <si>
    <t>TA, B2C,B2B</t>
  </si>
  <si>
    <t>Henry Ching</t>
  </si>
  <si>
    <t>HOD Overseas Department</t>
  </si>
  <si>
    <t>enquiries@wtstravel.com.sg;henryching@wts.com.sg</t>
  </si>
  <si>
    <t>https://www.wtstravel.com.sg/</t>
  </si>
  <si>
    <t>3 Temasek Blvd, #01-484 / 485 / 486, Singapore 038983</t>
  </si>
  <si>
    <t>Trust You</t>
  </si>
  <si>
    <t>TrustYou GmbH</t>
  </si>
  <si>
    <t>https://www.trustyou.com/</t>
  </si>
  <si>
    <t>RMG Tours</t>
  </si>
  <si>
    <t>https://rmgtours.com/our-suite-of-services/</t>
  </si>
  <si>
    <t>Hoteliers.Guru</t>
  </si>
  <si>
    <t>Phuket</t>
  </si>
  <si>
    <t>Switching/B2B</t>
  </si>
  <si>
    <t>https://www.hoteliers.guru/home</t>
  </si>
  <si>
    <t>Certificate</t>
  </si>
  <si>
    <t>HONGKONG SSBOOKING TECHNOLOGY COMPANY LIMITED</t>
  </si>
  <si>
    <t>Ms. Olivia
Ms. Kathleen</t>
  </si>
  <si>
    <t>Overseas Hotel Operations Director
COO</t>
  </si>
  <si>
    <t>6 135 2268 8178
82 133 3759 9338</t>
  </si>
  <si>
    <t>zc@ssbooking.com
zhanghuan@xiangdo.vip</t>
  </si>
  <si>
    <t>Room 4008, FULI TIANYU Center, No.180 Jiangnandadaozhong Avenue,Haizhhu District,Guangzhou,China(HQ)</t>
  </si>
  <si>
    <t>Lets sees tour &amp; travels</t>
  </si>
  <si>
    <t>Let See Tour &amp; Travel Pvt.Ltd</t>
  </si>
  <si>
    <t>Middle East</t>
  </si>
  <si>
    <t>Guwahati</t>
  </si>
  <si>
    <t>Zourez Emad</t>
  </si>
  <si>
    <t>cso@letsseetourandtravels.com</t>
  </si>
  <si>
    <t>https://www.letsseetourandtravels.com/</t>
  </si>
  <si>
    <t>Subham Buildwell, RG Baruah Rd, beside NEEPCO bhawan, Sundarpur, Guwahati, Assam 781005,</t>
  </si>
  <si>
    <t>Vntrip</t>
  </si>
  <si>
    <t>VNTRIP Technology Co., Ltd.,</t>
  </si>
  <si>
    <t>Ms Giang</t>
  </si>
  <si>
    <t>Sales team leader</t>
  </si>
  <si>
    <t>zalo: quyên quyên</t>
  </si>
  <si>
    <t>giang.th.nguyen@vntrip.vn</t>
  </si>
  <si>
    <t>sales@vntrip.vn</t>
  </si>
  <si>
    <t>Vntrip.vn</t>
  </si>
  <si>
    <t>No. 10/55 Thuy Khue Street, Tay Ho Ward, Hanoi City, Vietnam</t>
  </si>
  <si>
    <t>chudu24</t>
  </si>
  <si>
    <t>CHU DU TWO FOUR SERVICES JOINT STOCK COMPANY</t>
  </si>
  <si>
    <t>TP HCM</t>
  </si>
  <si>
    <t>Ms Alex</t>
  </si>
  <si>
    <t>Manager -
International Business Development</t>
  </si>
  <si>
    <t>+84 39 358 7879</t>
  </si>
  <si>
    <t>trang.nguyen.quynh@chudu24.com</t>
  </si>
  <si>
    <t>outbound@chudu24.com</t>
  </si>
  <si>
    <t>chudu24.com</t>
  </si>
  <si>
    <t>10th Floor, 60 Nguyen Dinh Chieu, Tan Dinh Ward, HCMC</t>
  </si>
  <si>
    <t>Prepay</t>
  </si>
  <si>
    <t>GOTADI TRAVEL TECHNOLOGIES JSC</t>
  </si>
  <si>
    <t>Mr. Huỳnh Thế VĨ</t>
  </si>
  <si>
    <t>Market Manager</t>
  </si>
  <si>
    <t>+84 939 213 188</t>
  </si>
  <si>
    <t>vi.ht@hgaviation.vn</t>
  </si>
  <si>
    <t>c@gotadi.com</t>
  </si>
  <si>
    <t>gotadi.com</t>
  </si>
  <si>
    <t>Tầng 8, Tòa nhà Vietcombank, Số 5 Công Trường Mê Linh, Quận 1, TP. Hồ Chí Minh, Việt Nam</t>
  </si>
  <si>
    <t>Postpay</t>
  </si>
  <si>
    <t>N/A</t>
  </si>
  <si>
    <t>LE BAO KHANH (Ms.Khanh)</t>
  </si>
  <si>
    <t>Senior Sales Manager</t>
  </si>
  <si>
    <t>0392 867 117</t>
  </si>
  <si>
    <t>Zalo</t>
  </si>
  <si>
    <t>khanh.lebao@gotadi.com</t>
  </si>
  <si>
    <t xml:space="preserve">số 47 Phan Chu Trinh, Cửa Nam, Hà Nội </t>
  </si>
  <si>
    <t>ivivu</t>
  </si>
  <si>
    <t>IVIVU.COM JOINT STOCK COMPANY</t>
  </si>
  <si>
    <t>Đào Lê Kim Đoan (Ms.)</t>
  </si>
  <si>
    <t>Outbound Product Leader</t>
  </si>
  <si>
    <t>+84 976 356 318 (Z/S/W/V)</t>
  </si>
  <si>
    <t>kimdoan.dao@ivivu.com</t>
  </si>
  <si>
    <t>tc@ivivu.com</t>
  </si>
  <si>
    <t>ivivu.com</t>
  </si>
  <si>
    <t>Lầu 2, Tòa nhà Anh Đăng, 215 Nam Kỳ Khởi Nghĩa, Phường 7, Quận 3, TP. Hồ Chí Minh.</t>
  </si>
  <si>
    <t>BestPrice Travel</t>
  </si>
  <si>
    <t>BESTPRICE TRAVEL TECHNOLOGY JOINT STOCK COMPANY</t>
  </si>
  <si>
    <t>Mr Bui Thanh Tu</t>
  </si>
  <si>
    <t>Chief Marketing Officer</t>
  </si>
  <si>
    <t>tubt@bestprice.vn</t>
  </si>
  <si>
    <t>bestprice.vn</t>
  </si>
  <si>
    <t>2nd Floor, Anh Dang Building,
215 Nam Ky Khoi Nghia, Ward 7, District 3, HCMC</t>
  </si>
  <si>
    <t>Mustgo.vn</t>
  </si>
  <si>
    <t>LIEN MINH VIET NAM TOURISM JOINT STOCK COMPANY</t>
  </si>
  <si>
    <t>Tiana</t>
  </si>
  <si>
    <t>Head of Product
Head of Inbound Sales Department</t>
  </si>
  <si>
    <t>(+84) 969 111 584</t>
  </si>
  <si>
    <t>dmc2@mustgo.vn</t>
  </si>
  <si>
    <t>hp@mustgo.vn</t>
  </si>
  <si>
    <t>https://mustgo.vn/</t>
  </si>
  <si>
    <t>Tầng 27, Eurowindow Multicomplex, số 27 Trần Duy Hưng, Phường Trung Hòa, Quận Cầu Giấy, TP Hà Nội.</t>
  </si>
  <si>
    <t>Ottila International</t>
  </si>
  <si>
    <t>Ottila International Pvt.Ltd</t>
  </si>
  <si>
    <t>Mumbai</t>
  </si>
  <si>
    <t>Mr Aashish Bhatt</t>
  </si>
  <si>
    <t>General Manager- Products</t>
  </si>
  <si>
    <t>+91 22 67205000 / 67204848// +91 9920354551</t>
  </si>
  <si>
    <t>bhatt.aashish@ottila.com</t>
  </si>
  <si>
    <t>https://www.ottila.com/; https://www.ottila.net/</t>
  </si>
  <si>
    <t>1B1 Gundecha Onclave, Kherani Road, Sakinaka, Andheri East, Mumbai</t>
  </si>
  <si>
    <t>Global Center</t>
  </si>
  <si>
    <t>PT Global Unggul Wisata</t>
  </si>
  <si>
    <t>Banten</t>
  </si>
  <si>
    <t>Ms Selvy Widjaja//Ms Aufa Puspa Rani</t>
  </si>
  <si>
    <t>Managing Director//Hotel &amp;Product Officer</t>
  </si>
  <si>
    <t>globalcenter.ind@gmail.com</t>
  </si>
  <si>
    <t>globalcenterhotels.com</t>
  </si>
  <si>
    <t>JI. Boulevard Raya, Ruko Paramount Green Dotcom Blok G.03 Gading Serpong, Kelapa Dua, Tangerang, Banten 15810</t>
  </si>
  <si>
    <t>tisse</t>
  </si>
  <si>
    <t>Kolkata</t>
  </si>
  <si>
    <t>Ms Kakshi Agarwal//Mr Vishnu Agarwal</t>
  </si>
  <si>
    <t>travel@tisse.in</t>
  </si>
  <si>
    <t>tisse.in</t>
  </si>
  <si>
    <t>6/3 Hindustan Park, Kolkata</t>
  </si>
  <si>
    <t>30 Sundays</t>
  </si>
  <si>
    <t>Brance Technologies Private Limited</t>
  </si>
  <si>
    <t>Haryana</t>
  </si>
  <si>
    <t>Mr Nishant Dixit</t>
  </si>
  <si>
    <t>Operation&amp;International Business</t>
  </si>
  <si>
    <t>nishant.dixit@30sundays.club</t>
  </si>
  <si>
    <t>https://www.30sundays.club/</t>
  </si>
  <si>
    <t>Sector 58, Gurgaon</t>
  </si>
  <si>
    <t>sharetrip</t>
  </si>
  <si>
    <t>ShareTrip Ltd</t>
  </si>
  <si>
    <t>Banglades</t>
  </si>
  <si>
    <t>South Asia</t>
  </si>
  <si>
    <t>Bangladesh</t>
  </si>
  <si>
    <t>Dhaka</t>
  </si>
  <si>
    <t>B2C/B2B</t>
  </si>
  <si>
    <t>Mr Md.Mizanur Rahman</t>
  </si>
  <si>
    <t>Head of ST Rooms&amp;Inbound</t>
  </si>
  <si>
    <t>mizan@sharetrip.net</t>
  </si>
  <si>
    <t>sharetrip.net</t>
  </si>
  <si>
    <t>Rangs Pearl Tower, 4th Floor, House 76 Block E, Road 12, Banani, Dhaka 1213</t>
  </si>
  <si>
    <t>Tour East</t>
  </si>
  <si>
    <t>Tour East Group</t>
  </si>
  <si>
    <t>Mr Dennis Law</t>
  </si>
  <si>
    <t>Executive Officer Asia</t>
  </si>
  <si>
    <t>dlaw.sg@toureast.net//dennis_l.hq@jtbap.com</t>
  </si>
  <si>
    <t>toureast.net</t>
  </si>
  <si>
    <t>79 Anson Road</t>
  </si>
  <si>
    <t>pinoytourism</t>
  </si>
  <si>
    <t>Pinoy Tourism and Travels LLC</t>
  </si>
  <si>
    <t>Abu Dhabi</t>
  </si>
  <si>
    <t>Ms Diane Enri Dela Cruz</t>
  </si>
  <si>
    <t>Regional Manager</t>
  </si>
  <si>
    <t>+639760243637//+447898977510</t>
  </si>
  <si>
    <t>dianeenri@pinoytourism.com</t>
  </si>
  <si>
    <t>pinoytourism.com</t>
  </si>
  <si>
    <t>803, Abu Dhabi Plaza, Hamdan Street, Abu Dhabi, UAE</t>
  </si>
  <si>
    <t>环球国旅</t>
  </si>
  <si>
    <t>Chengdu</t>
  </si>
  <si>
    <t>Mr. Daniel</t>
  </si>
  <si>
    <t>86 18515393451</t>
  </si>
  <si>
    <t>danielqinlong168@163.com</t>
  </si>
  <si>
    <t>四川省成都市新都区新都街道行乐北街188号2栋21楼1号</t>
  </si>
  <si>
    <t>Yee international travel agency</t>
  </si>
  <si>
    <t>Ms. Sue</t>
  </si>
  <si>
    <t>86 13564540117</t>
  </si>
  <si>
    <t>susu@yeetravel.com</t>
  </si>
  <si>
    <t>Room 505, No. 32, Tieling Road, Yongpu District, Shanghai</t>
  </si>
  <si>
    <t>Linkstay HK Limited</t>
  </si>
  <si>
    <t>B2B2C</t>
  </si>
  <si>
    <t>Mr. Jason</t>
  </si>
  <si>
    <t>SVP</t>
  </si>
  <si>
    <t>jason.zhen@linkstay.com</t>
  </si>
  <si>
    <t>https://www.wego.com/</t>
  </si>
  <si>
    <t>Siloah travel</t>
  </si>
  <si>
    <t>886 952 777 627</t>
  </si>
  <si>
    <t>tunghua@siloahtravel.com</t>
  </si>
  <si>
    <t>14F-3, No. 137, Sec. 1, Fuxing S. Rd., Taipei City 106, Taiwan, R.O.C</t>
  </si>
  <si>
    <t>mynztrip</t>
  </si>
  <si>
    <t>MY NZTRIP LIMITED.</t>
  </si>
  <si>
    <t>Newzealand</t>
  </si>
  <si>
    <t>Oceania</t>
  </si>
  <si>
    <t>New Zealand</t>
  </si>
  <si>
    <t>Auckland</t>
  </si>
  <si>
    <t>Mr Vinod Kumar Prakash Baratakke</t>
  </si>
  <si>
    <t>Director Global Business Advisor and CEO- India</t>
  </si>
  <si>
    <t>+91935315523//+60184004447</t>
  </si>
  <si>
    <t>vinod@mynztrip.com</t>
  </si>
  <si>
    <t>mynztrip.com</t>
  </si>
  <si>
    <t>37 Channel View Road, Campbells Bay, Auckland 0630, New Zealand</t>
  </si>
  <si>
    <t>PT Global Tiket Network</t>
  </si>
  <si>
    <t>Mr Angga Primasetya</t>
  </si>
  <si>
    <t>Buyer</t>
  </si>
  <si>
    <t>angga.primasetya@tiket.com; pradita.saputri@tiket.com</t>
  </si>
  <si>
    <t>kamal.kripalaney@tiket.com</t>
  </si>
  <si>
    <t>tiket.com</t>
  </si>
  <si>
    <t>Wisma Barito Pacific II Floors 8-16, JL. Letjen S. Parman Kav.60, Slipi, Jakarta 11410, Indonesia</t>
  </si>
  <si>
    <t>Bingo Travel</t>
  </si>
  <si>
    <t>北京保盛国际旅行社有限公司</t>
  </si>
  <si>
    <t>Ms. Zhu</t>
  </si>
  <si>
    <t>Global Hotel Manager</t>
  </si>
  <si>
    <t>86 13581757624</t>
  </si>
  <si>
    <t>zhudan@bingotravel.com.cn</t>
  </si>
  <si>
    <t>北京市丰台区房天下大厦A座1209</t>
  </si>
  <si>
    <t>Vietravel Joint Stock Company</t>
  </si>
  <si>
    <t>Mr. Nha
Mr. Phat</t>
  </si>
  <si>
    <t>Vietravel E-Commerce Center Team</t>
  </si>
  <si>
    <t>phatan.fit@vietravel.com
nhanv.itc@vietravel.com</t>
  </si>
  <si>
    <t>thuongln.bdd@vietravel.com</t>
  </si>
  <si>
    <t>travel.com.vn</t>
  </si>
  <si>
    <t>190 Pasteur, Phường 6, Quận 3, TP. Hồ Chí Minh, Việt Nam</t>
  </si>
  <si>
    <t>Tourmind Corp Limited</t>
  </si>
  <si>
    <t>Mr. Simon
Mr. Daniel</t>
  </si>
  <si>
    <t>Operation Manager
Operation Director</t>
  </si>
  <si>
    <t>86 134 2429 8689
86 186 8218 3530</t>
  </si>
  <si>
    <t>simon@tourmind.com
danielzhang@tourmind.cn</t>
  </si>
  <si>
    <t>中国广东省深圳市南山区西丽街道留仙大道传音大厦603</t>
  </si>
  <si>
    <t>JPY 500,000</t>
  </si>
  <si>
    <t>UONE International Holdings Limited</t>
  </si>
  <si>
    <t>Mr. Ricky</t>
  </si>
  <si>
    <t>CEO</t>
  </si>
  <si>
    <t>86 186 1086 8686</t>
  </si>
  <si>
    <t>ricky.zeng@uonetravel.com</t>
  </si>
  <si>
    <t>北京市朝阳区北苑东路中国铁剑广场E座1706 (SNS)
广州市番偶区巨大创意产业园三期5栋 810</t>
  </si>
  <si>
    <t>82 10 2113 9852
82 10 5185 9507</t>
  </si>
  <si>
    <t>jiho.song@myrealtrip.com
kyouhl.han@myrealtrip.com</t>
  </si>
  <si>
    <t>06628 서울시 서초구 강남대로 311 드림플러스 강남 18층</t>
  </si>
  <si>
    <t>Yuppi Group</t>
  </si>
  <si>
    <t>Türkiye</t>
  </si>
  <si>
    <t>Southwest Asia</t>
  </si>
  <si>
    <t>Turkey</t>
  </si>
  <si>
    <t>Istanbul</t>
  </si>
  <si>
    <t>Shirley Liu</t>
  </si>
  <si>
    <t>APAC Sales Manager</t>
  </si>
  <si>
    <t>86 139 1708 6085</t>
  </si>
  <si>
    <t>shirley.liu@pax2night.com</t>
  </si>
  <si>
    <t>Home - Yuppi Travel</t>
  </si>
  <si>
    <t>HotelBeds</t>
  </si>
  <si>
    <t>Joy</t>
  </si>
  <si>
    <t>Mr. Xie</t>
  </si>
  <si>
    <t>Supplier relation director</t>
  </si>
  <si>
    <t>86 137 0196 1960</t>
  </si>
  <si>
    <t>bin.xie@fenbeitong.com</t>
  </si>
  <si>
    <t>上海市黄浦区打浦路15号中港汇3205室</t>
  </si>
  <si>
    <t>OTRAMS</t>
  </si>
  <si>
    <t>Malaysia</t>
  </si>
  <si>
    <t>Kuala Lumpur</t>
  </si>
  <si>
    <t>Travel Ideas Online</t>
  </si>
  <si>
    <t>Mr. Dani Yap</t>
  </si>
  <si>
    <t>6012-5012315</t>
  </si>
  <si>
    <t>daniyap@tio.asia</t>
  </si>
  <si>
    <t>https://tio.asia/</t>
  </si>
  <si>
    <t>167A,Jln Maharajalela, Kampung Attap 50150 Kuala Lum,pur</t>
  </si>
  <si>
    <t>Within earth</t>
  </si>
  <si>
    <t>Ms. Nisa/Mr. Jack</t>
  </si>
  <si>
    <t>Manager/CFO</t>
  </si>
  <si>
    <t>6018-2166387</t>
  </si>
  <si>
    <t>nisa@withinearth.com</t>
  </si>
  <si>
    <t>B-09-4 Megan Avenue 2 Jalan Yap Kwang Seng Kuala Lumpur -Malaysia</t>
  </si>
  <si>
    <t>mayflower.com.my</t>
  </si>
  <si>
    <t>Ms. Carmen/ Ms Liyana</t>
  </si>
  <si>
    <t>Supplier relations/ Hotel supplier relations</t>
  </si>
  <si>
    <t>603 9232 1888</t>
  </si>
  <si>
    <t>product.dev@mayflower-group.com</t>
  </si>
  <si>
    <t>https://www.mayflower.com.my/hotel-deals</t>
  </si>
  <si>
    <t>No. 1 Jalan Metro Pudu 1, Fraser Business Park off Jalan Yew, 55100 Kuala Lumpur</t>
  </si>
  <si>
    <t>Gstay (Ice Holidays)</t>
  </si>
  <si>
    <t>Golden Destination</t>
  </si>
  <si>
    <t>Ms. Alice/Ms. Charlene</t>
  </si>
  <si>
    <t>E commerce &amp; Distribution Manager</t>
  </si>
  <si>
    <t>TA Network</t>
  </si>
  <si>
    <t>60126825328/ 60123113262</t>
  </si>
  <si>
    <t>alicelee.sh@ice-holidays.com/charlenecheah@ice-holidays.com</t>
  </si>
  <si>
    <t>https://www.tripaffiliates.com/About-Us/News-Room/ICE-Holidays</t>
  </si>
  <si>
    <t>Lot 9-01,9-02A &amp; 9-08, 9th Floor, Manara Hap Seng, Jalan P. Ramlee, 50250 KL</t>
  </si>
  <si>
    <t>Luxury Tour Malaysia</t>
  </si>
  <si>
    <t>Ms. Salim/ Gary</t>
  </si>
  <si>
    <t>Assistant Manager /Director</t>
  </si>
  <si>
    <t>603 7890 5600</t>
  </si>
  <si>
    <t>Norhayati.Salim@luxurytours.com.my</t>
  </si>
  <si>
    <t>https://www.facebook.com/LuxuryToursMalaysia</t>
  </si>
  <si>
    <t>StayLah</t>
  </si>
  <si>
    <t>Mr. Kevin / Mr. Ahmed</t>
  </si>
  <si>
    <t>Founder Ceo/ Head of product operations</t>
  </si>
  <si>
    <t>66 936 79 6899/ 60142622606</t>
  </si>
  <si>
    <t>kevin@stay-lah.com/ Rajib.Ahmed@stay-lah.com</t>
  </si>
  <si>
    <t>35-8-1, Binjai8 Premium Soho 2 Jalan Binjai 50450 Kuala Lumpur, Malaysia</t>
  </si>
  <si>
    <t>TruTrip</t>
  </si>
  <si>
    <t>Olivia</t>
  </si>
  <si>
    <t>support@trutrip.co</t>
  </si>
  <si>
    <t>https://trutrip.co/</t>
  </si>
  <si>
    <t>9 Raffles Pl, #26-01 Republic Plaza, Singapore 048619</t>
  </si>
  <si>
    <t>Goibibo</t>
  </si>
  <si>
    <t>Cleartrip</t>
  </si>
  <si>
    <t>Sharon Sampson</t>
  </si>
  <si>
    <t>Deputy General Manager - Connectivity &amp; Partnership</t>
  </si>
  <si>
    <t>sharon.sampson@cleartrip.com</t>
  </si>
  <si>
    <t>sonali.jena@cleartrip.com</t>
  </si>
  <si>
    <t>ixigo</t>
  </si>
  <si>
    <t>Yatra</t>
  </si>
  <si>
    <t>EaseMyTrip</t>
  </si>
  <si>
    <t>Asha</t>
  </si>
  <si>
    <t>Product Mgr</t>
  </si>
  <si>
    <t>sourabh.shrivastava@easemytrip.com</t>
  </si>
  <si>
    <t>rahul.kumar@easemytrip.com</t>
  </si>
  <si>
    <t>https://www.easemytrip.com/</t>
  </si>
  <si>
    <t>Via.com</t>
  </si>
  <si>
    <t>care@via.com</t>
  </si>
  <si>
    <t>SOTC</t>
  </si>
  <si>
    <t>SOTC Travel</t>
  </si>
  <si>
    <t>API, B2B,B2C, FIT, PKG</t>
  </si>
  <si>
    <t>Nadeem Haidar - GM</t>
  </si>
  <si>
    <t>GM</t>
  </si>
  <si>
    <t>nadeem.haider@sotc.in</t>
  </si>
  <si>
    <t>www.sotc.in</t>
  </si>
  <si>
    <t>Akbar Travels</t>
  </si>
  <si>
    <t>+91 22 40996000</t>
  </si>
  <si>
    <t>sales@akbartravelsonline.com</t>
  </si>
  <si>
    <t>Travelguru</t>
  </si>
  <si>
    <t>alliances@travelguru.com</t>
  </si>
  <si>
    <t>guest incoming</t>
  </si>
  <si>
    <t>B2B,DMC,Bedbank</t>
  </si>
  <si>
    <t>Arnau de Matias</t>
  </si>
  <si>
    <t>Sales Executive</t>
  </si>
  <si>
    <t>arnau@guestincoming.com</t>
  </si>
  <si>
    <t>https://www.guestincoming.com/en/</t>
  </si>
  <si>
    <t>ASK 2 TRAVEL</t>
  </si>
  <si>
    <t>Greece</t>
  </si>
  <si>
    <t>B2B,OTA</t>
  </si>
  <si>
    <t>Eda Bayraktar</t>
  </si>
  <si>
    <t>Chief Commercial Officer</t>
  </si>
  <si>
    <t>ebayraktar@ask2travel.com</t>
  </si>
  <si>
    <t>https://www.ask2travel.com/</t>
  </si>
  <si>
    <t>VETUR IS</t>
  </si>
  <si>
    <t>B2B,Bedbank</t>
  </si>
  <si>
    <t>Jose Carlos Munoz</t>
  </si>
  <si>
    <t>Executive Director</t>
  </si>
  <si>
    <t>jose@veturis.com</t>
  </si>
  <si>
    <t>https://www.veturis.com/</t>
  </si>
  <si>
    <t>RESTEL HOTELS</t>
  </si>
  <si>
    <t>Iker Zhong</t>
  </si>
  <si>
    <t>ikerzhong@restelhotels.com</t>
  </si>
  <si>
    <t>https://www.restelhotels.com/rs3b2b/web/home</t>
  </si>
  <si>
    <t>Smyrooms</t>
  </si>
  <si>
    <t>Mohamed Sharib</t>
  </si>
  <si>
    <t>Director of Sales</t>
  </si>
  <si>
    <t>mohamed.sharib@smyrooms.com</t>
  </si>
  <si>
    <t>https://www.smyrooms.com/</t>
  </si>
  <si>
    <t>Rocky Wang
Ace Zhou
Anson Lau</t>
  </si>
  <si>
    <t>Assistant General Manager
Director of Business Development
Director Shiji Distribution Soultions</t>
  </si>
  <si>
    <t>rocky.wang@shijigroup.com
ace.zhou@shijigroup.com
anson.lau@shijigroup.com</t>
  </si>
  <si>
    <t>https://www.shijigroup.com/</t>
  </si>
  <si>
    <t>pktravel</t>
  </si>
  <si>
    <t>886-2-2502-2999</t>
  </si>
  <si>
    <t>pktravel.com.tw</t>
  </si>
  <si>
    <t>https://www.pktravel.com.tw/</t>
  </si>
  <si>
    <t>tahsintiur</t>
  </si>
  <si>
    <t>tahsin@tahsintour.com.tw</t>
  </si>
  <si>
    <t>tahsintour.com.tw</t>
  </si>
  <si>
    <t>Chan Brothers Travel</t>
  </si>
  <si>
    <t>Richard Tan</t>
  </si>
  <si>
    <t>Corporate office Senior Sales Mgr</t>
  </si>
  <si>
    <t>65 64388880</t>
  </si>
  <si>
    <t>richard_tan@chanbrothers.com.sg</t>
  </si>
  <si>
    <t>https://www.chanbrothers.com/</t>
  </si>
  <si>
    <t>150 South Bridge Road, Fook Hai Building, Singapore 058727</t>
  </si>
  <si>
    <t>Nam Ho Travel</t>
  </si>
  <si>
    <t>Michelle Ng</t>
  </si>
  <si>
    <t>michelleng@namho.com.sg</t>
  </si>
  <si>
    <t>https://namho.com.sg/</t>
  </si>
  <si>
    <t>1 Park Road, #04-63 People's Park Complex, Singapore 059108</t>
  </si>
  <si>
    <t>EU Holidays</t>
  </si>
  <si>
    <t>Vivian Lee</t>
  </si>
  <si>
    <t>vivianlee@euholidays.com.sg</t>
  </si>
  <si>
    <t>https://www.euholidays.com.sg/</t>
  </si>
  <si>
    <t>Suntec Singapore Convention &amp; Exhibition Centre, 1 Raffles Blvd, Level 2 Crescent 2, 039593</t>
  </si>
  <si>
    <t>Dynasty Travel</t>
  </si>
  <si>
    <t>Tianyi</t>
  </si>
  <si>
    <t>planners@dynastytravel.com.sg</t>
  </si>
  <si>
    <t>https://www.dynastytravel.com.sg/destinations</t>
  </si>
  <si>
    <t>435 Orchard Road #11-00 Wisma Atria Singapore 238877</t>
  </si>
  <si>
    <t>UOB Travel</t>
  </si>
  <si>
    <t>CTC Travel</t>
  </si>
  <si>
    <t>Lisa See</t>
  </si>
  <si>
    <t>Outbound Mgr</t>
  </si>
  <si>
    <t>65 65350001</t>
  </si>
  <si>
    <t>lisa.see@ctc.com.sg</t>
  </si>
  <si>
    <t>https://ctc.com.sg/</t>
  </si>
  <si>
    <t>101 Upper Cross Street,#02-67/68/69 People's Park Centre, 058357</t>
  </si>
  <si>
    <t>SA Tours</t>
  </si>
  <si>
    <t>Keith Ng</t>
  </si>
  <si>
    <t>65 65352611</t>
  </si>
  <si>
    <t>keith@satours.com.sg</t>
  </si>
  <si>
    <t>https://www.satours.com/</t>
  </si>
  <si>
    <t>1 Park Road, #04-62 People's Park Complex, Singapore 059108</t>
  </si>
  <si>
    <t>Neway Travel</t>
  </si>
  <si>
    <t>Lulutrip</t>
  </si>
  <si>
    <t>Mayflower Holidays</t>
  </si>
  <si>
    <t>OTA, TA, B2C</t>
  </si>
  <si>
    <t>Dwidaya Tour</t>
  </si>
  <si>
    <t>PT. Dwi Daya World Wide</t>
  </si>
  <si>
    <t>Dhear Kartini Mohamad</t>
  </si>
  <si>
    <t>Global Product Executive</t>
  </si>
  <si>
    <t>+62 82233362196</t>
  </si>
  <si>
    <t>globalproduct@dwidayatravel.com</t>
  </si>
  <si>
    <t>dwicp@dwidayatravel.com
info@dwidayatravel.com</t>
  </si>
  <si>
    <t>https://www.dwidayatour.co.id/</t>
  </si>
  <si>
    <t>Jl. Hayam Wuruk No. 121, Mangga Besar, Jakarta 11180, Indonesia ; Central Park Mall, Shop Unit L-219, Jl. S. Parman, Jakarta Barat 11470</t>
  </si>
  <si>
    <t>Thai Airways</t>
  </si>
  <si>
    <t>Holiday Tours &amp; Travel</t>
  </si>
  <si>
    <t>B2B, TMC</t>
  </si>
  <si>
    <t>sales.advisor@holidaytours.com.my</t>
  </si>
  <si>
    <t>https://www.holidaytours.com.my/?utm_source=chatgpt.com</t>
  </si>
  <si>
    <t>Sanshin Travel Service</t>
  </si>
  <si>
    <t>Watanabe Mayuko - Supervisor Chief</t>
  </si>
  <si>
    <t>Supervisor Chief</t>
  </si>
  <si>
    <t>korea@sanshin-travel.com</t>
  </si>
  <si>
    <t>https://www.sanshin-travel.com/</t>
  </si>
  <si>
    <t>RMS Travel</t>
  </si>
  <si>
    <t>Selangor</t>
  </si>
  <si>
    <t>PKG, B2C,Private tour</t>
  </si>
  <si>
    <t>Syazri Afiq - Director</t>
  </si>
  <si>
    <t>syazriafiq@gmail.com</t>
  </si>
  <si>
    <t>www.rmstravel.com</t>
  </si>
  <si>
    <t>Hana Travels LLP</t>
  </si>
  <si>
    <t>Inida</t>
  </si>
  <si>
    <t>MICE, group tour only</t>
  </si>
  <si>
    <t>Park Chung Hee 대표님</t>
  </si>
  <si>
    <t>대표님</t>
  </si>
  <si>
    <t>chyogi@hotmail.com</t>
  </si>
  <si>
    <t>https://hanatravelsindia.com/</t>
  </si>
  <si>
    <t>Teja Wisata Tour and Travel</t>
  </si>
  <si>
    <t>Yogyakarta</t>
  </si>
  <si>
    <t>day tour only</t>
  </si>
  <si>
    <t>Suteja - Travel Consultant</t>
  </si>
  <si>
    <t>Travel Consultant</t>
  </si>
  <si>
    <t>teja@tejawisata.com</t>
  </si>
  <si>
    <t>https://tejawisata.com/</t>
  </si>
  <si>
    <t>Popular Express</t>
  </si>
  <si>
    <t>Sabah</t>
  </si>
  <si>
    <t>FIT, PKG</t>
  </si>
  <si>
    <t>Tatianna - Manager</t>
  </si>
  <si>
    <t>op3@popularexpress.com</t>
  </si>
  <si>
    <t>www.popularexpress.com</t>
  </si>
  <si>
    <t>KTCC</t>
  </si>
  <si>
    <t>KTCC Co., Ltd</t>
  </si>
  <si>
    <t>Southeast Asia</t>
  </si>
  <si>
    <t>Bangkok</t>
  </si>
  <si>
    <t>KR Package tour</t>
  </si>
  <si>
    <t>Pattama Raksakiat - GM</t>
  </si>
  <si>
    <t>landktcc2@gmail.com</t>
  </si>
  <si>
    <t>www.happytokorea.com</t>
  </si>
  <si>
    <t>Pangea Travel</t>
  </si>
  <si>
    <t>The Netherlands</t>
  </si>
  <si>
    <t>PKG</t>
  </si>
  <si>
    <t>Janne Peelen - Travel Consulstant</t>
  </si>
  <si>
    <t>Travel Consulstant</t>
  </si>
  <si>
    <t>janne@pangeatravel.nl</t>
  </si>
  <si>
    <t>https://www.pangeatravel.nl/</t>
  </si>
  <si>
    <t>The Dragon Trip</t>
  </si>
  <si>
    <t>FIT, PKG, private (combination trip)</t>
  </si>
  <si>
    <t>Nicole Stirling</t>
  </si>
  <si>
    <t>nicole.stirling@thedragontrip.com</t>
  </si>
  <si>
    <t>https://thedragontrip.com/</t>
  </si>
  <si>
    <t>Sino Travel &amp; Trading</t>
  </si>
  <si>
    <t>Jimmy - Manager</t>
  </si>
  <si>
    <t>jimmywoo.sino@gmail.com</t>
  </si>
  <si>
    <t>www.sinotravel.com.sg</t>
  </si>
  <si>
    <t>Jasil Travel &amp; Tours</t>
  </si>
  <si>
    <t>Philippines</t>
  </si>
  <si>
    <t>Antipolo</t>
  </si>
  <si>
    <t>Reimeline Jasil Sayson</t>
  </si>
  <si>
    <t>Staff</t>
  </si>
  <si>
    <t>jasiltraveltours@gmail.com</t>
  </si>
  <si>
    <t>www.jasiltraveltours.com</t>
  </si>
  <si>
    <t>Even Tour</t>
  </si>
  <si>
    <t>Mongolia</t>
  </si>
  <si>
    <t>Ulaanbaatar</t>
  </si>
  <si>
    <t>MICE,PKG,B2C</t>
  </si>
  <si>
    <t>Jargal - Manager</t>
  </si>
  <si>
    <t>sales@eventour.com</t>
  </si>
  <si>
    <t>www.eventour.mn</t>
  </si>
  <si>
    <t>HONG THAI TRAVEL</t>
  </si>
  <si>
    <t>HONG THAI TRAVEL SERVICES (S) PTE LTD</t>
  </si>
  <si>
    <t>TA, B2C</t>
  </si>
  <si>
    <t>Lee Hwee Noi - Senior Manager</t>
  </si>
  <si>
    <t>Senior Manager</t>
  </si>
  <si>
    <t>65 63493764</t>
  </si>
  <si>
    <t>hweenoi@hongthai.com.sg</t>
  </si>
  <si>
    <t>www.hongthai.com.sg</t>
  </si>
  <si>
    <t>1 Park Road, #02-121 People's Park Complex, Singapore 059108</t>
  </si>
  <si>
    <t>BEL TRAVEL &amp; TOURS SDN BHD</t>
  </si>
  <si>
    <t>Goh Hock Gin - Managing Director</t>
  </si>
  <si>
    <t>Managing Director</t>
  </si>
  <si>
    <t>hockgin@gmail.com/beltraveltours@gmail.com</t>
  </si>
  <si>
    <t>www.beltraveltours.com/</t>
  </si>
  <si>
    <t>LIEN BANG TRAVEL</t>
  </si>
  <si>
    <t xml:space="preserve">
FEDERAL TOURISM AND TRADE COMPANY LIMITED</t>
  </si>
  <si>
    <t>Ho Chi Minh City</t>
  </si>
  <si>
    <t>Kevin - Managing Director</t>
  </si>
  <si>
    <t>kevin@lienbangtravel.com</t>
  </si>
  <si>
    <t>lienbangtravel.com</t>
  </si>
  <si>
    <t>SHINKI KANKO CO,.LTD.</t>
  </si>
  <si>
    <t>SHINKI KANKO CO., LTD</t>
  </si>
  <si>
    <t>Miki / Himeji, Hyogo</t>
  </si>
  <si>
    <t>Bus, DMC</t>
  </si>
  <si>
    <t>Wada Rika</t>
  </si>
  <si>
    <t>www.shinkibus.com/</t>
  </si>
  <si>
    <t>EUPHORIA WORLD TRAVELS PRIVATE LIMITED</t>
  </si>
  <si>
    <t>EUPHORIA WORLD TRAVELS PVT. LTD.</t>
  </si>
  <si>
    <t>New Delhi</t>
  </si>
  <si>
    <t>TA, TO, B2C</t>
  </si>
  <si>
    <t>Varun Modi - Managing Director</t>
  </si>
  <si>
    <t>varun@euphoriaworldtravels.com</t>
  </si>
  <si>
    <t>www.euphoriaworldtravels.com</t>
  </si>
  <si>
    <t>Essence Travel</t>
  </si>
  <si>
    <t>Taichung</t>
  </si>
  <si>
    <t>TA</t>
  </si>
  <si>
    <t>Vera Chen - Product Manager</t>
  </si>
  <si>
    <t>esence.travel/</t>
  </si>
  <si>
    <t>Veltra Corporation</t>
  </si>
  <si>
    <t>Tokyo</t>
  </si>
  <si>
    <t>OTA, B2C</t>
  </si>
  <si>
    <t>Akase</t>
  </si>
  <si>
    <t>info-asia@veltra.com</t>
  </si>
  <si>
    <t>www.veltra.com/jp/</t>
  </si>
  <si>
    <t>IndoTravelStore Wholesaler</t>
  </si>
  <si>
    <t>Tangerang</t>
  </si>
  <si>
    <t>B2B Tour wholesaler</t>
  </si>
  <si>
    <t>Suryadi Oentara - Sales Director</t>
  </si>
  <si>
    <t>Sales Director</t>
  </si>
  <si>
    <t>suryadi.oentara@indotravelstore.com</t>
  </si>
  <si>
    <t>www.indotravelstore.com/</t>
  </si>
  <si>
    <t>VALERIE TOUR &amp; TRAVEL</t>
  </si>
  <si>
    <t>PT VALERIE Tour &amp; Travel</t>
  </si>
  <si>
    <t>Surabaya</t>
  </si>
  <si>
    <t>Leon - Director</t>
  </si>
  <si>
    <t>valerietourtravel@gmail.com</t>
  </si>
  <si>
    <t>www.valerietravel.net</t>
  </si>
  <si>
    <t>World Surprise Travel</t>
  </si>
  <si>
    <t>World Surprise Travel Co., Ltd.</t>
  </si>
  <si>
    <t>TO, B2C, FIT</t>
  </si>
  <si>
    <t>Nathavut - President</t>
  </si>
  <si>
    <t>President</t>
  </si>
  <si>
    <t>www.worldsurprise.com/</t>
  </si>
  <si>
    <t>KKDAY AUSTRALIA</t>
  </si>
  <si>
    <t>Australia</t>
  </si>
  <si>
    <t>OTA, B2B (distributor) ,B2C</t>
  </si>
  <si>
    <t>JC Song</t>
  </si>
  <si>
    <t>Head of Global Distribution</t>
  </si>
  <si>
    <t>jc.song@kkday.com</t>
  </si>
  <si>
    <t>www.kkday.com</t>
  </si>
  <si>
    <t>LUCKY EMPEROR SERVICE</t>
  </si>
  <si>
    <t>Oliva Liu</t>
  </si>
  <si>
    <t>olivia@Ggogo.com</t>
  </si>
  <si>
    <t>www.Ggogo.com</t>
  </si>
  <si>
    <t>MHholidays</t>
  </si>
  <si>
    <t>Belong to Malaysia Airline</t>
  </si>
  <si>
    <t>Airasia Move</t>
  </si>
  <si>
    <t>aa_sales_SG@airasia.com</t>
  </si>
  <si>
    <t>Apple Vacations SDN BHD</t>
  </si>
  <si>
    <t>Startravel Malaysia</t>
  </si>
  <si>
    <t>product@startravel.com.my</t>
  </si>
  <si>
    <t>Cebu Pacific Air</t>
  </si>
  <si>
    <t>Pasay</t>
  </si>
  <si>
    <t>Airline</t>
  </si>
  <si>
    <t>Philippine Airlines</t>
  </si>
  <si>
    <t>Almosafer</t>
  </si>
  <si>
    <t>Saudi Arabia</t>
  </si>
  <si>
    <t>Riyadh</t>
  </si>
  <si>
    <t>OTA / TA/ DMC</t>
  </si>
  <si>
    <t>Flynas</t>
  </si>
  <si>
    <t>Emirates Holidays</t>
  </si>
  <si>
    <t>OTA, TA</t>
  </si>
  <si>
    <t>Musafir</t>
  </si>
  <si>
    <t>Cambodia Angkor Air</t>
  </si>
  <si>
    <t>Cambodia</t>
  </si>
  <si>
    <t>Phnom Penh</t>
  </si>
  <si>
    <t>Journeys Cambodia</t>
  </si>
  <si>
    <t>Biman Bangladesh Airlines</t>
  </si>
  <si>
    <t>Myanmar National Airlines</t>
  </si>
  <si>
    <t>Myanmar</t>
  </si>
  <si>
    <t>Yangon</t>
  </si>
  <si>
    <t>Yangon Airways</t>
  </si>
  <si>
    <t>MIAT Mongolian Airlines</t>
  </si>
  <si>
    <t>Lao Airlines</t>
  </si>
  <si>
    <t>Lao</t>
  </si>
  <si>
    <t>Laos</t>
  </si>
  <si>
    <t>Vientiane</t>
  </si>
  <si>
    <t>Air Macau</t>
  </si>
  <si>
    <t>Qatar Airways</t>
  </si>
  <si>
    <t>Futhai</t>
  </si>
  <si>
    <t>Richard</t>
  </si>
  <si>
    <t>Richard.wang@tristar.com.tw</t>
  </si>
  <si>
    <t>www.tristar.com.tw</t>
  </si>
  <si>
    <t>Gettour</t>
  </si>
  <si>
    <t>OTA, B2C, B2B</t>
  </si>
  <si>
    <t>ben@gettour.com</t>
  </si>
  <si>
    <t>https://www.gettour.com.tw/</t>
  </si>
  <si>
    <t>8樓之3 106, Taiwan, Taipei City, Da’an District, Section 2, Anhe Rd, 5號</t>
  </si>
  <si>
    <t>Ostrovok.ru</t>
  </si>
  <si>
    <t>Far East Asia</t>
  </si>
  <si>
    <t>Moscow</t>
  </si>
  <si>
    <t>OTA. B2C,B2B</t>
  </si>
  <si>
    <t>Rabinok</t>
  </si>
  <si>
    <t>a.pervakov@ostrovok.ru</t>
  </si>
  <si>
    <t>start@ostrovok.ru</t>
  </si>
  <si>
    <t>https://ostrovok.ru/</t>
  </si>
  <si>
    <t>Guangzhou Linkall International Travel Agency Co., Ltd.</t>
  </si>
  <si>
    <t>Mr. Lion Luo</t>
  </si>
  <si>
    <t>86 189 2958 5810</t>
  </si>
  <si>
    <t>luojianjun@linkalltravel.com</t>
  </si>
  <si>
    <t>http://linkalltravel.com/about.html</t>
  </si>
  <si>
    <t>广州市海珠区敦和路189号2栋202</t>
  </si>
  <si>
    <t>Guangdong Meiya Business Travel Technology Co., Ltd.</t>
  </si>
  <si>
    <t>Ms. Whitney
Ms. Kiky</t>
  </si>
  <si>
    <t>86 186 6489 0365
86 133 0220 5013</t>
  </si>
  <si>
    <t>whitney@meiya.com</t>
  </si>
  <si>
    <t>美亚商旅-登录页</t>
  </si>
  <si>
    <t>天河区广州大道北520号中创盈科大厦13–14层</t>
  </si>
  <si>
    <t>Joy Travel Group</t>
  </si>
  <si>
    <t>Mr. Samuel Wu</t>
  </si>
  <si>
    <t>Marketing Manager</t>
  </si>
  <si>
    <t>86 135 0292 0025</t>
  </si>
  <si>
    <t>samuel@gzjoetravel.com</t>
  </si>
  <si>
    <t>www.gzjoetravel.com</t>
  </si>
  <si>
    <t>星寰国际商业中心T1办公楼
广东省广州市越秀区侨光西路13号"</t>
  </si>
  <si>
    <t>Hui Ding(HD Booking)</t>
  </si>
  <si>
    <t>深圳慧订网络科技有限公司</t>
  </si>
  <si>
    <t>Ms. Xiao
Mr. Chen</t>
  </si>
  <si>
    <t>Finance account
Manager</t>
  </si>
  <si>
    <t>fd@hdbooking.com'</t>
  </si>
  <si>
    <t>http://wx.sugarloud.com/index.html</t>
  </si>
  <si>
    <t>深圳市罗湖区笋岗街道田心社区红岭北路2088号招商开元中心A座30层3001-3003</t>
  </si>
  <si>
    <t>天下房仓科技有限公司</t>
  </si>
  <si>
    <t>Ms. Ivy</t>
  </si>
  <si>
    <t>xiaohui.ye@fangcang.com'</t>
  </si>
  <si>
    <t>https://www.fangcang.com/</t>
  </si>
  <si>
    <t>龙华新区民治街道宝山时代大厦20楼2016号</t>
  </si>
  <si>
    <t>Hong Kong Summer Penguin Travel Limited</t>
  </si>
  <si>
    <t>Ms. Carrie
Ms. Joe Chen
Mr. Leo Li</t>
  </si>
  <si>
    <t>Director
Head of BD
Head of Product &amp; revenue</t>
  </si>
  <si>
    <t>86 13031183003 
86 186 1259 7393
86 185 1169 6545</t>
  </si>
  <si>
    <t>whatsapp</t>
  </si>
  <si>
    <t>carrie@bingtrip.com
jo.chen@bingtrip.com</t>
  </si>
  <si>
    <t>BingTrip</t>
  </si>
  <si>
    <t>5days</t>
  </si>
  <si>
    <t>guarantee</t>
  </si>
  <si>
    <t>Wego</t>
  </si>
  <si>
    <t>Tutu.ru</t>
  </si>
  <si>
    <t>Oktogo.ru</t>
  </si>
  <si>
    <t>Saint Petersburg</t>
  </si>
  <si>
    <t>AnywayAnyday</t>
  </si>
  <si>
    <t>onlinetours.ru</t>
  </si>
  <si>
    <t>Travelata.ru</t>
  </si>
  <si>
    <t>Polina Suslina</t>
  </si>
  <si>
    <t>Supplier Relation Manager</t>
  </si>
  <si>
    <t>polina.suslina@travelata.ru</t>
  </si>
  <si>
    <t>Nanhwa</t>
  </si>
  <si>
    <t>Nan Hwa (Express) Travel Service Ltd.</t>
  </si>
  <si>
    <t>Clara ng</t>
  </si>
  <si>
    <t>852 2534 9671</t>
  </si>
  <si>
    <t>clarang@nanhwa.com</t>
  </si>
  <si>
    <t>9/F, Pioneer Place, 33 Hoi Yuen Road, Kwun Tong, Kowloon, Hong Kong.</t>
  </si>
  <si>
    <t>WWPKG</t>
  </si>
  <si>
    <t>WWPKG Holdings Company Limited</t>
  </si>
  <si>
    <t>Tsim Sha Tsui</t>
  </si>
  <si>
    <t>Hutcgo.com</t>
  </si>
  <si>
    <t>hutchgo.com</t>
  </si>
  <si>
    <t>Hung Hom</t>
  </si>
  <si>
    <t>DMCquote</t>
  </si>
  <si>
    <t>Travel-DMC Destinationa Management Company</t>
  </si>
  <si>
    <t>sales@travel-dmc.com</t>
  </si>
  <si>
    <t>CHEAPOTEL</t>
  </si>
  <si>
    <t>sales@cheapotel.com</t>
  </si>
  <si>
    <t xml:space="preserve">Beijing ShuoZouJiuZou Technology Co., Ltd.
</t>
  </si>
  <si>
    <t>Thomas
Jessica</t>
  </si>
  <si>
    <t>thomas.chen@justgotripcn
jihuixia@justgotrip.cn</t>
  </si>
  <si>
    <t>北京市北京经济技术开发区科创十三街18号院5号楼7层702</t>
  </si>
  <si>
    <t>Trip Affiliates</t>
  </si>
  <si>
    <t>Trip Affiliates Network</t>
  </si>
  <si>
    <t>Mr. David</t>
  </si>
  <si>
    <t>Regional Director</t>
  </si>
  <si>
    <t>6 012 666 6363</t>
  </si>
  <si>
    <t>david@tripaffiliates.com</t>
  </si>
  <si>
    <t>Best International</t>
  </si>
  <si>
    <t>Best International Travel &amp; Agency Co. Ltd.</t>
  </si>
  <si>
    <t>Mr. Sutha Chuensri</t>
  </si>
  <si>
    <t>General Manager &amp; Operator Manager</t>
  </si>
  <si>
    <t>66 0 2868 2233</t>
  </si>
  <si>
    <t>totae.sutha@bestindochina.com</t>
  </si>
  <si>
    <t>Fourseas Tour</t>
  </si>
  <si>
    <t>Hong Kong Four Seas Tours LTD.</t>
  </si>
  <si>
    <t>Ms. Elsa</t>
  </si>
  <si>
    <t>852 2200 7746</t>
  </si>
  <si>
    <t>elsa@fourseastravel.com</t>
  </si>
  <si>
    <t>RM 701-2, 7/F., On Lok Yuen Bldg., 25-27A Des Voeux Rd., C</t>
  </si>
  <si>
    <t>Travelme.PH</t>
  </si>
  <si>
    <t>TRAVELME.ASIA</t>
  </si>
  <si>
    <t>Philippine</t>
  </si>
  <si>
    <t>Manila</t>
  </si>
  <si>
    <t>Mr. john</t>
  </si>
  <si>
    <t>Coo</t>
  </si>
  <si>
    <t>3 968 884 6824</t>
  </si>
  <si>
    <t>johndionisio@travelme.ph</t>
  </si>
  <si>
    <t>https://travelme.asia/</t>
  </si>
  <si>
    <t>2F SRCDC Bldg., A. Mabini St. Mojon, City of Malolos, Bulacan 3000 PH</t>
  </si>
  <si>
    <t>龙旅在线</t>
  </si>
  <si>
    <t>https://www.rongtrip.cn/</t>
  </si>
  <si>
    <t>北京市丰台区万丰路68号中企创新大厦12层</t>
  </si>
  <si>
    <t>Hotelinx</t>
  </si>
  <si>
    <t>+62 21 50858777</t>
  </si>
  <si>
    <t>sales@hotelinx.com</t>
  </si>
  <si>
    <t>https://www.hotelinx.com/</t>
  </si>
  <si>
    <t>Puri Delta Mas C-31, Ground Floor, Jl. Bandengan Selatan No. 43, Jakarta, Indonesia, 14450</t>
  </si>
  <si>
    <t>Golden Rama Tours &amp; Travel</t>
  </si>
  <si>
    <t>+62 21 2313131</t>
  </si>
  <si>
    <t>hotel.rols@goldenrama.com</t>
  </si>
  <si>
    <t>https://www.goldenrama.com/</t>
  </si>
  <si>
    <t>Jl. Tanah Abang II No. 73 - 75, Jakarta Pusat 10160 - Indonesia</t>
  </si>
  <si>
    <t>Airpaz</t>
  </si>
  <si>
    <t>PT Airpaz Internasional Indonesia</t>
  </si>
  <si>
    <t>+62 878-8126-9069</t>
  </si>
  <si>
    <t>help@airpaz.com</t>
  </si>
  <si>
    <t>https://www.airpaz.com/en</t>
  </si>
  <si>
    <t>Jembatan Dua Raya Blok D17, Jakarta, Indonesia, 11450</t>
  </si>
  <si>
    <t>Antavaya</t>
  </si>
  <si>
    <t>PT Anta Express Tour &amp; Travel Service</t>
  </si>
  <si>
    <t>0821-2890-1696</t>
  </si>
  <si>
    <t>sales.corporate@antavaya.com</t>
  </si>
  <si>
    <t>https://www.antavaya.com/</t>
  </si>
  <si>
    <t>Jl. Batu Tulis Raya no.38, Jakarta 10120 - Indonesia</t>
  </si>
  <si>
    <t>Bookcabin ( Lion Air Group)</t>
  </si>
  <si>
    <t>PT Kabin Kita Top</t>
  </si>
  <si>
    <t>+62 811-193-80888(Lion Air Group)</t>
  </si>
  <si>
    <t>cs@bookcabin.com;</t>
  </si>
  <si>
    <t>customercare@lionairgroup.com</t>
  </si>
  <si>
    <t>https://www.bookcabin.com/</t>
  </si>
  <si>
    <t>Jl. Agave Raya No. 55, Kedoya Selatan, Kebon Jeruk, Jakarta Barat 11520, Indonesia.</t>
  </si>
  <si>
    <t>Smailing Tour</t>
  </si>
  <si>
    <t>PT Smailing Tours &amp; Travel Service</t>
  </si>
  <si>
    <t>+62 8118049019</t>
  </si>
  <si>
    <t>inge.chris@smailingtour.co.id</t>
  </si>
  <si>
    <t>danita.christine@smailingtour.co.id; fransiska.felly@smailingtour.co.id;lany@smailingtour.co.id; putu.ayu@smailingtour.co.id</t>
  </si>
  <si>
    <t>https://smailingtour.co.id/hotel</t>
  </si>
  <si>
    <t>Jl. Majapahit No. 28, Jakarta Pusat (Head Office)</t>
  </si>
  <si>
    <t>BCD Travel Indonesia</t>
  </si>
  <si>
    <t>BCD Travel (Indonesia)</t>
  </si>
  <si>
    <t>+62 21 395 24 800</t>
  </si>
  <si>
    <t>office@bcdtravel.web.id</t>
  </si>
  <si>
    <t>oktavia.lolong@bayubuanatravel.com</t>
  </si>
  <si>
    <t>https://tripsource.com/</t>
  </si>
  <si>
    <t>Jl. Ir. H. Juanda III No. 31N, Jakarta Pusat 10120, Indonesia</t>
  </si>
  <si>
    <t>De</t>
  </si>
  <si>
    <t>Archipelago International</t>
  </si>
  <si>
    <t>PT Archipelago International Indonesia</t>
  </si>
  <si>
    <t>+62 (21) 831 8800</t>
  </si>
  <si>
    <t>zita.m@archipelagointernational.com</t>
  </si>
  <si>
    <t>zita.m@archipelagohotels.com</t>
  </si>
  <si>
    <t>https://www.archipelagohotels.com/</t>
  </si>
  <si>
    <t>Wisma Staco 3rd Floor, 304 Jl. Casablanca Kav. 18 Jakarta 12870 Indonesia</t>
  </si>
  <si>
    <t>RedDoorz</t>
  </si>
  <si>
    <t>PT RedDoorz Management Indonesia</t>
  </si>
  <si>
    <t>+62 21 8063 5835</t>
  </si>
  <si>
    <t>ecommerce-indonesia@reddoorz.com</t>
  </si>
  <si>
    <t>listingteam@reddoorz.com; pricingteam@reddoorz.com</t>
  </si>
  <si>
    <t>https://www.reddoorz.com/en-id/</t>
  </si>
  <si>
    <t>Wisma 46 BNI (25th Floor) Jenderal Sudirman Street, No. Kav. 1, RT.1/RW.8, Karet Tengsin, Tanah Abang District, Central Jakarta, Jakarta 10220</t>
  </si>
  <si>
    <t>Santika Indonesia Hotels &amp; Resorts</t>
  </si>
  <si>
    <t>PT Grahawita Santika</t>
  </si>
  <si>
    <t>Hotel</t>
  </si>
  <si>
    <t>+62 212700027</t>
  </si>
  <si>
    <t>admin@reservation.santika.com</t>
  </si>
  <si>
    <t>adityamahardika@santika.com</t>
  </si>
  <si>
    <t>https://www.mysantika.com/</t>
  </si>
  <si>
    <t>Jalan Melawai VII No 6-8, Kebayoran Baru, Jakarta Selatan</t>
  </si>
  <si>
    <t>Nusatrip</t>
  </si>
  <si>
    <t>PT Tunas Sukses Mandiri</t>
  </si>
  <si>
    <t>Mr Andrew</t>
  </si>
  <si>
    <t>+62 812 8222 874</t>
  </si>
  <si>
    <t>andrew.kentjono@nusatrip.com</t>
  </si>
  <si>
    <t>https://www.nusatrip.com/en</t>
  </si>
  <si>
    <t>28F AIA Central, Jl. Jend. Sudirman No. Kav. 48A, RT.5/RW.4, Karet Semanggi, Kota Jakarta Selatan, DKI Jakarta 12930, Indonesia</t>
  </si>
  <si>
    <t>kliknbook.com</t>
  </si>
  <si>
    <t>Kliknbook Internasional</t>
  </si>
  <si>
    <t>Mr Muhamad.riyad</t>
  </si>
  <si>
    <t>+62 811-9106-611</t>
  </si>
  <si>
    <t>sales@kliknbook.com</t>
  </si>
  <si>
    <t>muhamad.riyad@kliknbook.com</t>
  </si>
  <si>
    <t>https://www.kliknbook.com/</t>
  </si>
  <si>
    <t>Jl. Bangka XI C No. 16, Mampang Prapatan, Jakarta Selatan 12720, Indonesia</t>
  </si>
  <si>
    <t>my Partner by MakeMyTrip</t>
  </si>
  <si>
    <t>Gurgaon</t>
  </si>
  <si>
    <t>Mr Disha Samant// Mr Amit Shukla</t>
  </si>
  <si>
    <t>Strategic Initiatives &amp; Demand Management Lead B2B</t>
  </si>
  <si>
    <t>+91 81218 99624// +91 78292 66466</t>
  </si>
  <si>
    <t>disha.samant@go-mmt.com</t>
  </si>
  <si>
    <t>amit.shukla@go-mmt.com</t>
  </si>
  <si>
    <t>https://www.makemytrip.com/</t>
  </si>
  <si>
    <t>DLF Building No. 5, Tower B, DLF Cyber City, DLF Phase 2, Sector 25, Gurugram, Haryana 122002, India</t>
  </si>
  <si>
    <t>RezLive.com</t>
  </si>
  <si>
    <t>Gujarat</t>
  </si>
  <si>
    <t>Mr Krunal Shah</t>
  </si>
  <si>
    <t>VP – Operations</t>
  </si>
  <si>
    <t>+91 70413 24984</t>
  </si>
  <si>
    <t>krunal.s@rezlive.com</t>
  </si>
  <si>
    <t>rezlive.com</t>
  </si>
  <si>
    <t>B Wing 1402, Mondeal Heights, Near Wide Angle Cinema, S. G. High Way, Ramdev Nagar, Ahmedabad, Gujarat 380015, India</t>
  </si>
  <si>
    <t>Riya The Travel Expert (Riya Travel)</t>
  </si>
  <si>
    <t>Mr Raghunath Karangutkar/ Mr Nikhil Jadhav</t>
  </si>
  <si>
    <t>Senior Manager// Team Leader – Products</t>
  </si>
  <si>
    <t>+91 82912 81389// +91 77100 21196</t>
  </si>
  <si>
    <t>raghunath.k@riya.travel</t>
  </si>
  <si>
    <t>nikhil.j@riya.travel</t>
  </si>
  <si>
    <t>https://riya.travel/</t>
  </si>
  <si>
    <t>M/1, Leela Business Park, Andheri-Kurla Road, Andheri East, Mumbai, Maharashtra 400059, India</t>
  </si>
  <si>
    <t>TripJack</t>
  </si>
  <si>
    <t>Mr Prashant Sati</t>
  </si>
  <si>
    <t>Assistant Manager – Hotel Supply</t>
  </si>
  <si>
    <t>+91 22 6250 6250 // +91 8368851976</t>
  </si>
  <si>
    <t>prashant.sati@tripjack.com</t>
  </si>
  <si>
    <t>http://www.tripjack.com</t>
  </si>
  <si>
    <t>001, C Wing, Marathon Innova, Lower Parel (W), Mumbai – 400013, India</t>
  </si>
  <si>
    <t>yutrip</t>
  </si>
  <si>
    <t>Mr Lakshay Sharma</t>
  </si>
  <si>
    <t>Relationship Manager</t>
  </si>
  <si>
    <t>+91 9910501296</t>
  </si>
  <si>
    <t>lakshay.s@yutrip.com</t>
  </si>
  <si>
    <t>https://www.yutrp.com/</t>
  </si>
  <si>
    <t>SCO 6-7, Sec-29, Gurgaon, Haryana, India – 122001</t>
  </si>
  <si>
    <t>DMCWale.com</t>
  </si>
  <si>
    <t>DMC Wale Pvt Ltd</t>
  </si>
  <si>
    <t>Delhi</t>
  </si>
  <si>
    <t>Mr Hariom Sharma</t>
  </si>
  <si>
    <t>Business Development Manager</t>
  </si>
  <si>
    <t>+91 9953994477</t>
  </si>
  <si>
    <t>hariom@dmcwale.com</t>
  </si>
  <si>
    <t>https://www.dmcwale.com/</t>
  </si>
  <si>
    <t>302, Vijaya Building, Barakhamba Road, Connaught Place, Delhi 110001, India</t>
  </si>
  <si>
    <t>元通商旅</t>
  </si>
  <si>
    <t>北京元通航空服务有限公司</t>
  </si>
  <si>
    <t>张雄</t>
  </si>
  <si>
    <t>86 15724735954</t>
  </si>
  <si>
    <t>zhangxiong@ytotrip.com</t>
  </si>
  <si>
    <t>北京市海淀区上地信息路7号弘源首著大厦1号楼3023室</t>
  </si>
  <si>
    <t>ON THE WAY</t>
  </si>
  <si>
    <t>在路上商旅</t>
  </si>
  <si>
    <t>卢绪兵</t>
  </si>
  <si>
    <t>luxubing@otw.cn
zhubei@otw.cn</t>
  </si>
  <si>
    <t>https://www.otw.cn/</t>
  </si>
  <si>
    <t>北京市东城区朝阳门银河SOHO D座5层 50520</t>
  </si>
  <si>
    <t>Wow To Go</t>
  </si>
  <si>
    <t>泓然商务</t>
  </si>
  <si>
    <t>Karen Chen</t>
  </si>
  <si>
    <t>Representative of CN</t>
  </si>
  <si>
    <t>8610-86476606</t>
  </si>
  <si>
    <t>karenchen@wowtogo.com.cn</t>
  </si>
  <si>
    <t>北京市朝阳区东三环双井佳龙大厦1009</t>
  </si>
  <si>
    <t>合思商旅</t>
  </si>
  <si>
    <t>Grupo Viagens Abreu</t>
  </si>
  <si>
    <t>wanzi cloud</t>
  </si>
  <si>
    <t>Haha Cloud</t>
  </si>
  <si>
    <t>Mr Shen</t>
  </si>
  <si>
    <t>86 186 1169 9665</t>
  </si>
  <si>
    <t>shendong@wanzicloud.com</t>
  </si>
  <si>
    <t>11th Floor, Jingchao Mansion, Chaoyang District, Beijing</t>
  </si>
  <si>
    <t>ABREU ONLINE</t>
  </si>
  <si>
    <t>B2B wholesalers/ Bedbank</t>
  </si>
  <si>
    <t>Rodolfo Bignone</t>
  </si>
  <si>
    <t>China Regional Manager and BDM</t>
  </si>
  <si>
    <t>rodolfo.bignone@abreuonline.com</t>
  </si>
  <si>
    <t>www.abreuonline.com</t>
  </si>
  <si>
    <t>四川亨通网智科技有限公司</t>
  </si>
  <si>
    <t>https://www.schtwz.cn/</t>
  </si>
  <si>
    <t>铁航商旅</t>
  </si>
  <si>
    <t>TMC</t>
  </si>
  <si>
    <t>http://www.atmc.vip/</t>
  </si>
  <si>
    <t>在途商旅</t>
  </si>
  <si>
    <t>https://www.z-trip.cn/index.html</t>
  </si>
  <si>
    <t>知旅行</t>
  </si>
  <si>
    <t>https://www.sckti.com/</t>
  </si>
  <si>
    <t>飞巴商旅</t>
  </si>
  <si>
    <t>https://www.flybycloud.com/</t>
  </si>
  <si>
    <t>恒顺商旅</t>
  </si>
  <si>
    <t>https://www.homsom.com/</t>
  </si>
  <si>
    <t>汇联易</t>
  </si>
  <si>
    <t xml:space="preserve">https://www.huilianyi.com/ </t>
  </si>
  <si>
    <t>网逸旅行网</t>
  </si>
  <si>
    <t>Chongqing</t>
  </si>
  <si>
    <t>http://www.cqwy.cn/page_en/sl.html</t>
  </si>
  <si>
    <t>途客商旅</t>
  </si>
  <si>
    <t>https://www.tukeshanglv.com/</t>
  </si>
  <si>
    <t>Trip soho</t>
  </si>
  <si>
    <t xml:space="preserve">https://tripsoho.com/zh/index.html </t>
  </si>
  <si>
    <t>华裕差旅</t>
  </si>
  <si>
    <t>Xi an</t>
  </si>
  <si>
    <t>Fx-Port</t>
  </si>
  <si>
    <t>B2B, Distribution</t>
  </si>
  <si>
    <t>Mr. Meziane</t>
  </si>
  <si>
    <t>+213 797 31 86 73</t>
  </si>
  <si>
    <t>amigos@fx-port.com</t>
  </si>
  <si>
    <t>https://fx-port.com/vi</t>
  </si>
  <si>
    <t>Travelotels Tourism Tour</t>
  </si>
  <si>
    <t>Mr. Patrick Đinh</t>
  </si>
  <si>
    <t>+84 90 3769048</t>
  </si>
  <si>
    <t>patrickdinh@travelotels.com</t>
  </si>
  <si>
    <t>https://www.travelotels.com/</t>
  </si>
  <si>
    <t>B4-16 Binh Chanh, Binh Chanh Dis, Hochiminh-Vietnam</t>
  </si>
  <si>
    <t>Room Deal MG</t>
  </si>
  <si>
    <t>Bedbank</t>
  </si>
  <si>
    <t>Nathania Kusnandar</t>
  </si>
  <si>
    <t>Account Manager</t>
  </si>
  <si>
    <t>Whatsapp</t>
  </si>
  <si>
    <t>nathania.novianti@mgbedbank.com</t>
  </si>
  <si>
    <t>https://www.mgbedbank.com/home</t>
  </si>
  <si>
    <t>Jl. Majapahit No. 16
Jakarta Pusat 10160, Indonesia</t>
  </si>
  <si>
    <t>CÔNG TY CỔ PHẦN DỊCH VỤ DI ĐỘNG TRỰC TUYẾN</t>
  </si>
  <si>
    <t>Ho Chi Minh</t>
  </si>
  <si>
    <t>B2C, App, OTA</t>
  </si>
  <si>
    <t>Ms. Nguyen</t>
  </si>
  <si>
    <t>In charge of Hotel Side</t>
  </si>
  <si>
    <t>nguyen.nguyen22@mservice.com.vn</t>
  </si>
  <si>
    <t>hoang.dang3@mservice.com.vn</t>
  </si>
  <si>
    <t>https://www.momo.vn/</t>
  </si>
  <si>
    <t>6 Floor, Phu My Hung Tower, 08 Hoang Van Thai Str,
Tan My Ward, HCMC</t>
  </si>
  <si>
    <t>Yes</t>
  </si>
  <si>
    <t>DMC Bazar</t>
  </si>
  <si>
    <t>DMC Bazaar Powered by OneAbove DMC</t>
  </si>
  <si>
    <t>DMC,PKG, OTA</t>
  </si>
  <si>
    <t>Varun Sarda</t>
  </si>
  <si>
    <t>Co-Founder</t>
  </si>
  <si>
    <t>+91 89564 89355 M
+91 91520 07709 (WA)</t>
  </si>
  <si>
    <t>varun@dmcbazaar.com</t>
  </si>
  <si>
    <t>https://dmcbazaar.com/</t>
  </si>
  <si>
    <t>Unit 202, Dhantak Plaza, 2nd Floor, Makwana Road, Gamdevi, Marol, Andheri East, Mumbai</t>
  </si>
  <si>
    <t>Tana Travel</t>
  </si>
  <si>
    <t>B2B Distribution, Cross Selling</t>
  </si>
  <si>
    <t>Mine Isik</t>
  </si>
  <si>
    <t>Business Developement Manager</t>
  </si>
  <si>
    <t>+90 212 531 01 00 (WA)
+90 553 273 43 17</t>
  </si>
  <si>
    <t>mine@tana.travel</t>
  </si>
  <si>
    <t>https://tana.travel/</t>
  </si>
  <si>
    <t>Hacımimi Mah, Kemeraltı Cd. Balkan Han No:15/9 Beyoğlu / Istanbul</t>
  </si>
  <si>
    <t>B2B, TMC, wholesalers</t>
  </si>
  <si>
    <t>Ivan Chetvertkov</t>
  </si>
  <si>
    <t>Integration Manager</t>
  </si>
  <si>
    <t>+971 4294 0007</t>
  </si>
  <si>
    <t>ivan.chetvertkov@happytravel.tech</t>
  </si>
  <si>
    <t>https://happytravel.com/</t>
  </si>
  <si>
    <t>HappyTravelDotCom Travel and Tourism LLC B105, Saraya Avenue building P.O. Box 36690 Dubai, United Arab Emirates</t>
  </si>
  <si>
    <t>Russian Express</t>
  </si>
  <si>
    <t>CIS</t>
  </si>
  <si>
    <t>B2B, Tour, OTA</t>
  </si>
  <si>
    <t>Natalia Khokhlova</t>
  </si>
  <si>
    <t>Head of Destinations Development Commercial Department</t>
  </si>
  <si>
    <t>+7 905 588 05 11 (WA)</t>
  </si>
  <si>
    <t>Natalya.Khokhlova@r-express.ru</t>
  </si>
  <si>
    <t>https://r-express.ru/</t>
  </si>
  <si>
    <t>bld.2,59 Zemlyanoy Val str., Moscow, Russia, 109004</t>
  </si>
  <si>
    <t>EhotelXml</t>
  </si>
  <si>
    <t>Italya</t>
  </si>
  <si>
    <t>Italy</t>
  </si>
  <si>
    <t>Milano</t>
  </si>
  <si>
    <t>B2B, TA, TMC,</t>
  </si>
  <si>
    <t>Melania Ventura
Francesco Catalano</t>
  </si>
  <si>
    <t>Ehotel Sales &amp; Optimization Manager
Global Business Development</t>
  </si>
  <si>
    <t>+39 02 94325500
+39 342 858 3595</t>
  </si>
  <si>
    <t>melania.v@ehotelxml.com</t>
  </si>
  <si>
    <t>francesco.c@ehotelxml.com</t>
  </si>
  <si>
    <t>https://ehotelxml.com/</t>
  </si>
  <si>
    <t>Via Burigozzo, 1 ang. Corso Italia, 64
20124 Milano - PI/CF 07488470969 - REA MI 1962074</t>
  </si>
  <si>
    <t>StayNMore</t>
  </si>
  <si>
    <t>tidesquare Tourvis</t>
  </si>
  <si>
    <t>Yanolja</t>
  </si>
  <si>
    <t>Yellow Ballon Tour</t>
  </si>
  <si>
    <t>DMC</t>
  </si>
  <si>
    <t>Hainan zhiyiyou travel services co.,</t>
  </si>
  <si>
    <t>Hainan</t>
  </si>
  <si>
    <t>Jiezhu Zhan</t>
  </si>
  <si>
    <t>Overseas Hotel Product Manager</t>
  </si>
  <si>
    <t>86 15501924045</t>
  </si>
  <si>
    <t>hnzyy2023@smoothly168.com</t>
  </si>
  <si>
    <t>www.zyytrip.com</t>
  </si>
  <si>
    <t>2F,Building B, Four seasons residence, No.8 Po Bo Road, Jinyu street, longhua district</t>
  </si>
  <si>
    <t>宁波加渡出入境服务有限公司</t>
  </si>
  <si>
    <t>Ningbo</t>
  </si>
  <si>
    <t>Anny Sun</t>
  </si>
  <si>
    <t>86 137 7797 7438</t>
  </si>
  <si>
    <t>annysun@candoor.cn</t>
  </si>
  <si>
    <t>宁波市江北区文教路72弄16号海天大厦802</t>
  </si>
  <si>
    <t>Hong Kong JL International Co., Ltd.
Shenzhen JL-tour International Travel Service Co., Ltd.</t>
  </si>
  <si>
    <t>Jeff Yu</t>
  </si>
  <si>
    <t>Seniour Product Manager(Overseas)</t>
  </si>
  <si>
    <t>86 159 7679 6983</t>
  </si>
  <si>
    <t>yujianfu@corp.jl-tour.com</t>
  </si>
  <si>
    <t>www.jl-tour.com</t>
  </si>
  <si>
    <t>3/F Rujun Building, 105 Zhongxing Road, Bantian Street, Longgang District,Shenzhen</t>
  </si>
  <si>
    <t>江苏苏宁国际旅游有限公司</t>
  </si>
  <si>
    <t>Jiangsu</t>
  </si>
  <si>
    <t>PKG, FIT, B2B,B2C</t>
  </si>
  <si>
    <t>陈亚楠</t>
  </si>
  <si>
    <t>副总经理（product manager)</t>
  </si>
  <si>
    <t>86 188 5170 3999</t>
  </si>
  <si>
    <t>chengyanan@suningtour.cn</t>
  </si>
  <si>
    <t>www.suningtrip.com</t>
  </si>
  <si>
    <t>江苏省南京市秦淮区1865创意产业园E10栋二层北</t>
  </si>
  <si>
    <t>Hunan Mengtu</t>
  </si>
  <si>
    <t>Hunan</t>
  </si>
  <si>
    <t>FIT,B2C</t>
  </si>
  <si>
    <t>Zac Chai</t>
  </si>
  <si>
    <t>Head OF BD</t>
  </si>
  <si>
    <t>86 186 27316239</t>
  </si>
  <si>
    <t>zchai@m-tu.com</t>
  </si>
  <si>
    <t>湖南省长沙市开福区芙蓉中路 华创国际广场 V座 5F 萌兔旅行</t>
  </si>
  <si>
    <t>友道文旅科技</t>
  </si>
  <si>
    <t>xi an</t>
  </si>
  <si>
    <t>B2C, TMC</t>
  </si>
  <si>
    <t>Qin Xiao Chun</t>
  </si>
  <si>
    <t>86 176 9108 6816</t>
  </si>
  <si>
    <t>shanxiyoudao@sina.com</t>
  </si>
  <si>
    <t>西安市雁塔区都市之门c座408</t>
  </si>
  <si>
    <t>同业国际酒店预定平台</t>
  </si>
  <si>
    <t>Lina Wu</t>
  </si>
  <si>
    <t>Reservation Manager</t>
  </si>
  <si>
    <t>86 13898 400 109</t>
  </si>
  <si>
    <t>lina.wu@hotelsys.cn</t>
  </si>
  <si>
    <t>www.hotelsys.cn</t>
  </si>
  <si>
    <t>R907 No.1 E Shilipu Road Chaoyang District Beijing</t>
  </si>
  <si>
    <t>新境界</t>
  </si>
  <si>
    <t>Huang yue zhuan</t>
  </si>
  <si>
    <t>86 130 2880 0856</t>
  </si>
  <si>
    <t>huangyuezhuan@xjjair.com</t>
  </si>
  <si>
    <t>www.nicetour.con
www.xjjair.com (B2B)</t>
  </si>
  <si>
    <t>罗湖区嘉宾路太平洋商贸大厦b座11楼b1118</t>
  </si>
  <si>
    <t>航文出行有限公司</t>
  </si>
  <si>
    <t>Changsha</t>
  </si>
  <si>
    <t>Jackson</t>
  </si>
  <si>
    <t>Commercial Director</t>
  </si>
  <si>
    <t>86 151 1128 8843</t>
  </si>
  <si>
    <t>jack@haventrip.global</t>
  </si>
  <si>
    <t>www.haventrip.global</t>
  </si>
  <si>
    <t>湖南省长沙市铭城绿谷智慧产业园17栋15层</t>
  </si>
  <si>
    <t>海南华茂旅游咨询有限公司</t>
  </si>
  <si>
    <t>Chen Zhuang</t>
  </si>
  <si>
    <t>86 13876271710</t>
  </si>
  <si>
    <t>Shanghai Xin Yao Mdt Info tech</t>
  </si>
  <si>
    <t>上海锌耀信息科技有限公司</t>
  </si>
  <si>
    <t>Zhang Yong</t>
  </si>
  <si>
    <t>86 133 91190949</t>
  </si>
  <si>
    <t>zhangyong@xinyaotrip.com</t>
  </si>
  <si>
    <t>U-tour (United Travel)</t>
  </si>
  <si>
    <t>众信旅游集团</t>
  </si>
  <si>
    <t>Xu WenBin</t>
  </si>
  <si>
    <t>TMC Manager</t>
  </si>
  <si>
    <t>86 18964515677</t>
  </si>
  <si>
    <t>xuwenbin@utourworld.com</t>
  </si>
  <si>
    <t>agent.utourworld.com</t>
  </si>
  <si>
    <t>上海市黄浦区淮海中路1号 柳林大厦 24层</t>
  </si>
  <si>
    <t>Yunnan International Travel Agency</t>
  </si>
  <si>
    <t>Yunnan Province internationalTravelAgency(Group) co., Ltd</t>
  </si>
  <si>
    <t>Yunnan</t>
  </si>
  <si>
    <t>Miao Miao</t>
  </si>
  <si>
    <t>Traveling products
manager</t>
  </si>
  <si>
    <t>86 136 6871 9401</t>
  </si>
  <si>
    <t>83192984@qq.com</t>
  </si>
  <si>
    <t>云駁鞋躔鈇鎻苹郎即省昆明市官渡区环城东路488号</t>
  </si>
  <si>
    <t>Ziru business Travel Agent</t>
  </si>
  <si>
    <t>Mingtu Travel</t>
  </si>
  <si>
    <t>命途旅行</t>
  </si>
  <si>
    <t>Ivy Xu
Mckinley Surles Parker</t>
  </si>
  <si>
    <t>Business Manager
Director</t>
  </si>
  <si>
    <t>86 1342236 2605
86 185 8855 4163</t>
  </si>
  <si>
    <t>marketing@minjourney.com
mckinley.parker@minjourney.com</t>
  </si>
  <si>
    <t>4F, Block C, Fumin Plaza, Baihua Community Guangming District, Shenzhen</t>
  </si>
  <si>
    <t>Zeeko Global Travel Technology Co., Limited</t>
  </si>
  <si>
    <t>As</t>
  </si>
  <si>
    <t>Ken</t>
  </si>
  <si>
    <t>VP</t>
  </si>
  <si>
    <t>86 19068093767</t>
  </si>
  <si>
    <t>ken-88168</t>
  </si>
  <si>
    <t>Ken@zzeeko.com</t>
  </si>
  <si>
    <t>CITS X American Express</t>
  </si>
  <si>
    <t>CIST American Express Global Business Travel</t>
  </si>
  <si>
    <t>Mia Tan</t>
  </si>
  <si>
    <t>86 186 1002 9529</t>
  </si>
  <si>
    <t>mia.w.tan@citsgbt.com</t>
  </si>
  <si>
    <t>北京市朝阳区广渠路38号， 北京一轻大厦8楼</t>
  </si>
  <si>
    <t>Spring Tour</t>
  </si>
  <si>
    <t>上海春秋旅行社有限公司</t>
  </si>
  <si>
    <t>上海</t>
  </si>
  <si>
    <t>Jimmy Ren</t>
  </si>
  <si>
    <t>APAC Quality Manager</t>
  </si>
  <si>
    <t>86 13761234992</t>
  </si>
  <si>
    <t>1186457624@qq.com</t>
  </si>
  <si>
    <t>上海市长宁区昭化路699号，春秋国际大厦3楼</t>
  </si>
  <si>
    <t>途牛商旅/ 途牛</t>
  </si>
  <si>
    <t>途牛商旅</t>
  </si>
  <si>
    <t>Steven Zhang</t>
  </si>
  <si>
    <t>Purchasing specialist</t>
  </si>
  <si>
    <t>86 153 98441301</t>
  </si>
  <si>
    <t>zhangjingrui@tuniu.com</t>
  </si>
  <si>
    <t>https://tmc.tuniu.com/
tuniu.com</t>
  </si>
  <si>
    <t>北京市朝阳区酒仙桥北路9号院 恒通国际创新园C9</t>
  </si>
  <si>
    <t>Yuxiang You</t>
  </si>
  <si>
    <t>广州九州商旅服务有限公司</t>
  </si>
  <si>
    <t>B2B/B2C/ TMC</t>
  </si>
  <si>
    <t>Annabelle Lai</t>
  </si>
  <si>
    <t>BD Manager</t>
  </si>
  <si>
    <t>86 20 8666 8666</t>
  </si>
  <si>
    <t>2881975198@qq.com</t>
  </si>
  <si>
    <t>Room 403, No.177, Yuncheng South Second Road, Baiyun Disctrict</t>
  </si>
  <si>
    <t>myGo Group</t>
  </si>
  <si>
    <t>Brussels</t>
  </si>
  <si>
    <t>Western Europe</t>
  </si>
  <si>
    <t>B2b Bedbank, Wholesaler</t>
  </si>
  <si>
    <t>Imam Merzouk</t>
  </si>
  <si>
    <t>Partnerships &amp; Business Optimization Manager</t>
  </si>
  <si>
    <t>+231 770 122 497</t>
  </si>
  <si>
    <t>imam.merzouk@mygo.pro</t>
  </si>
  <si>
    <t>https://www.mygo.co/login</t>
  </si>
  <si>
    <t>Rahat Asman Travel &amp; Tourisim</t>
  </si>
  <si>
    <t>Rehat Asman Travel &amp; Tourisim</t>
  </si>
  <si>
    <t>Turkmenistan</t>
  </si>
  <si>
    <t>Central Asia</t>
  </si>
  <si>
    <t>Ashgabat</t>
  </si>
  <si>
    <t>TA,DMC, B2B,B2C</t>
  </si>
  <si>
    <t>Maksat Amanov</t>
  </si>
  <si>
    <t>Founder - CEO</t>
  </si>
  <si>
    <t>+993 65 705542</t>
  </si>
  <si>
    <t>maksataman011@gmail.com</t>
  </si>
  <si>
    <t>https://rahatasman.com/</t>
  </si>
  <si>
    <t>B.Annanow St. 104, 744035 Ashgabat, Turkmenistan</t>
  </si>
  <si>
    <t>Rezmytrip</t>
  </si>
  <si>
    <t>TMC, B2B</t>
  </si>
  <si>
    <t>Munjal Fitter</t>
  </si>
  <si>
    <t>+91 98240 28277
+91 79 2630 2630</t>
  </si>
  <si>
    <t>munjal@rezmytrip.com</t>
  </si>
  <si>
    <t>https://rezmytrip.com/</t>
  </si>
  <si>
    <t>58/4, "H" Colony Nehrunagar Circle, Ahmedabad-15</t>
  </si>
  <si>
    <t>Safa Soft</t>
  </si>
  <si>
    <t>Jeddah</t>
  </si>
  <si>
    <t>Travel Tech, B2B, B2G, TMC</t>
  </si>
  <si>
    <t>Hosam Asali</t>
  </si>
  <si>
    <t>+971 52 764 0621</t>
  </si>
  <si>
    <t>hosam@safasoft.com</t>
  </si>
  <si>
    <t>https://safasoft.com/en</t>
  </si>
  <si>
    <t>Prince Sultan Rd, 3rd floor, Sabah Center - Jeddah</t>
  </si>
  <si>
    <t>Feiju</t>
  </si>
  <si>
    <t>Feiju International travel</t>
  </si>
  <si>
    <t>B2B,B2C</t>
  </si>
  <si>
    <t>He Shi</t>
  </si>
  <si>
    <t>Operation Director</t>
  </si>
  <si>
    <t>86 18273660267</t>
  </si>
  <si>
    <t>hyman@feijutravel.com</t>
  </si>
  <si>
    <t>湖南省长沙市岳麓区环球中心B座1928号</t>
  </si>
  <si>
    <t>See-Away</t>
  </si>
  <si>
    <t>ICE( The Institure for Camp Education)</t>
  </si>
  <si>
    <t>chongqin</t>
  </si>
  <si>
    <t>Liang Peng</t>
  </si>
  <si>
    <t>86 18696640521</t>
  </si>
  <si>
    <t>cqsblp@163.com</t>
  </si>
  <si>
    <t>中国重庆市渝北区宋史之路468号12栋2-2-1</t>
  </si>
  <si>
    <t>Hemei</t>
  </si>
  <si>
    <t>Hemi(Beijing)International Travel Adency Co., ltd. Shenzhen Branch</t>
  </si>
  <si>
    <t>Cherry</t>
  </si>
  <si>
    <t>86 132 6563 4174</t>
  </si>
  <si>
    <t>1049396290@qq.com</t>
  </si>
  <si>
    <t>深圳市龙华区大浪街道龙平社区华建设路376号展滔商业广场E座518H座</t>
  </si>
  <si>
    <t>Smart Mice</t>
  </si>
  <si>
    <t>China Smart MICE Group</t>
  </si>
  <si>
    <t>B2B(Global)</t>
  </si>
  <si>
    <t>Morgen Wong</t>
  </si>
  <si>
    <t>Sourcing Specialist</t>
  </si>
  <si>
    <t>86 10 5639 9817</t>
  </si>
  <si>
    <t>morgen.wang@smartmice.cn</t>
  </si>
  <si>
    <t>北京市朝阳区广渠东路3号中水电国际大厦5层</t>
  </si>
  <si>
    <t>Wildchina Corporate</t>
  </si>
  <si>
    <t>US/CHINA?</t>
  </si>
  <si>
    <t>Lizzy</t>
  </si>
  <si>
    <t>Practice Manager</t>
  </si>
  <si>
    <t>86 138 1783 1586</t>
  </si>
  <si>
    <t>lizzy.cai@wildchina.com</t>
  </si>
  <si>
    <t>Ez Travel (Shanghai)</t>
  </si>
  <si>
    <t>Ez Travel International Limited</t>
  </si>
  <si>
    <t>Joey Song
Jelly Zhang</t>
  </si>
  <si>
    <t>Regional Director APAC
GM</t>
  </si>
  <si>
    <t>86 137 6430 6624
86 138 1726 2926</t>
  </si>
  <si>
    <t>joey@beargo.com.cn
jelly@beargo.com.cn</t>
  </si>
  <si>
    <t>上海市普陀区西康路1143号鸿寿坊东塔字楼508</t>
  </si>
  <si>
    <t>Jidu Travel</t>
  </si>
  <si>
    <t>Dalian Jidu Travel Service Co., Ltd</t>
  </si>
  <si>
    <t>Dalian</t>
  </si>
  <si>
    <t>Cathy
Ma sai</t>
  </si>
  <si>
    <t>Sales Manager
OP Manager</t>
  </si>
  <si>
    <t>86 13840980275
86 1825486632</t>
  </si>
  <si>
    <t>cathy.yu@jidutravel.com
masai@jidutravel.com</t>
  </si>
  <si>
    <t>www.jidutravel.com</t>
  </si>
  <si>
    <t>HuaWei</t>
  </si>
  <si>
    <t>Hua Wei Technologies Co., Ltd</t>
  </si>
  <si>
    <t>Gavin Wu</t>
  </si>
  <si>
    <t>86 18824261858</t>
  </si>
  <si>
    <t>wuxuanjian1@huawei.com</t>
  </si>
  <si>
    <t>www.huawei.com</t>
  </si>
  <si>
    <t>深圳市福田区华为数字能源安托山基地C栋</t>
  </si>
  <si>
    <t>Jevius Cosmos</t>
  </si>
  <si>
    <t>Jevius Cosmos International Business Travel(Wuhan) Co., Ltd.</t>
  </si>
  <si>
    <t>Wuhan</t>
  </si>
  <si>
    <t>Xiver</t>
  </si>
  <si>
    <t>BD</t>
  </si>
  <si>
    <t>86 150 0711 1908</t>
  </si>
  <si>
    <t>lichenxi@jevius.vip</t>
  </si>
  <si>
    <t>GO Easy</t>
  </si>
  <si>
    <t>Guangzhou Go EasyInternationalTravel Services</t>
  </si>
  <si>
    <t>Phoebe</t>
  </si>
  <si>
    <t>AssistantDirector OfProduct</t>
  </si>
  <si>
    <t>86 13168339260</t>
  </si>
  <si>
    <t>phoebe@goeasyintl.com.cn</t>
  </si>
  <si>
    <t>Airlink Travel &amp; Tour Sdn Bhd</t>
  </si>
  <si>
    <t>SEA</t>
  </si>
  <si>
    <t>BaoKu</t>
  </si>
  <si>
    <t>北京宝库在线网络技术有限公司</t>
  </si>
  <si>
    <t>baoku@baoku.com</t>
  </si>
  <si>
    <t>Chan Brothers</t>
  </si>
  <si>
    <t>Wholesaler</t>
  </si>
  <si>
    <t>Didi Global</t>
  </si>
  <si>
    <t>LGE Travel</t>
  </si>
  <si>
    <t>Prestige Vacation Network Sdn. Bhd.</t>
  </si>
  <si>
    <t>Roystar Travel &amp; Tour Sdn. Bhd.</t>
  </si>
  <si>
    <t>Travel Prologue / Tripanzee / TA Network Affiliated</t>
  </si>
  <si>
    <t>New Shan Travel</t>
  </si>
  <si>
    <t>B2B w Retail</t>
  </si>
  <si>
    <t>Stella/FO</t>
  </si>
  <si>
    <t>65 64811181</t>
  </si>
  <si>
    <t>travel@newshan.com</t>
  </si>
  <si>
    <t>https://www.newshan.com/</t>
  </si>
  <si>
    <t>133 New Bridge Rd, #22-03 Chinatown Point, Singapore 059413</t>
  </si>
  <si>
    <t>PriceBreaker</t>
  </si>
  <si>
    <t>Esther Phua</t>
  </si>
  <si>
    <t>65 63172888</t>
  </si>
  <si>
    <t>esther.phua@pricebreaker.travel</t>
  </si>
  <si>
    <t>https://www.pricebreaker.travel/</t>
  </si>
  <si>
    <t>1 Kim Seng Promenade, #02-139 Great World, Singapore 237994</t>
  </si>
  <si>
    <t>API/SHIJI</t>
  </si>
  <si>
    <t>INDIA</t>
  </si>
  <si>
    <t>Michael Lee</t>
  </si>
  <si>
    <t>65 97878518</t>
  </si>
  <si>
    <t>michael@luxury.com.sg</t>
  </si>
  <si>
    <t>https://www.bookluxurytours.com/</t>
  </si>
  <si>
    <t>20 Bendemeer Rd, #05-09 BS Bendemeer Centre, Singapore 339914</t>
  </si>
  <si>
    <t>Pending LIVE</t>
  </si>
  <si>
    <t>Portal-Regular</t>
  </si>
  <si>
    <t>Meidi Travel</t>
  </si>
  <si>
    <t>Singapore, Indonesia, Malaysia</t>
  </si>
  <si>
    <t>Sidney Chua</t>
  </si>
  <si>
    <t>65 80851998</t>
  </si>
  <si>
    <t>travel@meidi.asia</t>
  </si>
  <si>
    <t>https://meiditravel.com/</t>
  </si>
  <si>
    <t>1 North Bridge Rd, #03-39, Singapore 179094</t>
  </si>
  <si>
    <t>Skyline Travel</t>
  </si>
  <si>
    <t>Wendy Wang</t>
  </si>
  <si>
    <t>Snr.Product Mgr</t>
  </si>
  <si>
    <t>65 93372945</t>
  </si>
  <si>
    <t>wendyskylinetianyu@gmail.com</t>
  </si>
  <si>
    <t>https://www.skylinesg.com/</t>
  </si>
  <si>
    <t>133 New Bridge Rd, #03-17, Singapore 059413</t>
  </si>
  <si>
    <t>HIS (SG) Travel</t>
  </si>
  <si>
    <t>Kevin Teo</t>
  </si>
  <si>
    <t>65 62221230</t>
  </si>
  <si>
    <t>teo.kevin@his-world.com</t>
  </si>
  <si>
    <t>https://his.com.sg/</t>
  </si>
  <si>
    <t>100 Tras St, #17-01, Singapore 079027</t>
  </si>
  <si>
    <t>HIS (JAPAN) Travel</t>
  </si>
  <si>
    <t>via Kevin Teo(HIS,SG)</t>
  </si>
  <si>
    <t>OMH OTA APP</t>
  </si>
  <si>
    <t>Amex Travel</t>
  </si>
  <si>
    <t>Singapore- 250,000 clients</t>
  </si>
  <si>
    <t>Jayden Yap</t>
  </si>
  <si>
    <t>Merchant Aqq.Mgr (SG)</t>
  </si>
  <si>
    <t>65 94889893</t>
  </si>
  <si>
    <t>jayden.yap@aexp.com</t>
  </si>
  <si>
    <t>https://www.americanexpress.com/en-sg/travel/</t>
  </si>
  <si>
    <t>1 Marina Blvd, #22-00, Singapore 018989</t>
  </si>
  <si>
    <t>JTB &amp; Tour East</t>
  </si>
  <si>
    <t>Dennis Law</t>
  </si>
  <si>
    <t>https://sg.jtbtrip.com/</t>
  </si>
  <si>
    <t>10 Hoe Chiang Rd, #11-06/07/08, Singapore 089315</t>
  </si>
  <si>
    <t>DNATA</t>
  </si>
  <si>
    <t>Middle East, Europe &amp; the Americas</t>
  </si>
  <si>
    <t>Jennifer Loong (Malaysia)</t>
  </si>
  <si>
    <t>Contracting Manager</t>
  </si>
  <si>
    <t>60 122905092</t>
  </si>
  <si>
    <t>jennifer.loong@dnata.com</t>
  </si>
  <si>
    <t>https://www.dnatatravel.com/</t>
  </si>
  <si>
    <t>Travonglobal</t>
  </si>
  <si>
    <t>Ranvijay Singh</t>
  </si>
  <si>
    <t>Co-Founder &amp; Director</t>
  </si>
  <si>
    <t>cofounder@travonglobal.com</t>
  </si>
  <si>
    <t>https://www.travonglobal.com/</t>
  </si>
  <si>
    <t>8TH WAVE</t>
  </si>
  <si>
    <t>IDEAS@8TH-WAVE.COM</t>
  </si>
  <si>
    <t>https://www.8th-wave.com/</t>
  </si>
  <si>
    <t>25 INTERNATIONAL BUSINESS PARK ROAD #2-53 GERMAN CENTRE SINGAPORE 609916</t>
  </si>
  <si>
    <t>AIRELATED TRAVEL</t>
  </si>
  <si>
    <t>Margaret See</t>
  </si>
  <si>
    <t>info@airelatedtravel.com.sg</t>
  </si>
  <si>
    <t>https://www.airelatedtravel.com.sg/</t>
  </si>
  <si>
    <t>101 UPPER CROSS STREET #B1-60/61 PEOPLE'S PARK CENTRE SINGAPORE 058357</t>
  </si>
  <si>
    <t>AMERICAN LLOYD TRAVEL</t>
  </si>
  <si>
    <t>travel@amlloyd.com.sg</t>
  </si>
  <si>
    <t>https://www.americanlloyd.com/</t>
  </si>
  <si>
    <t>25 PLAYFAIR ROAD #02-01 SINGAPORE 367990</t>
  </si>
  <si>
    <t>ASIAN CLASSIC TRAVELS</t>
  </si>
  <si>
    <t>Bala</t>
  </si>
  <si>
    <t>BALA@ASIANCLASSICTRAVELS.COM</t>
  </si>
  <si>
    <t>https://www.asianclassictravels.com/</t>
  </si>
  <si>
    <t>101 KITCHENER ROAD #03-32 JALAN BESAR PLAZA SINGAPORE 208511</t>
  </si>
  <si>
    <t>CHARIOT TRAVELS</t>
  </si>
  <si>
    <t>outbound@chariot.com.sg</t>
  </si>
  <si>
    <t>https://www.chariot.com.sg/</t>
  </si>
  <si>
    <t>101 Kitchener Road, Jln Besar, #03-38, Singapore 208511</t>
  </si>
  <si>
    <t>JTB (Outbound) Retail</t>
  </si>
  <si>
    <t>Retail</t>
  </si>
  <si>
    <t>Man chong</t>
  </si>
  <si>
    <t>jtbtravelsaloon.sg@jtbap.com</t>
  </si>
  <si>
    <t>Tanjong Pagar, near Tanjong Pagar Plaza. Located on 11th Floor of Keppel South Central</t>
  </si>
  <si>
    <t>Netstorming</t>
  </si>
  <si>
    <t>Italy, US</t>
  </si>
  <si>
    <t>Europe</t>
  </si>
  <si>
    <t>Neel Curpen</t>
  </si>
  <si>
    <t>Sales Manager</t>
  </si>
  <si>
    <t>+39 347 443 5557</t>
  </si>
  <si>
    <t>neel.curpen@netstorming.net</t>
  </si>
  <si>
    <t>https://www.netstorming.net/en/</t>
  </si>
  <si>
    <t>ETRIPBOOKING</t>
  </si>
  <si>
    <t>CONTACT@ETRIPBOOKING.COM</t>
  </si>
  <si>
    <t>https://etripbooking.com/#top</t>
  </si>
  <si>
    <t>EXPEDIA SINGAPORE</t>
  </si>
  <si>
    <t>bexasia@expedia.com</t>
  </si>
  <si>
    <t>https://www.expedia.com.sg/</t>
  </si>
  <si>
    <t>38 BEACH ROAD #09-13 SOUTH BEACH TOWER SINGAPORE 189767</t>
  </si>
  <si>
    <t>FCM SINGAPORE</t>
  </si>
  <si>
    <t>CONTACTUS@FCM.ASIA</t>
  </si>
  <si>
    <t>https://www.fcmtravel.com/en/about-us/global-network/singapore</t>
  </si>
  <si>
    <t>30 CECIL STREET #22-01/08 PRUDENTIAL TOWER SINGAPORE 049712</t>
  </si>
  <si>
    <t>FOLLOW ME JAPAN</t>
  </si>
  <si>
    <t>enquiry@followmejapan.com.sg</t>
  </si>
  <si>
    <t>https://www.followmejapan.com.sg/</t>
  </si>
  <si>
    <t>6 EU TONG SEN STREET #07-06 THE CENTRAL SINGAPORE 059817</t>
  </si>
  <si>
    <t>Roomforless</t>
  </si>
  <si>
    <t>B2B, Wholesaler</t>
  </si>
  <si>
    <t>Christine Reyes</t>
  </si>
  <si>
    <t>Commercial &amp; People Operations</t>
  </si>
  <si>
    <t>christine.reyes@roomforless.net</t>
  </si>
  <si>
    <t>https://roomforless.net/</t>
  </si>
  <si>
    <t>Expedia</t>
  </si>
  <si>
    <t>Worldwide/Asia</t>
  </si>
  <si>
    <t>Bingyu</t>
  </si>
  <si>
    <t>63 13564655720</t>
  </si>
  <si>
    <t>bingyu.zhang@outlook.com</t>
  </si>
  <si>
    <t>No interest-Traditional TA</t>
  </si>
  <si>
    <t>GOLDEN TRAVEL</t>
  </si>
  <si>
    <t>info@gts.com.sg</t>
  </si>
  <si>
    <t>https://gts.com.sg/</t>
  </si>
  <si>
    <t>20A Temple Street  Singapore 058565</t>
  </si>
  <si>
    <t>GOTO TRAVEL</t>
  </si>
  <si>
    <t>MICE Planner</t>
  </si>
  <si>
    <t>Hema</t>
  </si>
  <si>
    <t>HEMA@GOTOTRAVELSG.COM</t>
  </si>
  <si>
    <t>https://www.gototravelsg.com/</t>
  </si>
  <si>
    <t>317 OUTRAM ROAD #01-30 CONCORDE SHOPPING CENTRE SINGAPORE 169075</t>
  </si>
  <si>
    <t>ASIAN CLASSIC TRAVELS (Malaysia)</t>
  </si>
  <si>
    <t>KL</t>
  </si>
  <si>
    <t>Mandai Rainforest Resort By Banyan Tree, SG)</t>
  </si>
  <si>
    <t>sales-mandairainforest@banyantree.com</t>
  </si>
  <si>
    <t>Unique Hotel in Singapore | Mandai Rainforest Resort by Banyan Tree</t>
  </si>
  <si>
    <t>60 Mandai Lake Rd, Singapore 729979</t>
  </si>
  <si>
    <t>Hotel Boss (Worldwide Hotels), SG</t>
  </si>
  <si>
    <t>enquiry@wwhotels.com</t>
  </si>
  <si>
    <t>https://www.wwhotels.com/hotel-boss/</t>
  </si>
  <si>
    <t>500 Jln Sultan, Singapore 199020</t>
  </si>
  <si>
    <t>Hotel Mi, Bencoolen (Worldwide Hotels), SG</t>
  </si>
  <si>
    <t>https://www.wwhotels.com/hotel-mi/</t>
  </si>
  <si>
    <t>41 Bencoolen St, Singapore 189623</t>
  </si>
  <si>
    <t>Pan Pacific, SG</t>
  </si>
  <si>
    <t>enquiry.ppsin@panpacific.com</t>
  </si>
  <si>
    <t>https://www.panpacific.com/en/hotels-and-resorts/pp-marina.html</t>
  </si>
  <si>
    <t>7 Raffles Boulevard, Singapore 039595</t>
  </si>
  <si>
    <t>Hotel Indigo Singapore Katong by IHG</t>
  </si>
  <si>
    <t>info.sinki@ihg.com</t>
  </si>
  <si>
    <t>https://www.ihg.com/hotelindigo/hotels/us/en/singapore/sinki/hoteldetail</t>
  </si>
  <si>
    <t>86 E Coast Rd, Singapore 428788</t>
  </si>
  <si>
    <t>Village Hotel Sentosa by Far East Hospitality</t>
  </si>
  <si>
    <t>reseasy@fareast.com; info.vhs@fareast.com.sg</t>
  </si>
  <si>
    <t>https://www.villagehotels.asia/en/hotels/village-hotel-sentosa</t>
  </si>
  <si>
    <t>10 Artillery Ave, #02-01 Palawan Ridge, Sentosa Island, 099951</t>
  </si>
  <si>
    <t>The Clan Hotel Singapore</t>
  </si>
  <si>
    <t>sales.tch@fareast.com</t>
  </si>
  <si>
    <t>www.theclanhotel.com.sg</t>
  </si>
  <si>
    <t>10 Cross St, Singapore 048417</t>
  </si>
  <si>
    <t>Furama RiverFront</t>
  </si>
  <si>
    <t>riverfront@furama.com; reservations.riverfront@furama.com</t>
  </si>
  <si>
    <t>https://www.furama.com/riverfront</t>
  </si>
  <si>
    <t>405 Havelock Rd, Singapore 169633</t>
  </si>
  <si>
    <t>PARKROYAL COLLECTION Marina Bay, Singapore</t>
  </si>
  <si>
    <t>enquiry.prsmb@parkroyalcollection.com; reserve.prsmb@parkroyalcollection.com</t>
  </si>
  <si>
    <t>https://www.panpacific.com/en/hotels-and-resorts/pr-collection-marina-bay/offers.html</t>
  </si>
  <si>
    <t>6 Raffles Blvd, Singapore 039594</t>
  </si>
  <si>
    <t>YOTEL Singapore Orchard Road</t>
  </si>
  <si>
    <t>sor.reservations@yotel.com; singapore.contact@yotel.com</t>
  </si>
  <si>
    <t>https://www.yotel.com/en/hotels/yotel-singapore</t>
  </si>
  <si>
    <t>366 Orchard Rd, Singapore 238904</t>
  </si>
  <si>
    <t>Carlton Hotel Singapore</t>
  </si>
  <si>
    <t>roomreservations@carltonhotel.sg;sales@carltonhotel.sg</t>
  </si>
  <si>
    <t>https://www.carltonhotel.sg/</t>
  </si>
  <si>
    <t>76 Bras Basah Rd, Singapore 189558</t>
  </si>
  <si>
    <t>Dorsett Changi City Singapore</t>
  </si>
  <si>
    <t>Peachy</t>
  </si>
  <si>
    <t>Revenue Director</t>
  </si>
  <si>
    <t>annie.lee@dorsetthotels.com;peachy.tuason@dorsetthotels.com</t>
  </si>
  <si>
    <t>https://www.dorsetthotels.com/dorsett-changi-city-singapore/</t>
  </si>
  <si>
    <t>3 Changi Business Park Central 1, Singapore 486037</t>
  </si>
  <si>
    <t>Paradox Singapore</t>
  </si>
  <si>
    <t>reservations@paradoxsingapore.com</t>
  </si>
  <si>
    <t>https://www.paradoxhotels.com/singapore/</t>
  </si>
  <si>
    <t>20 Merchant Rd, Singapore 058281</t>
  </si>
  <si>
    <t>Royal Plaza On Scotts</t>
  </si>
  <si>
    <t>Yana</t>
  </si>
  <si>
    <t>Sales Mgr</t>
  </si>
  <si>
    <t>roomres@royalplaza.com.sg</t>
  </si>
  <si>
    <t>https://www.royalplaza.com.sg/</t>
  </si>
  <si>
    <t>25 Scotts Rd, Singapore 228220</t>
  </si>
  <si>
    <t>Holiday Inn Express &amp; Suites Singapore Novena by IHG</t>
  </si>
  <si>
    <t>Joe Ng</t>
  </si>
  <si>
    <t>DOS</t>
  </si>
  <si>
    <t>joe.ng@ihg.com</t>
  </si>
  <si>
    <t>https://www.ihg.com/holidayinnexpress/hotels/us/en/singapore/sinov/hoteldetail</t>
  </si>
  <si>
    <t>201 Balestier Rd, Singapore 329926</t>
  </si>
  <si>
    <t>One Farrer Hotel</t>
  </si>
  <si>
    <t>Dexter Ee</t>
  </si>
  <si>
    <t>dexteree@onefarrer.com</t>
  </si>
  <si>
    <t>https://www.onefarrer.com/</t>
  </si>
  <si>
    <t>1 Farrer Park Station Rd, Singapore 217562</t>
  </si>
  <si>
    <t>The Fullerton Hotel Singapore</t>
  </si>
  <si>
    <t>tfs.reservations@fullertonhotels.com</t>
  </si>
  <si>
    <t>https://www.fullertonhotels.com/fullerton-hotel-singapore</t>
  </si>
  <si>
    <t>1 Fullerton Sq, Singapore 049178</t>
  </si>
  <si>
    <t>JEN Singapore Orchardgateway by Shangri-La</t>
  </si>
  <si>
    <t>singaporeorchardgateway@hoteljen.com</t>
  </si>
  <si>
    <t>https://www.shangri-la.com/hotels/jen/singapore/orchardgateway/</t>
  </si>
  <si>
    <t>277 Orchard Rd, Singapore 238858</t>
  </si>
  <si>
    <t>Oasia Hotel Downtown Singapore By Far East Hospitality</t>
  </si>
  <si>
    <t>Grace Yeo</t>
  </si>
  <si>
    <t>Snr Sales Mgr</t>
  </si>
  <si>
    <t>graceyeolb@fareast.com</t>
  </si>
  <si>
    <t>https://www.oasiahotels.com/en/singapore/hotels/oasia-hotel-downtown</t>
  </si>
  <si>
    <t>100 Peck Seah St, Singapore 079333</t>
  </si>
  <si>
    <t>Village Hotel Albert Court by Far East Hospitality</t>
  </si>
  <si>
    <t>Yunis Wong</t>
  </si>
  <si>
    <t>yuniswong@fareast.com</t>
  </si>
  <si>
    <t>https://www.villagehotels.asia/en/hotels/village-hotel-albert-court</t>
  </si>
  <si>
    <t>180 Albert St, Singapore 189971</t>
  </si>
  <si>
    <t>Carlton City Hotel Singapore</t>
  </si>
  <si>
    <t>Andrew Ho</t>
  </si>
  <si>
    <t>andrew.ho@carltoncity.sg</t>
  </si>
  <si>
    <t>https://www.carltoncity.sg/</t>
  </si>
  <si>
    <t>1 Gopeng St, #1, Singapore 078862</t>
  </si>
  <si>
    <t>PARKROYAL COLLECTION Pickering, Singapore</t>
  </si>
  <si>
    <t>Xiuqin</t>
  </si>
  <si>
    <t>xiuqin.lian@parkroyalcollection.com</t>
  </si>
  <si>
    <t>https://www.panpacific.com/en/hotels-and-resorts/pr-collection-pickering.html</t>
  </si>
  <si>
    <t>3 Upper Pickering St, Singapore 058289</t>
  </si>
  <si>
    <t>FAREAST Group: 16 HOTELS + 9 Service Residences (SG)</t>
  </si>
  <si>
    <t>Teryn</t>
  </si>
  <si>
    <t>DOS (Group)</t>
  </si>
  <si>
    <t>https://www.fareasthospitality.com/</t>
  </si>
  <si>
    <t>AQUEEN Hotels &amp; Resorts Singapore: 3 Hotels (SG)</t>
  </si>
  <si>
    <t>Priscilla Pey</t>
  </si>
  <si>
    <t>priscillapey@aqueenhotels.com</t>
  </si>
  <si>
    <t>https://aqueenhotels.com/</t>
  </si>
  <si>
    <t>61 Tai Seng Ave #05-13 Singapore 534167</t>
  </si>
  <si>
    <t>Crowne Plaza Kuala Lumpur City Centre by IHG</t>
  </si>
  <si>
    <t>KL, Bukit Bintang</t>
  </si>
  <si>
    <t>3-2782 8888</t>
  </si>
  <si>
    <t>reservations.cpklcc@ihg.com;cpklcc@ihg.com</t>
  </si>
  <si>
    <t>https://www.ihg.com/crowneplaza/hotels/gb/en/kuala-lumpur/kulkl/hoteldetail</t>
  </si>
  <si>
    <t>No 22, Menara 8, Jalan Yap Kwan Seng, 50450 Kuala Lumpur, Federal Territory of Kuala Lumpur, Malaysia</t>
  </si>
  <si>
    <t>KLoé Hotel</t>
  </si>
  <si>
    <t>3-27721313</t>
  </si>
  <si>
    <t>reservations@kloehotel.com</t>
  </si>
  <si>
    <t>https://www.kloehotel.com/</t>
  </si>
  <si>
    <t>227, Jln Bukit Bintang, Imbi, 55100 Kuala Lumpur, Wilayah Persekutuan Kuala Lumpur, Malaysia</t>
  </si>
  <si>
    <t>Sunway Putra Hotel</t>
  </si>
  <si>
    <t>KL, Jalan Putra, Chow Kit</t>
  </si>
  <si>
    <t>3-4040 9888</t>
  </si>
  <si>
    <t>spkl.reservations@sunwayhotels.com;spkl.enquiry@sunwayhotels.com</t>
  </si>
  <si>
    <t>https://www.guestreservations.com/sunway-putra-hotel/booking</t>
  </si>
  <si>
    <t>100, Jalan Putra, Chow Kit, 50350 Kuala Lumpur, Wilayah Persekutuan Kuala Lumpur, Malaysia</t>
  </si>
  <si>
    <t>Hotel Royal Signature</t>
  </si>
  <si>
    <t>KL, Jalan Bukit Bintang</t>
  </si>
  <si>
    <t>3-2119 8188</t>
  </si>
  <si>
    <t>info@hotelroyalsignature.com</t>
  </si>
  <si>
    <t>https://hotelroyalsignature.com/</t>
  </si>
  <si>
    <t>21, Jln Bukit Bintang, Bukit Bintang, 55100 Kuala Lumpur, Wilayah Persekutuan Kuala Lumpur, Malaysia</t>
  </si>
  <si>
    <t>The Ruma Hotel and Residences</t>
  </si>
  <si>
    <t>KL, Jalan Kia Peng</t>
  </si>
  <si>
    <t>Susanna</t>
  </si>
  <si>
    <t>3-2778 0888</t>
  </si>
  <si>
    <t>susanna.chin@theruma.com; information@theruma.com</t>
  </si>
  <si>
    <t>https://theruma.com/en/</t>
  </si>
  <si>
    <t>7, Jalan Kia Peng, Kuala Lumpur, 50450 Kuala Lumpur, Wilayah Persekutuan Kuala Lumpur, Malaysia</t>
  </si>
  <si>
    <t>LOTUS DESARU BEACH RESORT &amp; SPA, MY/Johor</t>
  </si>
  <si>
    <t>Johor Darul Ta'zim</t>
  </si>
  <si>
    <t>7-8842800</t>
  </si>
  <si>
    <t>Noor Atikah &lt;reservation3@lotusdesaru.com&gt;; "reservation2@lotusdesaru.com" &lt;reservation2@lotusdesaru.com&gt;; "sm.jb@lotusdesaru.com" &lt;sm.jb@lotusdesaru.com&gt;; "indrapillai@lotusgroup.com.my" &lt;indrapillai@lotusgroup.com.my&gt;</t>
  </si>
  <si>
    <t>https://lotusdesaru.com/</t>
  </si>
  <si>
    <t>Lot 1854, Jalan Desaru, 81930 Bandar Penawar, Johor Darul Ta'zim, Malaysia</t>
  </si>
  <si>
    <t>HOME STYLE at Platinum Suites, MY/KL</t>
  </si>
  <si>
    <t>1020, Jln Sultan Ismail, 50250 Kuala Lumpur</t>
  </si>
  <si>
    <t>3-21812468</t>
  </si>
  <si>
    <t>quintuslee@homestyle.my &lt;quintuslee@homestyle.my&gt;; "tommychuah@homestyle.my" &lt;tommychuah@homestyle.my&gt;; "leeyi@homestyle.my" &lt;leeyi@homestyle.my&gt;</t>
  </si>
  <si>
    <t>https://homestyle.my/</t>
  </si>
  <si>
    <t>1020, Jln Sultan Ismail, 50250 Kuala Lumpur, Wilayah Persekutuan Kuala Lumpur, Malaysia</t>
  </si>
  <si>
    <t>Imperial Lexis Kuala Lumpur</t>
  </si>
  <si>
    <t>15, Jalan Kia Peng, Kuala Lumpur</t>
  </si>
  <si>
    <t>3-21771188</t>
  </si>
  <si>
    <t>stay@imperiallexiskl.com</t>
  </si>
  <si>
    <t>https://www.imperiallexiskl.com/</t>
  </si>
  <si>
    <t>15, Jalan Kia Peng, Kuala Lumpur, 50450 Wilayah Persekutuan, Wilayah Persekutuan Kuala Lumpur, Malaysia</t>
  </si>
  <si>
    <t>Oasia Suites Kuala Lumpur by Far East Hospitality</t>
  </si>
  <si>
    <t>50250 Kuala Lumpur</t>
  </si>
  <si>
    <t>3-27266788</t>
  </si>
  <si>
    <t>info.oskl@fareast.com</t>
  </si>
  <si>
    <t>https://www.oasiahotels.com/en/malaysia/hotels/oasia-suites-kuala-lumpur</t>
  </si>
  <si>
    <t>10, Lorong P Ramlee, Kuala Lumpur, 50250 Kuala Lumpur, Wilayah Persekutuan Kuala Lumpur, Malaysia</t>
  </si>
  <si>
    <t>MOV Hotel</t>
  </si>
  <si>
    <t>50200 Kuala Lumpur</t>
  </si>
  <si>
    <t>3-48193888</t>
  </si>
  <si>
    <t>reservation@movhotel.com</t>
  </si>
  <si>
    <t>https://movhotel.com/</t>
  </si>
  <si>
    <t>43, Jalan Berangan, Bukit Bintang, 50200 Kuala Lumpur, Wilayah Persekutuan Kuala Lumpur, Malaysia</t>
  </si>
  <si>
    <t>Concorde Hotel Kuala Lumpur</t>
  </si>
  <si>
    <t>3-2144 2200</t>
  </si>
  <si>
    <t>kl@concorde.net</t>
  </si>
  <si>
    <t>https://kualalumpur.concordehotelsresorts.com/</t>
  </si>
  <si>
    <t>2, Jln Sultan Ismail, Kuala Lumpur, 50250 Kuala Lumpur, Wilayah Persekutuan Kuala Lumpur, Malaysia</t>
  </si>
  <si>
    <t>4/13~4/17</t>
  </si>
  <si>
    <t>Jasmine</t>
  </si>
  <si>
    <t>씨트립</t>
  </si>
  <si>
    <t>객실명이 한글로만 설정되어있어 수정필요건 발생</t>
  </si>
  <si>
    <t>200395 - Ocean to you Resort Sokcho Seorak Beach Hotel and condo
847898 - Ulsan The Van Hotel
1001575 - Pohang Daejam-dong Route 422
1001590 - Pyeongtaek Hotel The Gray Songtan
KR SCM에서 영문명 수정 후 재푸시
-&gt; 영문으로 씨트립에 반영된 것 확인</t>
  </si>
  <si>
    <t>469892 - Okinawa Harborview Hotel 플랜 노출확인</t>
  </si>
  <si>
    <t>기존에 생성된 플랜이 많아서 신규생성이 안됨.
씨트립과 오마이 판매플랜 대조 후 판매가능한 플랜만 표기해서 전달함</t>
  </si>
  <si>
    <t>티켓패스</t>
  </si>
  <si>
    <t>티켓상품 노출도 확인</t>
  </si>
  <si>
    <t>네이버 가격비교 검색 후 몇 페이지에 노출되는지 확인</t>
  </si>
  <si>
    <t>간사이리무진 실물티켓 교환가능여부 확인</t>
  </si>
  <si>
    <t>성우님 확인중 (교환가능하며 간사이리무진업체에 먼저 확인중)
이후 JTR 담당자와 교환방법 확인할 예정</t>
  </si>
  <si>
    <t>E티켓 최저가 비교 75</t>
  </si>
  <si>
    <t>네이버 가격비교 검색 후 최저가 비교</t>
  </si>
  <si>
    <t>매핑이슈 확인
Odays Osiria Residence
오마이객실타입 파셜오션뷰인데 11번가에 오션뷰객실로 그룹핑되어있어서 SCM에서 수정요청함</t>
  </si>
  <si>
    <t>11번가 매니저에게 재차 수정요청했으나, 현재 숙세페 기간으로 확인 및 수정이 어렵다는 답변을 받음. 혹시 모를 컴플레인 방지를 위해 SCM에 해당 호텔 블럭요청하였고, 추후 회신이 올 경우 매핑 수정 후 오픈처리하기로 함</t>
  </si>
  <si>
    <t>매뉴얼 생성</t>
  </si>
  <si>
    <t>탑셀링 리스트 생성 매뉴얼</t>
  </si>
  <si>
    <t>영문본 Vicky에게 전달</t>
  </si>
  <si>
    <t xml:space="preserve">JP000072/344271 Holiday Inn Osaka Namba </t>
  </si>
  <si>
    <t>씨트립에 재고/요금 없는걸로 보인다고 확인요청주신 호텔 6곳
KR000552 Golden Seoul Hotel 738638
KR002883 SR Hotel Sadang 717783
KR003355 Take Hotel Seoul Gwangmyeong 730925
KR003260 Golden City Hotel Dongdaemun 850992
KR000835 SR Hotel Magok 852990
KR002281 Kolon Seacloud Hotel 176653</t>
  </si>
  <si>
    <t>KR003355 Take Hotel Seoul Gwangmyeong 730925
-&gt; 브랜드변경으로 호텔 판매중지로 확인
KR002281 Kolon Seacloud Hotel 176653
-&gt;블랙리스트로 확인
상기 2곳 제외하고는 정상노출 확인</t>
  </si>
  <si>
    <t>KR003019/811623 Kwangsu Hotel 플랜 노출 확인
Deluxw Family Twin 객실에서 룸온리가 노출안된다고 확인요청</t>
  </si>
  <si>
    <t>씨트립 Yoana 매니저와 확인
오마이에서 룸온리 플랜을 3인만 보내고 있어서
2인검색시 노출이 안되었음.
호세님에게 컨텐츠팀과 추가 팔로업 필요한 점 안내</t>
  </si>
  <si>
    <t>KR002909 Yeosu Hotel First City 마스터호텔 확인</t>
  </si>
  <si>
    <t>트립닷컴에 비슷한 호텔이 2개가 운영되고 있고
호텔에서는 계정을 합치려고 함.
First city hotel Yeosu 기존 매핑된 마스터호텔에서
Yeosu first city hotel (first land)로 변경요청을 컨텐츠팀에서 진행함
이름이 비슷해서 Yoana매니저가 한 번 더 체크요청하였음.
관련하여 처리방법 Grace님에게 인계 및 처리완료</t>
  </si>
  <si>
    <t>트래블쇼 간사이리무진 판매 관련 확인중</t>
  </si>
  <si>
    <t>온라인 최저가 확인 후 판매가 결정
박람회 티켓소지량 계산
현장결제 방법 재확인 필요 - 카드단말기
티켓소지 담당자 확인 필요 - 차주 월요일
A4 용지 스텐딩홀더 4개 준비 - 차주 월요일 마케팅 전달필요</t>
  </si>
  <si>
    <t>간사이 리무진 실물티켓 교환 절차 확인중</t>
  </si>
  <si>
    <t>베스트제이코리아에서 JTR로 전환 가능함
다만 공항-&gt;목적지 한 방향으로만 가능하며,
전환 신청했고 베스트제이코리아에서 JTR과 간사이리무진 확인중.
진행 시 상품번호 발급 등 절차가 많아서
시간이 다소 소요될 것이라고 함(0424)</t>
  </si>
  <si>
    <t>티켓 주간마감</t>
  </si>
  <si>
    <t xml:space="preserve">판매량 : 12매
수탁고 : 342,620원
수익 : 6,912원
디파짓 현황
링크티비티 : 69,335엔
JTR : 256,262엔
</t>
  </si>
  <si>
    <t>11번가 정산 매뉴얼 작성중</t>
  </si>
  <si>
    <t>드래프트 작성 후 클로드 진행
국문본 컨펌 받고 영문본 번역진행예정</t>
  </si>
  <si>
    <t>씨트립 플랜 작업 매뉴얼 작성</t>
  </si>
  <si>
    <t>드래프트-클로드 국문 완료
에이든님 컨펌 후 영문본 Vicky와 Nancy 전달완료</t>
  </si>
  <si>
    <t>4/27~4/30</t>
  </si>
  <si>
    <t>씨트립 실적정리 (2025년 대비 2026년)</t>
  </si>
  <si>
    <t>YOY, MOM, 주요 이슈
최신 매핑 현황 업데이트</t>
  </si>
  <si>
    <t xml:space="preserve"> JP000072 - Holiday Inn Osaka Namba 344271 노출확인</t>
  </si>
  <si>
    <t>플랜 재정비 후 노출확인완료</t>
  </si>
  <si>
    <t>JP002973/717930 - Oriental Hotel Universal City  노출확인</t>
  </si>
  <si>
    <t>간사이리무진 티켓 교환방법 2차 확인</t>
  </si>
  <si>
    <t>JTR로 변환할 경우 전용상품구성이 필요하며, 이에 대한 시스템이용료 20만엔 + 티켓 수수료 535엔 발생한다고 함.
관련하여 에이든님께 보고완료</t>
  </si>
  <si>
    <t>티켓패스 박람회 판매 확인</t>
  </si>
  <si>
    <t>결제방법 확인 - 조시님 박람회 전날 교육예정
A4스탠딩홀더+출력이미지 4부 - 마케팅보관
최저가 비교후 가격 컨펌
실물티켓 포장용 편지봉투 100매 준비</t>
  </si>
  <si>
    <t>티켓 주간마감 + 월마감 + 스마트스토어 월정산</t>
  </si>
  <si>
    <t>주간 판매 : 4매 / 수탁고 78,610원 / 수익 2,072원
월마감 : 34매 / 수탁고 1,220,850원 / 수익 10,044원</t>
  </si>
  <si>
    <t>USJ 상품 변경</t>
  </si>
  <si>
    <t>당일 티켓 마감시간 변경으로 상품페이지 변경</t>
  </si>
  <si>
    <t>매뉴얼</t>
  </si>
  <si>
    <t>먼쓸리브리프 매뉴얼 정리</t>
  </si>
  <si>
    <t>에이든님 검토 후 수기 말고 AI변환예정
우선 당분간은 기존방법대로 진행</t>
  </si>
  <si>
    <t>KKDAY 국문 매뉴얼 정리</t>
  </si>
  <si>
    <t>정산관련 매뉴얼 정리
검토 후 영문본 공유예정</t>
  </si>
  <si>
    <t>5/4~5/8</t>
  </si>
  <si>
    <t>시스템이용료 20만엔 비용발생으로 인해 잠시 홀딩.
박람회 때 최대한 실물티켓 소진목표로 진행</t>
  </si>
  <si>
    <t>최대 구매수량 변경으로 스마트스토어 업데이트</t>
  </si>
  <si>
    <t>2025/2026 실적파일</t>
  </si>
  <si>
    <t>YOY, MOM 클로드로 PPT생성</t>
  </si>
  <si>
    <t>숙박세일페스타 인벤토리체크</t>
  </si>
  <si>
    <t>6월 숙박세일페스타 참여를 위한 지역별 인벤토리 수 취합이 필요하다고 하시어, SCM에 요청 후 전달완료
서울 179, 경기 91, 인천 55, 강원 95, 경상 123, 전라 79, 충청 54, 부산 139, 제주 121</t>
  </si>
  <si>
    <t>내역확인 및 인보이스 발송</t>
  </si>
  <si>
    <t>9,421,910원 청구 및 입금확인
내역서에 업데이트 완료</t>
  </si>
  <si>
    <t>Bookable 매뉴얼 관련 확인</t>
  </si>
  <si>
    <t>기존 매뉴얼보다 컨텐츠팀에서 발송하는게 더 간단한 것으로 VNCT Karl과 확인하여 별도공유하지 않는 것으로 정리</t>
  </si>
  <si>
    <t>KKDAY 영문매뉴얼 변환</t>
  </si>
  <si>
    <t>국문매뉴얼 영문으로 변환완료</t>
  </si>
  <si>
    <t>먼쓸리브리프 통계자료</t>
  </si>
  <si>
    <t>방문자통계, 광고키워드 취합하여 대표님께 전달</t>
  </si>
  <si>
    <t>5/11~5/15</t>
  </si>
  <si>
    <t>트래블쇼</t>
  </si>
  <si>
    <t>실물티켓, 상품권 판매 확인</t>
  </si>
  <si>
    <t>수량정리, 안내문 출력
실물티켓, 상품권 판매대장 정리</t>
  </si>
  <si>
    <t>886662 - Wyndham Garden Grandworld Phu Quoc
컨텐츠 및 소아세팅 관련 고객 문의</t>
  </si>
  <si>
    <t>VN팀 확인 결과, 해당 호텔 한국마켓 제외로 설정해야하는데 비투씨에 노출이 된 것 같다고 함. 오기재된 컨텐츠 수정요청하였으며 KR마켓 제외로 수정한다고 함</t>
  </si>
  <si>
    <t>숙박권 예약진행</t>
  </si>
  <si>
    <t>ANA Crowne Plaza Sapporo</t>
  </si>
  <si>
    <t>일본만</t>
  </si>
  <si>
    <t>소아 입력시 예약진행이 안된다고 하심</t>
  </si>
  <si>
    <t>본인이 테스트했을 땐 예약진행이 되어서, 일시적 오류로 예상됨. 일본만 담당자에게 고객/예약정보 받아서 예약진행완료</t>
  </si>
  <si>
    <t>히카리글로벌</t>
  </si>
  <si>
    <t>서울 밀리오레호텔 이름변경 관련 컴플레인</t>
  </si>
  <si>
    <t>호텔에서 특정날짜에 예약이 생성되었다가 투숙객 변경요청건이 많고, 무료취소가능기한내에 대량으로 취소되는 경우가 많아서 업무에 지장이 생긴다고 함. 의심되는 예약리스트로 히카리가 많아서 호텔요청에 따라 히카리에 밀리오레 서울호텔은 이름변경 불가한 점 안내함</t>
  </si>
  <si>
    <t>K26031811329H01 디다 서드파티 인원 이슈</t>
  </si>
  <si>
    <t>성인1+소아1인으로 조회 후 예약된 건이나, 호텔에서 해당 건은 소아1인도 추가비용 필요하다고 함. 디다에 재차 컴플레인 후 2차 채널링에서 세팅오류가 있었던 것으로 확인. 처음엔 현장지불만 가능하다고 했으나 JP SCM에서 호텔에 직접 교섭하여 해당 건 현장지불없이 디다에서 파트너사, 호텔과 선결제 진행하는 것으로 종결</t>
  </si>
  <si>
    <t xml:space="preserve">주간마감 </t>
  </si>
  <si>
    <t>판매량 8, 수탁고 278,920원, 수익 1,367원</t>
  </si>
  <si>
    <t>5/18~5/22</t>
  </si>
  <si>
    <t>웹베즈DMC</t>
  </si>
  <si>
    <t>하드블럭 판매 호텔체크</t>
  </si>
  <si>
    <t>요금 추가해야할 호텔들 정리</t>
  </si>
  <si>
    <t>탑리스트 네이버호텔 최저가 확인</t>
  </si>
  <si>
    <t>Boma Resort Nha Trang, Alibu Resort Nha Trang, InterContinental Nha Trang, an IHG Hotel</t>
  </si>
  <si>
    <t>KKDAY 매출분석</t>
  </si>
  <si>
    <t>2025/2026 YOY, MOM 매출분석</t>
  </si>
  <si>
    <t>K26051410529H01 채널링 매핑 오류</t>
  </si>
  <si>
    <t>호텔에서 아고다-환불불가 테스트부킹했는데 오마이-히카리상품으로 확인됨.
히카리에 연락하여 해당 예약 취소요청 및 채널링 수정요청 -&gt; 완료</t>
  </si>
  <si>
    <t>티켓/상품권 정리</t>
  </si>
  <si>
    <t>판매용 분출리스트+판매대장 정리
반납 후 재고 더블체크</t>
  </si>
  <si>
    <t>판매량 21, 수탁고 475,020원, 수익 140원</t>
  </si>
  <si>
    <t>티켓 매출분석</t>
  </si>
  <si>
    <t>티켓 수익분석 및 실제적 투입 리소스 대비 업무 필요성 분석</t>
  </si>
  <si>
    <t>티켓패스 디파짓 환불 확인</t>
  </si>
  <si>
    <t>JTR 252,262엔 / 링크티비티 9,025엔
잔액 환불가능여부 확인
두 공급사 다 환불가능하여 인보이스 청구한 상태
현재 스마트스토어+오마이트립 티켓상품은 실물 리무진티켓 제외 전부 중지상태</t>
  </si>
  <si>
    <t>간사이리무진 티켓 시장조사</t>
  </si>
  <si>
    <t>클로드 통하여 kkday, klook, myrealtrip 판매페이지 및 블로그 등 취합을 통해 라피트와 리무진 티켓 시장조사진행
라피트가 압도적으로 많은 것으로 확인되었음</t>
  </si>
  <si>
    <t>티켓 수익구조 변동보고서</t>
  </si>
  <si>
    <t>온라인 최저가로 변경시 티켓 수익구조 분석
4종 티켓 잔여수량으로 계산시 플러스 구조로 확인되어 티켓 금액 온라인 최저가로 변경완료</t>
  </si>
  <si>
    <t>링크티비티 연동가능여부 확인</t>
  </si>
  <si>
    <t>개발문서 개발팀에 전달할 수 있으며, 메신저는 슬랙으로 이용한다고 함.
우선 연동가능한 점 확인 후 보류</t>
  </si>
  <si>
    <t>티켓 월마감</t>
  </si>
  <si>
    <t>판매량 29 / 수탁고 753,940 / 수익 1,507
*e티켓 판매종료 실물티켓만 판매로 변경</t>
  </si>
  <si>
    <t>JTR 디파짓 잔액 환불확인</t>
  </si>
  <si>
    <t>잔액환불 확인 후 이카운트 시스템수정</t>
  </si>
  <si>
    <t>먼쓸리브리프 매뉴얼 영문변환</t>
  </si>
  <si>
    <t>11번가, KKDAY 정산매뉴얼 교육자료 정리</t>
  </si>
  <si>
    <t>VNOP 교육용 자료 재정리</t>
  </si>
  <si>
    <t>11번가, KKDAY 정산 교육</t>
  </si>
  <si>
    <t>Vicky, Peter 대상으로 매뉴얼 배포 후 교육</t>
  </si>
  <si>
    <t>B2C 고객 취소확인</t>
  </si>
  <si>
    <t>트래블쇼에서 48시간 개런티 예약하신 고객님 취소건 팔로업</t>
  </si>
  <si>
    <t>Daiwa Roynet Hotel Osaka Sakaisuji Honmachi PREMIER 요금표</t>
  </si>
  <si>
    <t>컨텐츠팀에 요금표 전송완료.
업데이트 완료되면 재고업데이트 예정</t>
  </si>
  <si>
    <t>DEL style Osaka Shinsaibashi by Daiwaroynet 요금표</t>
  </si>
  <si>
    <t>Hotel Monte Hermana Fukuoka 요금표 생성</t>
  </si>
  <si>
    <t>Hotel Monterey La Soeur Fukuoka 요금표 생성</t>
  </si>
  <si>
    <t>취소규정 업데이트</t>
  </si>
  <si>
    <t>체크인 전 9일로 세팅되어있는지 전체 체크 후 수정</t>
  </si>
  <si>
    <t>마감방식 변경</t>
  </si>
  <si>
    <t>기존 데일리/주간/월간에서 데일리로 축소
클로드로 파일변경중</t>
  </si>
  <si>
    <t>주간마감</t>
  </si>
  <si>
    <t>수량 6 / 수탁고 67,8,00원 / 수익 -2,772원</t>
  </si>
  <si>
    <t>정산매뉴얼 수정</t>
  </si>
  <si>
    <t>수정 후 Vicky에게 공유완료</t>
  </si>
  <si>
    <t>먼쓸리브리프 인수인계</t>
  </si>
  <si>
    <t>그레이스에게 인수인계완료</t>
  </si>
  <si>
    <t>April 13-17</t>
  </si>
  <si>
    <t>VN:Mustgo</t>
  </si>
  <si>
    <t>Mustgo Under internally discussion after sale call</t>
  </si>
  <si>
    <t xml:space="preserve">Waiting for Mustgo provide Portal Test </t>
  </si>
  <si>
    <t xml:space="preserve"> cross selling</t>
  </si>
  <si>
    <t>VN:Vietravel</t>
  </si>
  <si>
    <t>Under NDA Contract, VTV is internally reviewing</t>
  </si>
  <si>
    <t>On board on Q2</t>
  </si>
  <si>
    <t>VN:Gotadi</t>
  </si>
  <si>
    <t>Under reviewing 2 agreements + NDA</t>
  </si>
  <si>
    <t>VN:BestPrice</t>
  </si>
  <si>
    <t>Under discussion about Payment T&amp;C</t>
  </si>
  <si>
    <t>Deposit: offer decrease amount of deposit or no need: depending on booking volume</t>
  </si>
  <si>
    <t>VN:Travelotels</t>
  </si>
  <si>
    <t>Request payment method: credit card
Rate will be higher ~ 4%, but they said to high, normally is ~1%</t>
  </si>
  <si>
    <t>Suggest meeting &amp; prefer API</t>
  </si>
  <si>
    <t>VN: Ctrip VN</t>
  </si>
  <si>
    <t>CT: Recheck unmapped room mapping: ~7000 rooms compared to Open Ctrip Platform
24th April will identify the final unmapped room number and recheck with VN SCM</t>
  </si>
  <si>
    <t>24th will coordinate with SCM to priority request map room list prefered from Ctrip &amp; VN SCM List</t>
  </si>
  <si>
    <t>Room mapping</t>
  </si>
  <si>
    <t>VN: Chudu24</t>
  </si>
  <si>
    <t>Follow up to receive back Agreement via EMS &amp; Amendment of Bank Account</t>
  </si>
  <si>
    <t>Indo: TVLK</t>
  </si>
  <si>
    <t>Enroll Epic Sale Day: 5.5
Follow up Bank Account Changed
Increase QPS from 80 to -150 / CUG to B2C feed</t>
  </si>
  <si>
    <t>Observe booking volume after activing B2C feed &amp; Epic Sale.</t>
  </si>
  <si>
    <t>Indo: MG</t>
  </si>
  <si>
    <t>Follow up the Bank Account Changed
Hotel Mapping now is 62% -&gt; aim to 90%</t>
  </si>
  <si>
    <t>Coordinate with CT to push mapping %</t>
  </si>
  <si>
    <t>Hotel Mapping</t>
  </si>
  <si>
    <t>Indo: Hotelinx</t>
  </si>
  <si>
    <t>Receiving Hotelinx's NDA
Asking switching company contact Technoheaven to check first</t>
  </si>
  <si>
    <t>Contact to Technoheaven if we connect with potential clients through this switching or not</t>
  </si>
  <si>
    <t>Cross Selling
3rd Company IT</t>
  </si>
  <si>
    <t>India: MMT</t>
  </si>
  <si>
    <t>After Meeting with MMT
Waiting to their response about moving forward next step after Test ID checked.</t>
  </si>
  <si>
    <t>Keep following up</t>
  </si>
  <si>
    <t/>
  </si>
  <si>
    <t>India: Cleartrip</t>
  </si>
  <si>
    <t>Send Portal ID Account + Top list
they want use dotbiz first with credit card payment method</t>
  </si>
  <si>
    <t>Prefer API Direct Connectivity</t>
  </si>
  <si>
    <t>Russia: Emerging Travel Group</t>
  </si>
  <si>
    <t>Request Cross Selling and currently working with Ms. Sophia</t>
  </si>
  <si>
    <t xml:space="preserve">Follow up with Sophia &amp; will arrange e-meeting </t>
  </si>
  <si>
    <t>April 20-24</t>
  </si>
  <si>
    <t>VN: Gotadi</t>
  </si>
  <si>
    <t>Under Agreement &amp; SLA: Discussion -&gt; Taxes, Clause</t>
  </si>
  <si>
    <t>Handle Inquires - expect active on Q2</t>
  </si>
  <si>
    <t>Gotadi miss understand about Commission &amp; Mark up rate. already explain</t>
  </si>
  <si>
    <t>Indo: OYO Indonesia</t>
  </si>
  <si>
    <t xml:space="preserve">OMH Introduction </t>
  </si>
  <si>
    <t>Arrange e-meeting to better understand business</t>
  </si>
  <si>
    <t>Indo: Airpaz</t>
  </si>
  <si>
    <t>Indo: Gloden Rama Tour</t>
  </si>
  <si>
    <t>Indi: Travelguru</t>
  </si>
  <si>
    <t>VN: Vietravel</t>
  </si>
  <si>
    <t>Reminder &amp; follow up NDA</t>
  </si>
  <si>
    <t>Follow up &amp; keep contact // expect active on Q2</t>
  </si>
  <si>
    <t>VN: Momo</t>
  </si>
  <si>
    <t>OMH Introduction &amp; Momo Structure Rate</t>
  </si>
  <si>
    <t>Internal reviewing Momo Structure Solution</t>
  </si>
  <si>
    <t>Rate Proposal</t>
  </si>
  <si>
    <t>Russia: Tutu.ru</t>
  </si>
  <si>
    <t>Indo: Traveloka</t>
  </si>
  <si>
    <t>Bank Account Changed</t>
  </si>
  <si>
    <t>Waiting for Traveloka review the final verion of agreement</t>
  </si>
  <si>
    <t>Indo: Room Dea</t>
  </si>
  <si>
    <t>Coordinate with Ms Sophia to check MG feedback</t>
  </si>
  <si>
    <t>Indo: Tiket.com</t>
  </si>
  <si>
    <t>Confirmation the coordination timeline</t>
  </si>
  <si>
    <t>Agreement for both selling &amp; buying first
API will be developed once Selling side can be confirmed exact date.</t>
  </si>
  <si>
    <t>Russia: Travelata.ru</t>
  </si>
  <si>
    <t>E-meeting Confirmation</t>
  </si>
  <si>
    <t>Waiting for confirm meeting time</t>
  </si>
  <si>
    <t>Recheck: ~7200 unmapped room by CT team</t>
  </si>
  <si>
    <t>On 24th report: 
304 room mapping manually
**2669 unmapped room should be checked by VN SCM
Others are belongs to Black list.</t>
  </si>
  <si>
    <t>Room mapping ~62%
with 2669 unmapped rooms are waiting for VN SCM check with hotel again</t>
  </si>
  <si>
    <t>April 28-29</t>
  </si>
  <si>
    <t>Russia: Smartway</t>
  </si>
  <si>
    <t>API이슈</t>
  </si>
  <si>
    <t>Arrange Meeting to discuss more</t>
  </si>
  <si>
    <t>4PM at 6th april</t>
  </si>
  <si>
    <t>Recap meeting:
Timeline:: Q4 2026 can develop API
Deposit should be negotiates
Payment Method go through offshore bank (Kazakhstan Bank) (Bank details waiting email) RUB/USD</t>
  </si>
  <si>
    <t>Test ID + Top List
Travelata checking</t>
  </si>
  <si>
    <t>Expected On Board on Q4 2026</t>
  </si>
  <si>
    <t>Cross selling:
Purchasing Contract: Ms. Sophia will internal review
Selling Contract &amp; NDA: Wait for Tiket sending</t>
  </si>
  <si>
    <t>Follow up with Ms. Sophia</t>
  </si>
  <si>
    <t>요금문제</t>
  </si>
  <si>
    <t>Misunderstanding about FCT
E-meeting with Gotadi and Accountant to explain and discuss</t>
  </si>
  <si>
    <t>10AM at 7th April</t>
  </si>
  <si>
    <t>VN Taxes: FCT</t>
  </si>
  <si>
    <t>India: Via.com</t>
  </si>
  <si>
    <t>Arrange meeting to explore corpoation</t>
  </si>
  <si>
    <t>Wait for meeting confirmation</t>
  </si>
  <si>
    <t>Indo: Room Deal MG</t>
  </si>
  <si>
    <t>Citibank Account changed: The amended Agreement related to Purchasing Contract
Ms. Sophia will internally review and feedback to MG</t>
  </si>
  <si>
    <t>Citibank Changed</t>
  </si>
  <si>
    <t>Citibank Account Changed: TVLK is internally reviewing the OMH's feedback</t>
  </si>
  <si>
    <t>May 4-8</t>
  </si>
  <si>
    <t>Signed NDA &amp; API Doc</t>
  </si>
  <si>
    <t>Due to lack of IT staff on Momo end.
The system should developed done on Q4 2026, after that they can start to move forward the next step with us.</t>
  </si>
  <si>
    <t>Keep in Touch</t>
  </si>
  <si>
    <t>Indonesia: OYO</t>
  </si>
  <si>
    <t>Indonesia: TVLK</t>
  </si>
  <si>
    <t>-Epic Sale Campaige from 4-8 May
-TVLK Inquiries
-After discussion new claude for Amended Contract, TVLK will sign and send back on next week</t>
  </si>
  <si>
    <t>- Compared The Campaigne Rate with Our Rate to Identify the Gap
- Coordinate with VNOP to support Inquery
- Follow up to receive back the amended Contract next Week</t>
  </si>
  <si>
    <t>India: SOTC</t>
  </si>
  <si>
    <t>Arrange e-meeting to proposal partnership</t>
  </si>
  <si>
    <t>Malaysia: MHholidays</t>
  </si>
  <si>
    <t>Malaysia: AsiaAir Move</t>
  </si>
  <si>
    <t>101hotels.com</t>
  </si>
  <si>
    <t>Russia Clients</t>
  </si>
  <si>
    <t>Bronevik.com</t>
  </si>
  <si>
    <t>Yandex Travel</t>
  </si>
  <si>
    <r>
      <t>Otello</t>
    </r>
    <r>
      <rPr>
        <sz val="11"/>
        <color rgb="FF000000"/>
        <rFont val="Calibri"/>
        <family val="2"/>
      </rPr>
      <t xml:space="preserve">  belong to 2GIS</t>
    </r>
  </si>
  <si>
    <t>HBpro.expert belong to hotelbook.ru</t>
  </si>
  <si>
    <t>Aeroclub</t>
  </si>
  <si>
    <t>FUN&amp;SUN (ex-TUI Russia)</t>
  </si>
  <si>
    <t>Sunmar</t>
  </si>
  <si>
    <t>E-Meeting (Done)
Test ID &amp; Rate Checking Internally</t>
  </si>
  <si>
    <t>NDA done &amp; API Doc</t>
  </si>
  <si>
    <t>Request Credential Key and send API Doc to VTV next week</t>
  </si>
  <si>
    <t>Meeting: confused about Foreign Contractor Tax (Done)
API DOC sent
Follow up agreement</t>
  </si>
  <si>
    <t>Thailand: Gother</t>
  </si>
  <si>
    <t>India: EaseMyTrip</t>
  </si>
  <si>
    <t>Arranged E-Meeting next week to discuss partnership corporation</t>
  </si>
  <si>
    <t>11-15 May</t>
  </si>
  <si>
    <t>Meeting done</t>
  </si>
  <si>
    <t>Test ID + Top List</t>
  </si>
  <si>
    <t>Agreement Internally Review</t>
  </si>
  <si>
    <t>Key Credential + API Doc</t>
  </si>
  <si>
    <t>1 API - 2 Accounts</t>
  </si>
  <si>
    <t>시스템장애</t>
  </si>
  <si>
    <t>Connection Suspension 
No Rate Availability Check</t>
  </si>
  <si>
    <t>Russia: Bronevik</t>
  </si>
  <si>
    <t>Confirm Meeting at ITB China</t>
  </si>
  <si>
    <t>Preparation for 2nd round rate checking</t>
  </si>
  <si>
    <t>18-22 May</t>
  </si>
  <si>
    <t>Turnoff &amp; No Rate Issue</t>
  </si>
  <si>
    <t>Coordinate w IT to identify issue</t>
  </si>
  <si>
    <t>Lack of Inventories
exchange rate fluctuations</t>
  </si>
  <si>
    <t>TVLK</t>
  </si>
  <si>
    <t>Low Prebook Success Rate Issue</t>
  </si>
  <si>
    <t>Coordinate w IT to identify issue &amp; solution to prevent</t>
  </si>
  <si>
    <t>No Room Availiable</t>
  </si>
  <si>
    <t>MMT</t>
  </si>
  <si>
    <t>Follow up the next step</t>
  </si>
  <si>
    <t>Ctrip VN</t>
  </si>
  <si>
    <t>Lauch new coliner platfrom</t>
  </si>
  <si>
    <t>E-meeting done</t>
  </si>
  <si>
    <t>Send Round of Price Check</t>
  </si>
  <si>
    <t>Travelata</t>
  </si>
  <si>
    <t>Agreement internally checked by OMH</t>
  </si>
  <si>
    <t>25-29 May</t>
  </si>
  <si>
    <t>Tinivia</t>
  </si>
  <si>
    <t xml:space="preserve">E-Meeting New Channel </t>
  </si>
  <si>
    <t>Test ID + NDA</t>
  </si>
  <si>
    <t>VN: Du Lich Rong A Chau Travel</t>
  </si>
  <si>
    <t>Dotbiz Inquiries: Test ID + Top List</t>
  </si>
  <si>
    <t>HCMC KTO 2026</t>
  </si>
  <si>
    <t>VN: Saigontourist</t>
  </si>
  <si>
    <t>VN: Du Lich Viet Travel</t>
  </si>
  <si>
    <t>VN: Tugo</t>
  </si>
  <si>
    <t>VN: Dat Viet Tour</t>
  </si>
  <si>
    <t>VN: Runcation Vietnam</t>
  </si>
  <si>
    <t>VN: Vietluxtour</t>
  </si>
  <si>
    <t>VN: VIetviet Tourism</t>
  </si>
  <si>
    <t>VN: SaigonTimesTravel</t>
  </si>
  <si>
    <t>API  Inquiries: Test ID + Top List</t>
  </si>
  <si>
    <t>VN: Vina Group</t>
  </si>
  <si>
    <t>India: DMC Bazaar</t>
  </si>
  <si>
    <t>API: Test ID + Top List</t>
  </si>
  <si>
    <t>ITB China</t>
  </si>
  <si>
    <t>UAE: Happy Travel</t>
  </si>
  <si>
    <t>Turkey: Tana Travel</t>
  </si>
  <si>
    <t>Russia: Russian Express</t>
  </si>
  <si>
    <t>Russian: Bronevik</t>
  </si>
  <si>
    <t>Cross Selling: API &amp; Payment Structure Discussion</t>
  </si>
  <si>
    <t>Italy: EhotelXml</t>
  </si>
  <si>
    <t>Brussels: myGo Group</t>
  </si>
  <si>
    <t>Saudi Arabia: Safa Soft</t>
  </si>
  <si>
    <t>Turkmenistan: Rahat Asman</t>
  </si>
  <si>
    <t>India: Rezmytrip</t>
  </si>
  <si>
    <t>Cross Selling: OMH Recap meeting.</t>
  </si>
  <si>
    <t>India: Rezlive</t>
  </si>
  <si>
    <t>Commercial Term Discussion</t>
  </si>
  <si>
    <t>NDA Signed
VAT Invoice Inquiries from Momo</t>
  </si>
  <si>
    <t xml:space="preserve">Discussion with Momo about flow of INV Issuing </t>
  </si>
  <si>
    <t>API Modification Traveloka Atlas API schema</t>
  </si>
  <si>
    <t>IT will start to implemt on middle of  June, ~ 1 weeks</t>
  </si>
  <si>
    <t xml:space="preserve">- TVLK wishlist &amp; top performance on 2025 compared with OMH Top List
</t>
  </si>
  <si>
    <t>- Identify target top 10 hotel for (KR VN JR TH)
- Coordinate with SCM to focus on these hotels (re-open, new contracts,..etc)</t>
  </si>
  <si>
    <t>Automated Suspension Policy for Low Prebook Success Rate</t>
  </si>
  <si>
    <t>- Mainly Reason is No Availiable room on TVLK side
- based on Log on OMH, Lack of ALM issues &amp; non-bookable</t>
  </si>
  <si>
    <t>Regarding 2669 unmapped room - VN Hotels
- after timeline, VN SCM updated 346/2669</t>
  </si>
  <si>
    <t xml:space="preserve"> Mapping Training Course for all SCM</t>
  </si>
  <si>
    <t>Dotbiz Account &amp; API Integration Plan</t>
  </si>
  <si>
    <t>On- Board: Dotbiz Account -Postpay for VN hotels first
API Integration step will be processed on the end of June by IT Gotadi Team</t>
  </si>
  <si>
    <t>Start the 2nd round price test</t>
  </si>
  <si>
    <t>1-5 June</t>
  </si>
  <si>
    <t>Suggested Hotel List</t>
  </si>
  <si>
    <t>Coordinate with VN SCM to identify the potential hotels that we can sell to Ctrip VN</t>
  </si>
  <si>
    <t>VN SCM &amp; CT Team currently manually checking 2000 un-mapped rooms.</t>
  </si>
  <si>
    <t>Defect Cases Identified</t>
  </si>
  <si>
    <t>CMS issue Identify &amp; resolved successfully</t>
  </si>
  <si>
    <t>Addendum New entity &amp; city bank</t>
  </si>
  <si>
    <t>Follow up to receive the sign addendum</t>
  </si>
  <si>
    <t>ITB China: NDA &amp; SLA, Commercial Discussion</t>
  </si>
  <si>
    <t>Akvm Solution</t>
  </si>
  <si>
    <t>ITB China:Commercial Discussion</t>
  </si>
  <si>
    <t>ITB China: NDA &amp; Agreenent internal reviewing</t>
  </si>
  <si>
    <t>OMH is reviewing agreement &amp; SLA</t>
  </si>
  <si>
    <t>15-19 June</t>
  </si>
  <si>
    <t>Route Off Issue</t>
  </si>
  <si>
    <t>Request log for IT Cross Checking</t>
  </si>
  <si>
    <t>Agreement Discussion &amp; Key Credential Review</t>
  </si>
  <si>
    <t>Defect Cases Identified &amp; Required Action Plan</t>
  </si>
  <si>
    <t>Coordinate with IT to Identify issue and already resolve it</t>
  </si>
  <si>
    <t>Agreement Discussion</t>
  </si>
  <si>
    <t>22-26 June</t>
  </si>
  <si>
    <t>Meeting Done -&gt; Agreement Discussion Done // Signature Process</t>
  </si>
  <si>
    <t>Marsman Drysdale Travel</t>
  </si>
  <si>
    <t>ID + Top List</t>
  </si>
  <si>
    <t>DMC Bazaar</t>
  </si>
  <si>
    <t>Portal Account Open Done
API Dícussion</t>
  </si>
  <si>
    <t>TH Agent for Thailand FIT Fair</t>
  </si>
  <si>
    <t>Proposal to local TH Agent</t>
  </si>
  <si>
    <t>Email to introduce &amp; explore opportunities co-sell</t>
  </si>
  <si>
    <t>Tiniva</t>
  </si>
  <si>
    <t>Commerical DIsucssion</t>
  </si>
  <si>
    <t>Deposit Discussion</t>
  </si>
  <si>
    <t>Settlment Cycle Discussion</t>
  </si>
  <si>
    <t>Wake up &amp; Follow up the pending issue</t>
  </si>
  <si>
    <t>Gotadi</t>
  </si>
  <si>
    <t>Meeting with Gotadi Hanoi Branch</t>
  </si>
  <si>
    <t>VOLT</t>
  </si>
  <si>
    <t>Meeting Done With VOLT</t>
  </si>
  <si>
    <t>29 - 3 July</t>
  </si>
  <si>
    <t xml:space="preserve">VAT Invoice Issue: Booking V26060610056H01 </t>
  </si>
  <si>
    <t>Coordinate with Acc</t>
  </si>
  <si>
    <t>Defect Cases issues</t>
  </si>
  <si>
    <t>Coordinate with IT</t>
  </si>
  <si>
    <t>F/u on next Mon</t>
  </si>
  <si>
    <t>TecoTrip</t>
  </si>
  <si>
    <t>Ohmyhotel Introduction</t>
  </si>
  <si>
    <t>SaigonTimesTravel</t>
  </si>
  <si>
    <t>DuLichViet</t>
  </si>
  <si>
    <t>Saigon Tourist</t>
  </si>
  <si>
    <t>Avia Tour</t>
  </si>
  <si>
    <t>Wita Tour</t>
  </si>
  <si>
    <t>ABC Tours</t>
  </si>
  <si>
    <t>Dotbiz Account Progress</t>
  </si>
  <si>
    <t>GRN</t>
  </si>
  <si>
    <t>DIscussion - Rate Checking</t>
  </si>
  <si>
    <t>6-10 July</t>
  </si>
  <si>
    <t>Acase</t>
  </si>
  <si>
    <t>Weather connect via Shiji or not</t>
  </si>
  <si>
    <t>AsiaLink</t>
  </si>
  <si>
    <t>Constellation Travel</t>
  </si>
  <si>
    <t>DwidayaTour</t>
  </si>
  <si>
    <t>Panorama JTB</t>
  </si>
  <si>
    <t xml:space="preserve">Final Discussion </t>
  </si>
  <si>
    <t>Process NDA &amp; Agreement</t>
  </si>
  <si>
    <t>Process signature and start corporate</t>
  </si>
  <si>
    <t>Process Momo's paperwork before API Development</t>
  </si>
  <si>
    <t>13-17 July</t>
  </si>
  <si>
    <t>Developing API - Expected Go Live on  Aug</t>
  </si>
  <si>
    <t>Assist on-boarding step</t>
  </si>
  <si>
    <t>6-17/7 (SG)</t>
  </si>
  <si>
    <t xml:space="preserve">Chan Brothers -6 Biz subsidaries </t>
  </si>
  <si>
    <t>신규 고객 발굴/모집singyu gogaeg balgul/mojib</t>
  </si>
  <si>
    <t>Contacted 3/7.HQ PIC informed 6 Biz units, no reply yet.</t>
  </si>
  <si>
    <t xml:space="preserve">To visit TA directly(door to door) </t>
  </si>
  <si>
    <t xml:space="preserve">WTS Travel </t>
  </si>
  <si>
    <t>Tele-sales 10/7.Emailed &amp; no reply from PIC yet.</t>
  </si>
  <si>
    <t>To visit TA directly(door to door)</t>
  </si>
  <si>
    <t xml:space="preserve">CTC Travel </t>
  </si>
  <si>
    <t>Tele-sales 3/7. Emailed &amp; no reply from PIC yet.</t>
  </si>
  <si>
    <t>E-sales 3/7.Emailed &amp; no reply from PIC yet.</t>
  </si>
  <si>
    <t>Tele-sales 3/7. No interest, mainly work with land operator</t>
  </si>
  <si>
    <t>Revisit. Low account.</t>
  </si>
  <si>
    <t xml:space="preserve">Luxury Tours </t>
  </si>
  <si>
    <t>Direct API. Pending NDA(16/7sent) to sign back. Main: India mkt.</t>
  </si>
  <si>
    <t xml:space="preserve">API.*To solve Agent do not have own in-house IT to manage API. </t>
  </si>
  <si>
    <t xml:space="preserve">Meidi Travel </t>
  </si>
  <si>
    <t>Portal-Regular Live 17/7. Main Indonesia &amp; Malaysia mkt. Sales projects:
1.HSBC, Indonesian (Monthly 500 Transfers to: Top 3 Hotels: Japan-Tokyo &amp; Osaka)
2.Korea, Gangnam Top 3 Hotels (for Cosmetic), Indonesian
3. UOB, Singapore (For NATAS, 21-23 Aug): Korea &amp; Japan TOP 3 Hotels, Singaporeans</t>
  </si>
  <si>
    <t xml:space="preserve">Monitor weekly sales booking/pick up. </t>
  </si>
  <si>
    <t>Portal Test account sent. Main Singapore mkt FIT's/Mice. Japan, Viet</t>
  </si>
  <si>
    <t>Pending Live account. Chaser by end July.</t>
  </si>
  <si>
    <t>Hong Thai Travel</t>
  </si>
  <si>
    <t>Portal-Regular Live 2/7.Main Singapore mkt FIT's/Mice. 3 Keys</t>
  </si>
  <si>
    <t>To visit TA to push for bookings.</t>
  </si>
  <si>
    <t>Portal-Regular Live 2/7.Main Singapore mkt FIT's/Mice. Japan.*Key city- Hokkaido</t>
  </si>
  <si>
    <t>1.TA to linking us to HIS Japan HQ for API.(Aiden). Low month of July. Continue to push TA for bookings.</t>
  </si>
  <si>
    <t>10/7 FU, Bridging - Passed to Aiden</t>
  </si>
  <si>
    <t xml:space="preserve">Amex Travel </t>
  </si>
  <si>
    <t>2/7 FU,pending payment gateway for SG. OTA- Passed to Julia (KR) 9/7</t>
  </si>
  <si>
    <t xml:space="preserve">JTB &amp; Tour East </t>
  </si>
  <si>
    <t>E-sales 3/7 -API, low interest.</t>
  </si>
  <si>
    <t>To revisit/call TA</t>
  </si>
  <si>
    <t>E-meet on  22/7 Sales. API. High interest</t>
  </si>
  <si>
    <t>Tele-sales 3/7. API(Sabre). TA high interest to buy but key to connect with Sabre</t>
  </si>
  <si>
    <t>E-meet Sabre 23/7</t>
  </si>
  <si>
    <t>MMT (Make my trip)</t>
  </si>
  <si>
    <t>17/7 FU. API-TA don't have update yet on timeline schedule internally.</t>
  </si>
  <si>
    <t>High: Weekly follow up.</t>
  </si>
  <si>
    <t xml:space="preserve">Travonglobal </t>
  </si>
  <si>
    <t>E-meet on  22/7.</t>
  </si>
  <si>
    <t>E-sales 6/7</t>
  </si>
  <si>
    <t>Tele-sales 6/7</t>
  </si>
  <si>
    <t xml:space="preserve">TA Pending MY(KL) Office opening in Aug for outbound. </t>
  </si>
  <si>
    <t>To contact TA in Aug</t>
  </si>
  <si>
    <t>E-sales 10/7 -Check-in next week(at Fair)</t>
  </si>
  <si>
    <t>To connect TA by end of July.</t>
  </si>
  <si>
    <t>Request Portal Test account sent 10/7. Main India(West) mkt FIT's/Mice. Vietnam</t>
  </si>
  <si>
    <t>Portal-Regular Live - Pending confirmation by end July.</t>
  </si>
  <si>
    <t>EASEMYTRIP SG</t>
  </si>
  <si>
    <t>Tele-sales 6/7. API,low interest.</t>
  </si>
  <si>
    <t>JTB (Outbound) Retail &amp; MICE</t>
  </si>
  <si>
    <t>Portal-Regular Live 15/7.Main Singapore mkt FIT's/Mice. 3 Key countries.</t>
  </si>
  <si>
    <t>To visit TA monthly &amp; continue to monitor &amp; help TA in bookings.</t>
  </si>
  <si>
    <t>E-meeting 7/7."[Summary]
Netstorming (Italian XML/switching distributor) Premium Supplier Program — distributed our inventory to Netstorming's former clients via a single API (entering the European market).
Bryant called Neel (7/9) after contract · company profile · You have received the Top Destination materials.
[Confirmed Terms]
API Integration Fee EUR 5,500 (prepaid) · 1% trading fee (confirmed reservation + penalty cancellation)
⚠️ Full client list + technical documentation provided only after contract signing and payment
First client Hashnap · Need to provide API documentation from our side · Each client's commercial contract will be processed individually after receiving the list.
기존 참여(검증): HeyTrip · HiBeds · Dida · CnBooking
[Sophia, please decide]
Contract and payment status (EUR 5,500 + 1%) — judgment from a linkage/switching perspective
Availability of our API documentation and integration resources and schedule"</t>
  </si>
  <si>
    <t>Pending Sophia</t>
  </si>
  <si>
    <t>OTTILA</t>
  </si>
  <si>
    <t>13/7: Ottila (B2B/Wholesaler), based. India(Mumbai). Source markets: Main-India, Middle East. Options:*A.Direct API, TA develop; we will not pay. B.TA connect to us -TBC. Current Daily booking performance: 4,000 bookings daily. Booking performance forecast review expected: 400-500 bookings per day. Proposed Contract condition: USD30K-BG, Bi-weekly(Payment due date: 5days).</t>
  </si>
  <si>
    <t>Pending TA for Management approval. Timeline by end July.</t>
  </si>
  <si>
    <t>Tele-sales 7/7</t>
  </si>
  <si>
    <t>To revisit.</t>
  </si>
  <si>
    <t>E-sales 7/7</t>
  </si>
  <si>
    <t>To visit TA directly(in office) on 21/7</t>
  </si>
  <si>
    <t>AGODA</t>
  </si>
  <si>
    <t xml:space="preserve">E-Intro 7/7 -Override incentive adjustment - Aiden </t>
  </si>
  <si>
    <t>Aiden Biz visit in Aug.</t>
  </si>
  <si>
    <t>기존 계좌 관리gijon gyejwa gwanli</t>
  </si>
  <si>
    <t>Sales meeting 10/7: Traveloka. To drive TA sales volume to Tier 1; Discussed: 1. Availability &amp; Pricing competitiveness. 2. Top Hotels List shared by OTA. - To action to *increase daily bookings volume.</t>
  </si>
  <si>
    <t>F/U with contracting team.</t>
  </si>
  <si>
    <t>E-Intro 7/7 -Pending API/SHIJI</t>
  </si>
  <si>
    <t>API- 17/7. TA current technical bandwidth is fully allocated, so we are unable to begin a new integration at this time.</t>
  </si>
  <si>
    <t>On queue-Timeline for API require 6weeks. Pending date from OTA to start.</t>
  </si>
  <si>
    <t>Sales(New account) meeting 11/7: Roomforless (B2B/Wholesaler), based.US(NY). Source markets: Main-Middle East &amp; Europe(UK). Direct API, Travel compositor. Current Daily booking performance: 2,000(Non peak), 5,000(Peak). **Agent currently not working/partnering with any supplier/inventories on our 3 Major-3 Countries(Japan, Korea &amp; Vietnam). Booking performance forecast review expected: 30-40 bookings per day. Proposed Contract condition: USD30K-BG, Bi-weekly(Payment due date: 5days).</t>
  </si>
  <si>
    <t xml:space="preserve">Expedia  </t>
  </si>
  <si>
    <t>E-sales 11/7</t>
  </si>
  <si>
    <t>Tele-sales 11/7. On hold: Not in their list of countries</t>
  </si>
  <si>
    <t>Tele-sales 11/7</t>
  </si>
  <si>
    <t xml:space="preserve">GOTO TRAVEL </t>
  </si>
  <si>
    <t>JAP AIR TOURS</t>
  </si>
  <si>
    <t>Tele-sales 15/7</t>
  </si>
  <si>
    <t>To visit/call TA</t>
  </si>
  <si>
    <t>JAC TRAVEL</t>
  </si>
  <si>
    <t>E-sales 15/7</t>
  </si>
  <si>
    <t>JAPANTICKET ASIA PACIFIC</t>
  </si>
  <si>
    <t>PEGASUS TRAVEL MANAGEMENT</t>
  </si>
  <si>
    <t>QQ TRAVEL</t>
  </si>
  <si>
    <t>E-sales 16/7</t>
  </si>
  <si>
    <t>SAFE2TRAVEL</t>
  </si>
  <si>
    <t>SCOTT DUNN SINGAPORE</t>
  </si>
  <si>
    <t>Tele-sales 16/7</t>
  </si>
  <si>
    <t>TravelBullz</t>
  </si>
  <si>
    <t>UOB TRAVEL PLANNERS</t>
  </si>
  <si>
    <t>PINNACLE TRAVEL SERVICES</t>
  </si>
  <si>
    <t>E-sales 17/7</t>
  </si>
  <si>
    <t>PLANTRIP</t>
  </si>
  <si>
    <t>Plover Trip</t>
  </si>
  <si>
    <t>SHOPEE TRAVEL SG</t>
  </si>
  <si>
    <t>FIESTA Travel &amp; Tours (PHIL,Manila)</t>
  </si>
  <si>
    <t>Fiesta Tours &amp; Travel (B2B/), Based. Phil(Manila). Source markets: Phil(Manila). Mains-Japan &amp; Vietnam.
Proposed to start with Portal(Regular) first. USD30,000 Deposit for using API.
**Agent currently not working/partnering with any supplier/inventories (*using Land operators currently) on our 3 Major-3 Countries(Japan, Korea &amp; Vietnam).
To do/send: Test Portal for Ops team to try out.</t>
  </si>
  <si>
    <t>Chaser for Portal-Regular Live by end July latest.</t>
  </si>
  <si>
    <t>SHANDA TRAVEL</t>
  </si>
  <si>
    <t>20-24/7</t>
  </si>
  <si>
    <t xml:space="preserve">Bryant </t>
  </si>
  <si>
    <t xml:space="preserve">RateHawk </t>
  </si>
  <si>
    <t>Meeting notes 20/7:
Main source market: Russia.
Booking performance forecast review expected: 400-500 bookings daily.We would also like to propose the following cross-sell payment terms: Reply: To review internally for approval.
Credit Limit: USD 20,000 (based on check-ins/check-outs)
Invoice Frequency: One invoice per month (based on check-ins/check-outs)
Reconciliation Period: 25 days
Credit Limit Calculation: Based on check-in/check-out dates
Additionally, apologies for the earlier confusion. Based on my latest records, the planned connectivity was for a direct API integration rather than through TravelgateX. However, if we proceed with a direct API integration, our current development pipeline is fully committed until Q4 2027. With that in mind, would Ohmyhotel be open to either: Reply: Preferred direct API. Please advise if we are ok kick start first with TravelgateX? @Jesvin Chan
Developing our External API directly, or
Connecting with us via TravelgateX (TGX)?</t>
  </si>
  <si>
    <t>Pend for Aiden/Management approval. Timeline by end July.</t>
  </si>
  <si>
    <t>NDA-Chaser</t>
  </si>
  <si>
    <t>hotelbook</t>
  </si>
  <si>
    <t>E-sales 20/7- we don’t have free slots for new connections for this year and perhaps, for the beginning of next year also.
However, I’m saving your message and contact and hope to get back to you once there is an availability for a new connection.</t>
  </si>
  <si>
    <t>Monthly Revisit.</t>
  </si>
  <si>
    <t xml:space="preserve">Withinearth </t>
  </si>
  <si>
    <t>Withinearth https://www.withinearth.com/ (MY,KL-B2B) Tele-meeting notes 20/7:
Agent had just agreed to work/partner us; 2 Main Countries: Japan &amp; Vietnam. Main source market: Malaysia.
Agent would propose contract on cross-sell contract &amp; payment terms for our review.
Require us to connect via Travelgate. To do/send Agent: NDA to sign.</t>
  </si>
  <si>
    <t>Pend for NDA, cross-sell contract &amp; payment terms. Check w Aiden on connectivity w Travelgate. Timeline by end July.</t>
  </si>
  <si>
    <t>Commercial Term Comfirm.Happy Travel are processing NDA first, After that we can check their Agreement &amp; SLA later</t>
  </si>
  <si>
    <t>Portal-Regular Live 20/7.Main India mkt FIT's/Mice. Key country: Vietnam</t>
  </si>
  <si>
    <t>JTB (JAPAN HQ)</t>
  </si>
  <si>
    <t>21/7 FU, Bridging/Connecting via JTB SG office - To pass to Aiden</t>
  </si>
  <si>
    <t>21/7. Scott Dunn,SG (B2B),based SG,HQ based UK. Source markets: UK and Singapore. Pending HQ(UK) Contracting team review. Top countries, Japan &amp; Korea.</t>
  </si>
  <si>
    <t>F/U Interest. Timeline by end July.</t>
  </si>
  <si>
    <t>FCM Singapore</t>
  </si>
  <si>
    <t>21/7. FCM Singapore (CTM), based SG (HQ). Source market: Singapore. Top country: Vietnam. Interested to partner us for FITs &amp; Government MICE Groups. Booking performance forecast review: 200-300 bookings Per month. Agent request/to do: send Test portal for review evaluation approval.</t>
  </si>
  <si>
    <t>F/U-Timeline by end July.</t>
  </si>
  <si>
    <t>TRAVEL GSH (Outbound &amp; Inbound SG)</t>
  </si>
  <si>
    <t>Discussion notes/Tele-sales 21/7: Outbound FITs &amp; Groups- Countries: Japan, Korea &amp; Vietnam. Booking performance forecast review: 50-100 bookings Per month.Inbound FITs &amp; Groups- As shared, we will have SG Hotels direct contract inventories from 1st Oct onwards. Agent required 3 Hotels (SG): Chancellor Hotel, RELC &amp; Hotel Boss. Booking performance forecast review: 100+ bookings Per month.</t>
  </si>
  <si>
    <t>Dnata, Yalago</t>
  </si>
  <si>
    <t>Sales(New account) meeting 22/7:
https://affiliate.yalago.com/Home/Welcome?returnUrl=%2F#about
Dnata, Yalago(under Emirates group) -Wholesaler, based. Dubai, UAE.
Background: Only work with 5 Suppliers currently. Selling: ***For Suppliers (Seller) to qualify requires Health &amp; Safety Certificate- for our Company*Agent will share/connect their in-house Health &amp; Safety PIC for procedures(Timeline: To be confirmed) &amp; Hotels (under our inventory).
Interested in our 2 Main Countries: Japan &amp; Korea ***Currently NO direct contracts in these 2 Countries.
Source markets (100+ distribution channels): Main-Europe(UK),Primary-Dubai.
API- Open API, OMH to develop.
Booking performance forecast review expected: 800-1000 bookings per day.
F/U- Next step, Agent will provide/email us: Documents details for OMH to sell, Health&amp; Safety Certification procedures and Buying contract reference for review.
Buying(Propose from Dnata,Yalago), If interest: 3 Top Countries offered: Thailand, Indonesia,(Bali) &amp; Malaysia -(Direct contracts).  Cc. Mr. Sang.
Sang Kyu Yoo (Sang)
Proposed Mutual Partnership Contract condition: To be discuss (To check with Mr.Aiden)
***To further discuss with Mr.Aiden. Thank you.</t>
  </si>
  <si>
    <t>Bronevik(RU)</t>
  </si>
  <si>
    <t>Sales meeting F/U 23/7: 1.NDA sent,
2.Commercial agreement (from Bronevik)
3.To revert on which connectivity Shiji or TGX (from Bronevik)</t>
  </si>
  <si>
    <t>Peter Stuyvesant Travel Sdn. Bhd (Outbound/MY)</t>
  </si>
  <si>
    <t>myGO</t>
  </si>
  <si>
    <t>Sales(New account) meeting 24/7: myGO (Based in Belgium, B2B Travel Tech operator, wholesaler)
1.Pending NDA to be signed/returned (myGO)
2.Direct API.
3. Countries: Malaysia(Top5), Japan, Korea &amp; Vietnam.
4,Markets sources: Top 3: Algeria, France &amp; Belgium.
5.Booking performance forecast review expected: 30-50 booking per day.
6.Agency proposed Deposit US$10K-BG, Bi-weekly payment (5-7days).</t>
  </si>
  <si>
    <t>Sales meeting 23/7. Trutrip - via Sabre: Sabre not accepting/stopped onboarding new hotel content suppliers or aggregators.
To inform Trutrip and repropose using Portal instead if acceptable.</t>
  </si>
  <si>
    <t>F/U-Timeline by end 6 Aug (Imran meet CEO on 5 Aug).</t>
  </si>
  <si>
    <t>27-31/7</t>
  </si>
  <si>
    <t>Roomforless (Middle East, UK)</t>
  </si>
  <si>
    <t xml:space="preserve">Meeting notes recap, proposed: https://roomforless.net/ Sales(New account) meeting 11/7:Roomforless (B2B/Wholesaler), based.US(NY). Source markets: Main-Middle East &amp; Europe(UK). Direct API, Travel compositor.
Current Daily booking performance: 2,000(Nonpeak), 5,000(Peak).
**Agent currently not working/partnering with any supplier/inventories on our 3 Major-3 Countries(Japan, Korea &amp; Vietnam).
Booking performance forecast review expected(conservative): 30-40 bookings per day.
Proposed Contract condition: USD30K-BG, Bi-weekly(Payment due date: 5-7days).
1.Pending NDA to be signed/returned (Roomforless)
</t>
  </si>
  <si>
    <t>F/U-NDA Chaser Timeline by end July.</t>
  </si>
  <si>
    <t>Thomas Cook (Ind, Mumbai)</t>
  </si>
  <si>
    <t>E-sales 27/7</t>
  </si>
  <si>
    <t>F/U-Timeline by end Aug to meet ITB India.</t>
  </si>
  <si>
    <t>Travelata(RU)</t>
  </si>
  <si>
    <t>Sales meeting notes: 30/7 - Travelata (Russia)*Contracting via UAE Entity -PIC, Pavel  x OMH 
1. NDA — Signed; received.
2. Direct API — To align on the integration timeline and the main coordinator-Pavel. Open API to be provided for Travelata to develop OMH. 
   2.1 Markets — Source markets: Main Russia. Main destination countries: Vietnam(1), Thailand(2), Korea &amp; Singapore.
   2.2 Deposit &amp; Settlement (USD) — Proposed Deposit USD10K, Credit facility (1:4) ,Proposed settlement: Bi-weekly(3-5days).
   2.3 Booking expectations — 5-10 bookings per day.
Next steps:
1.To send SA, 2. Open API meeting. 3. Pavel to share the Toplist Hotels for Vietnam &amp; Thailand.</t>
  </si>
  <si>
    <t>To send SA by this week.</t>
  </si>
  <si>
    <t>Cox &amp; Kings (Ind, Mumbai)</t>
  </si>
  <si>
    <t>Best Holiday Sdn. Bhd. (MY)</t>
  </si>
  <si>
    <t>BMC Travel Sdn. Bhd. (MY)</t>
  </si>
  <si>
    <t>Corporate Information Travel Sdn. Bhd. (MY)</t>
  </si>
  <si>
    <t>JTB, Japan Travel Bureau (Malaysia) Sdn. Bhd.</t>
  </si>
  <si>
    <t>Golden Destinations (GD) (MY)</t>
  </si>
  <si>
    <t>T&amp;M TOUR (KR, SG)</t>
  </si>
  <si>
    <t>E-sales 28/7</t>
  </si>
  <si>
    <t>TRAVEL STAR (SG)</t>
  </si>
  <si>
    <t>ZOOM TRAVEL</t>
  </si>
  <si>
    <t>Hello Holidays (MY)</t>
  </si>
  <si>
    <t>Chaser-sales 28/7.Emailed &amp; no reply from PIC yet.</t>
  </si>
  <si>
    <t>Contacted 28/7.HQ PIC informed 6 Biz units, no reply yet.</t>
  </si>
  <si>
    <t xml:space="preserve">Hotelinx(Indo, Jakarta) </t>
  </si>
  <si>
    <t>Sales call/meeting 27/7: Hotelinx (Indonesia,Jakarta),(Based in Indonesia, B2B, Wholesaler) 1. Access: Live Portal to begin immediately (Agent API schedule is full for the next 4–6 months).
1.1. Top destinations: Vietnam, Singapore, Malaysia.
1.2. Source market: Indonesia.
1.3. Forecast: 10–15 bookings per day, to be reviewed.
1.4. Terms: Billing in SGD, on prepaid payment terms.</t>
  </si>
  <si>
    <t>To set-up Live Portal by 28/7</t>
  </si>
  <si>
    <t>Voyzant</t>
  </si>
  <si>
    <t>⁠Sales call/meeting 28/7: Voyzant https://www.facebook.com/voyzantsrilanka/
1. Access: Request Live Portal
1.1. Top destinations: Singapore, Thailand, Vietnam, Japan &amp; Korea 
1.2. Source market: Sri-Lanka.
1.3. Forecast: 50–100 bookings per month, to be reviewed.
1.4. Terms: Billing in SGD, on prepaid payment terms.</t>
  </si>
  <si>
    <t>To set-up Live Portal by end of 29/7</t>
  </si>
  <si>
    <t>Sales meeting: 29/7 - LT (SG)-PIC, Hee Jun  x OMH
1. NDA — NDA (OMH) to be signed &amp; LT to provide Mutual NDA to be signed by OMH.
2. Direct API — To align on the integration timeline and the main coordinator (Hee Jun). Open API to be provided by LT to OMH to develop.
   2.1 Markets — Source markets: China and India. Main destination countries: Japan and Korea.
   2.2 Deposit &amp; Settlement (SGD) — Request to be waived on a mutual basis, in view of the 500+ direct MY hotels contracts (by Q4 2026-have not key in their system). Proposed settlement: Bi-weekly (3-5days)
   2.3 Booking expectations — To be updated by Hee Jun.
Next step:
Open API meeting between LT and OMH.
   A. LT purchasing Marina Bay Sands from OMH.
   B. Proposed Disney Cruise (Michael).</t>
  </si>
  <si>
    <t>API.*To solve Agent do not have own in-house IT to manage API. To schedule finalised (details) meeting next week.</t>
  </si>
  <si>
    <t>Sales meeting: 29/7 – RateHawk
To kick-start our integration efficiently, we propose to begin with OMH selling our inventory to RateHawk first, then bring the RateHawk-to-OMH direction live shortly after.
This lets us get the connection running quickly while the commercial terms are finalised.
Recap of proposed terms (under our internal review):
Credit Limit: USD 20,000 (based on check-in/check-out)
Invoice frequency: one invoice per month
Reconciliation period: 25 days
Credit limit calculation: based on check-in/check-out dates
Business context:
Main source market: Russia
Countries (Main): Japan &amp; Korea
Booking performance forecast (to be reviewed): 400–500 bookings daily
Next steps:
Jesvin @Jesvin Chan — to provide the mutual cross-sell agreement (covering both directions) for our review and internal approval. [Key follow-up]
OMH — pre-integration questionnaire completed and attached.
Development — API integration estimated at ~2 weeks via the OpenAPI documentation (https://openapi.emergingtravel.com/)</t>
  </si>
  <si>
    <t>Tana Travel (Turkey)</t>
  </si>
  <si>
    <t>Chaser-sales 29/7(Ben's takeover)</t>
  </si>
  <si>
    <t>Sales meeting on 11Aug</t>
  </si>
  <si>
    <t>EhotelXml (Italy)</t>
  </si>
  <si>
    <t>Rahat Asman Travel &amp; Tourism (Turk)</t>
  </si>
  <si>
    <t>Safa Soft (SA)</t>
  </si>
  <si>
    <t>Kliknbook</t>
  </si>
  <si>
    <t>Chaser-sales 30/7(Ben's takeover)</t>
  </si>
  <si>
    <t>Carita Nara (Indo, Jakarta)</t>
  </si>
  <si>
    <t>Sales meeting 31/7: Carita Nara (Indo, Jakarta- B2C,CTM) 
1. Access request: Live Portal to begin immediately
1.1. Top destinations: Singapore(1st), Japan(2nd) &amp; Vietnam, potential Thailand.
1.2. Source market: Indonesia.
1.3. Forecast: 80-100 bookings per month (for start.) *Agent to share their Top list for SG Hotels.
1.4. Terms: Billing in SGD, on prepaid payment terms.</t>
  </si>
  <si>
    <t>To set-up Live Portal by 4 Aug</t>
  </si>
  <si>
    <t>Live Portal created 2 Aug. Pending Singapore Hotel List from agent.</t>
  </si>
  <si>
    <t>Cleartrip (India,Bengaluru)&gt;Flipcart, OTA</t>
  </si>
  <si>
    <t>Chaser E-sales 2/8</t>
  </si>
  <si>
    <r>
      <rPr>
        <sz val="9"/>
        <color rgb="FFFF0000"/>
        <rFont val="Calibri"/>
        <scheme val="minor"/>
      </rPr>
      <t>Chaser 3/8&lt;</t>
    </r>
    <r>
      <rPr>
        <sz val="9"/>
        <color rgb="FF000000"/>
        <rFont val="Calibri"/>
        <scheme val="minor"/>
      </rPr>
      <t xml:space="preserve"> 13/7: Ottila (B2B/Wholesaler), based. India(Mumbai). Source markets: Main-India, Middle East. Options:*A.Direct API, TA develop; we will not pay. B.TA connect to us -TBC. Current Daily booking performance: 4,000 bookings daily. Booking performance forecast review expected: 400-500 bookings per day. Proposed Contract condition: USD30K-BG, Bi-weekly(Payment due date: 5days).</t>
    </r>
  </si>
  <si>
    <r>
      <rPr>
        <sz val="9"/>
        <color rgb="FFFF0000"/>
        <rFont val="Calibri"/>
        <scheme val="minor"/>
      </rPr>
      <t>Chaser3/8&lt;</t>
    </r>
    <r>
      <rPr>
        <sz val="9"/>
        <color rgb="FF000000"/>
        <rFont val="Calibri"/>
        <scheme val="minor"/>
      </rPr>
      <t xml:space="preserve"> Sales(New account) meeting 11/7: Roomforless (B2B/Wholesaler), based.US(NY). Source markets: Main-Middle East &amp; Europe(UK). Direct API, Travel compositor. Current Daily booking performance: 2,000(Non peak), 5,000(Peak). **Agent currently not working/partnering with any supplier/inventories on our 3 Major-3 Countries(Japan, Korea &amp; Vietnam). Booking performance forecast review expected: 30-40 bookings per day. Proposed Contract condition: USD30K-BG, Bi-weekly(Payment due date: 5days).</t>
    </r>
  </si>
  <si>
    <t>Smartway Travel Group</t>
  </si>
  <si>
    <t>Chaser-sales 3/8 (Ben's takeover)</t>
  </si>
  <si>
    <r>
      <rPr>
        <sz val="9"/>
        <color rgb="FFFF0000"/>
        <rFont val="Calibri"/>
        <scheme val="minor"/>
      </rPr>
      <t>Chaser 3/8&lt;</t>
    </r>
    <r>
      <rPr>
        <sz val="9"/>
        <color rgb="FF000000"/>
        <rFont val="Calibri"/>
        <scheme val="minor"/>
      </rPr>
      <t xml:space="preserve"> 21/7. FCM Singapore (CTM), based SG (HQ). Source market: Singapore. Top country: Vietnam. Interested to partner us for FITs &amp; Government MICE Groups. Booking performance forecast review: 200-300 bookings Per month. Agent request/to do: send Test portal for review evaluation approval.</t>
    </r>
  </si>
  <si>
    <r>
      <rPr>
        <sz val="9"/>
        <color rgb="FFFF0000"/>
        <rFont val="Calibri"/>
        <scheme val="minor"/>
      </rPr>
      <t>Chaser3/8&lt;</t>
    </r>
    <r>
      <rPr>
        <sz val="9"/>
        <color rgb="FF000000"/>
        <rFont val="Calibri"/>
        <scheme val="minor"/>
      </rPr>
      <t xml:space="preserve"> Sales(New account) meeting 22/7:
https://affiliate.yalago.com/Home/Welcome?returnUrl=%2F#about
Dnata, Yalago(under Emirates group) -Wholesaler, based. Dubai, UAE.
Background: Only work with 5 Suppliers currently. Selling: ***For Suppliers (Seller) to qualify requires Health &amp; Safety Certificate- for our Company*Agent will share/connect their in-house Health &amp; Safety PIC for procedures(Timeline: To be confirmed) &amp; Hotels (under our inventory).
Interested in our 2 Main Countries: Japan &amp; Korea ***Currently NO direct contracts in these 2 Countries.
Source markets (100+ distribution channels): Main-Europe(UK),Primary-Dubai.
API- Open API, OMH to develop.
Booking performance forecast review expected: 800-1000 bookings per day.
F/U- Next step, Agent will provide/email us: Documents details for OMH to sell, Health&amp; Safety Certification procedures and Buying contract reference for review.
Buying(Propose from Dnata,Yalago), If interest: 3 Top Countries offered: Thailand, Indonesia,(Bali) &amp; Malaysia -(Direct contracts).  Cc. Mr. Sang.
Sang Kyu Yoo (Sang)
Proposed Mutual Partnership Contract condition: To be discuss (To check with Mr.Aiden)
***To further discuss with Mr.Aiden. Thank you.</t>
    </r>
  </si>
  <si>
    <t>Sales meeting F/U 23/7: 1.NDA sent,
2.Commercial agreement (from Bronevik)
3.To revert on which connectivity TGX (from Bronevik)</t>
  </si>
  <si>
    <t>myGO(Bel)</t>
  </si>
  <si>
    <r>
      <rPr>
        <sz val="9"/>
        <color rgb="FFFF0000"/>
        <rFont val="Calibri"/>
        <scheme val="minor"/>
      </rPr>
      <t xml:space="preserve">NDA Chaser3/8-NDA&lt; </t>
    </r>
    <r>
      <rPr>
        <sz val="9"/>
        <color rgb="FF000000"/>
        <rFont val="Calibri"/>
        <scheme val="minor"/>
      </rPr>
      <t>Sales(New account) meeting 24/7: myGO (Based in Belgium, B2B Travel Tech operator, wholesaler)
1.Pending NDA to be signed/returned (myGO)
2.Direct API.
3. Countries: Malaysia(Top5), Japan, Korea &amp; Vietnam.
4,Markets sources: Top 3: Algeria, France &amp; Belgium.
5.Booking performance forecast review expected: 30-50 booking per day.
6.Agency proposed Deposit US$10K-BG, Bi-weekly payment (5-7days).</t>
    </r>
  </si>
  <si>
    <t>F/U-Timeline by end Aug. A. Request top hotels list (Countries).</t>
  </si>
  <si>
    <r>
      <rPr>
        <sz val="9"/>
        <color rgb="FFFF0000"/>
        <rFont val="Calibri"/>
        <scheme val="minor"/>
      </rPr>
      <t>Chaser3/8&lt;</t>
    </r>
    <r>
      <rPr>
        <sz val="9"/>
        <color rgb="FF000000"/>
        <rFont val="Calibri"/>
        <scheme val="minor"/>
      </rPr>
      <t xml:space="preserve"> Tele-sales 3/7. Emailed &amp; no reply from PIC yet.</t>
    </r>
  </si>
  <si>
    <t>To visit TA directly at NATAS (Aug'26)</t>
  </si>
  <si>
    <r>
      <rPr>
        <sz val="9"/>
        <color rgb="FFFF0000"/>
        <rFont val="Calibri"/>
        <scheme val="minor"/>
      </rPr>
      <t>Chaser3/8&lt;</t>
    </r>
    <r>
      <rPr>
        <sz val="9"/>
        <color rgb="FF000000"/>
        <rFont val="Calibri"/>
        <scheme val="minor"/>
      </rPr>
      <t xml:space="preserve"> E-sales 10/7 -Check-in next week(at Fair)</t>
    </r>
  </si>
  <si>
    <r>
      <rPr>
        <sz val="9"/>
        <color rgb="FFFF0000"/>
        <rFont val="Calibri"/>
        <scheme val="minor"/>
      </rPr>
      <t>Chaser3/8&lt;</t>
    </r>
    <r>
      <rPr>
        <sz val="9"/>
        <color rgb="FF000000"/>
        <rFont val="Calibri"/>
        <scheme val="minor"/>
      </rPr>
      <t xml:space="preserve"> Tele-sales 11/7</t>
    </r>
  </si>
  <si>
    <r>
      <rPr>
        <sz val="9"/>
        <color rgb="FFFF0000"/>
        <rFont val="Calibri"/>
        <scheme val="minor"/>
      </rPr>
      <t>Chaser3/8&lt;</t>
    </r>
    <r>
      <rPr>
        <sz val="9"/>
        <color rgb="FF000000"/>
        <rFont val="Calibri"/>
        <scheme val="minor"/>
      </rPr>
      <t xml:space="preserve"> Tele-sales 10/7.Emailed &amp; no reply from PIC yet.</t>
    </r>
  </si>
  <si>
    <t>ASA Holidays</t>
  </si>
  <si>
    <t>E-sales 3/8</t>
  </si>
  <si>
    <t xml:space="preserve">L.G.E Travel </t>
  </si>
  <si>
    <t>Travel 21</t>
  </si>
  <si>
    <t>Search Travel</t>
  </si>
  <si>
    <r>
      <rPr>
        <sz val="9"/>
        <color rgb="FFFF0000"/>
        <rFont val="Calibri"/>
        <scheme val="minor"/>
      </rPr>
      <t>Chaser3/8&lt;</t>
    </r>
    <r>
      <rPr>
        <sz val="9"/>
        <color rgb="FF000000"/>
        <rFont val="Calibri"/>
        <scheme val="minor"/>
      </rPr>
      <t>E-sales 28/7</t>
    </r>
  </si>
  <si>
    <r>
      <rPr>
        <sz val="9"/>
        <color rgb="FFFF0000"/>
        <rFont val="Calibri"/>
        <scheme val="minor"/>
      </rPr>
      <t>3/8-Main Authorised PIC rejected us.</t>
    </r>
    <r>
      <rPr>
        <sz val="9"/>
        <color rgb="FF000000"/>
        <rFont val="Calibri"/>
        <scheme val="minor"/>
      </rPr>
      <t xml:space="preserve"> &lt;21/7. FCM Singapore (CTM), based SG (HQ). Source market: Singapore. Top country: Vietnam. Interested to partner us for FITs &amp; Government MICE Groups. Booking performance forecast review: 200-300 bookings Per month. Agent request/to do: send Test portal for review evaluation approval.</t>
    </r>
  </si>
  <si>
    <r>
      <rPr>
        <sz val="9"/>
        <color rgb="FFFF0000"/>
        <rFont val="Calibri"/>
        <scheme val="minor"/>
      </rPr>
      <t>3/8 Pending deposit negotiation reply: 1. Deposit: USD 20,000
2. Credit ratio: 1:2 — credit limit USD 40,000
3. Settlement: Bi-weekly (as proposed)
This keeps the USD 40,000 credit limit that Travelata is looking for, with a 1:2 ratio and a USD 20,000 deposit&lt;</t>
    </r>
    <r>
      <rPr>
        <sz val="9"/>
        <color rgb="FF000000"/>
        <rFont val="Calibri"/>
        <scheme val="minor"/>
      </rPr>
      <t>Sales meeting notes: 30/7 - Travelata (Russia)*Contracting via UAE Entity -PIC, Pavel  x OMH 
1. NDA — Signed; received.
2. Direct API — To align on the integration timeline and the main coordinator-Pavel. Open API to be provided for Travelata to develop OMH. 
   2.1 Markets — Source markets: Main Russia. Main destination countries: Vietnam(1), Thailand(2), Korea &amp; Singapore.
   2.2 Deposit &amp; Settlement (USD) — Proposed Deposit USD10K, Credit facility (1:4) ,Proposed settlement: Bi-weekly(3-5days).
   2.3 Booking expectations — 5-10 bookings per day.
Next steps:
1.To send SA, 2. Open API meeting. 3. Pavel to share the Toplist Hotels for Vietnam &amp; Thailand.</t>
    </r>
  </si>
  <si>
    <t>Super Travels</t>
  </si>
  <si>
    <t>WEBUY TRAVEL</t>
  </si>
  <si>
    <t>Yoyo Holidays</t>
  </si>
  <si>
    <t>WINS TRAVEL &amp; TOURS</t>
  </si>
  <si>
    <t>iwannatravel</t>
  </si>
  <si>
    <t>Blue Sky Escapes</t>
  </si>
  <si>
    <t>Golden Tropics Travel and Tours (MY)</t>
  </si>
  <si>
    <t>Pearl Holiday (M) Travel &amp; Tour (MY)</t>
  </si>
  <si>
    <t>Reliance Premier Travel (MY)</t>
  </si>
  <si>
    <t xml:space="preserve">4/8: NDA signed.
Happy to explore both directions. To keep momentum, may I suggest we start with the selling side first (OMH inventory to RoomForless), based on the proposed terms below:
1. Security: USD 30K bank guarantee
2. Credit ratio: 1:2
3. Settlement: Bi-weekly (payment due 5–7 days)
4. Booking forecast (conservative): 30–40 bookings per day </t>
  </si>
  <si>
    <t>To connect this or next week.</t>
  </si>
  <si>
    <t>Cleartrip (India)</t>
  </si>
  <si>
    <t>E-sales 4/8</t>
  </si>
  <si>
    <t>Arrange for meeting next week.</t>
  </si>
  <si>
    <t>MMT MICE (India)</t>
  </si>
  <si>
    <t>Account servicing</t>
  </si>
  <si>
    <t>1. Dispute handling / ticketing
Our open tickets were auto completed and moved to a "new Salesforce ticket" system we can't access, leaving live disputes (e.g. booking 1743531462 / K26070310562H01) without visibility.
Marie: Done/replied.
_
2. Driving our KPI — 500 bookings/day
July was strong (11,379 bookings, avg 367/day, peak 504 on 12 July).
To reach 500/day, we'll work together as follows:
  • Marie: share the price optimization findings report and review our Top 10 hotels for promo opportunities (Japan, Korea, Vietnam, Thailand).
For reference, our live Weekly Top-Selling Hotels dashboard is here: 
OhMyHotel · Weekly Top-Selling Hotels (No login required · works on desktop &amp; mobile)
Marie to also share the Top hotels list for our new markets, Singapore &amp; Malaysia.
  • Bryant: expand our direct contracts and add Singapore &amp; Malaysia inventory for Agoda.
3. End-of-month dip — to investigate
We noticed a sharp drop in bookings at the end of July (see attached chart).
Bookings are back on track now — Marie is monitoring and tracking and will revert on the findings.</t>
  </si>
  <si>
    <t>Timeline by end Aug.</t>
  </si>
  <si>
    <t>4/8 - The following 2 hotels are now optimised and open for sell — please go ahead and start pushing bookings in for us right away:
Vietnam
1. Melia Vinpearl Thanh Hoa (Thanh Hoa) — ID 349340 — ~59 bookings/month
2. Melia Vinpearl Danang Riverfront (Da Nang) — ID 298621 — ~43 bookings/month
For the remaining 4, we've started contracting and are following up with the hotel PICs to reopen them. I'll update you as soon as each is live:
3. Radisson Resort Phan Thiet (Binh Thuan, Lam Dong) — ID 740559 — ~53 bookings/month
4. Muong Thanh Grand Da Nang Hotel (Da Nang) — ID 703088 — ~51 bookings/month
5. Mimosa Hotel Phu Quoc (Kien Giang, An Giang) — ID 1001594 — ~42 bookings/month
6. The Imperial Vung Tau Hotel (Ba Ria - Vung Tau, Ho Chi Minh) — ID 343262 — ~41 bookings/month
Across these 6, that's around 289 bookings/month of immediate volume we can capture once open. Let's get the 2 live ones moving first!
We're also working on the other hotels in the pipeline, and I'll keep you posted on the sourcing status as they progress.</t>
  </si>
  <si>
    <r>
      <rPr>
        <sz val="9"/>
        <color rgb="FFFF0000"/>
        <rFont val="Calibri"/>
        <scheme val="minor"/>
      </rPr>
      <t xml:space="preserve">4/8&lt; </t>
    </r>
    <r>
      <rPr>
        <sz val="9"/>
        <color rgb="FF000000"/>
        <rFont val="Calibri"/>
        <scheme val="minor"/>
      </rPr>
      <t>top 500 hotels — great to see the strong Malaysia demand from your North Africa customers.
This fits our SEA expansion very well: we're currently expanding our Malaysia hotels list aggressively, so we're well placed to support your growing demand.
Reviewed your points — here's our position on the key items:
1. Security / deposit — we do require form of security
A quick illustration of why, on a conservative basis:
  • 30 bookings/day × Malaysia avg rate USD 70–210 = ~USD 63,000–189,000 booking value per month
  • Bi-weekly exposure alone = ~USD 31,000–94,000
  • An unsecured line at this turnover is too risky for us
Proposed starting structure:
  • Deposit or bank guarantee: USD 30,000
  • Credit ratio 1:2 — credit limit USD 60,000
  • Settlement: Bi-weekly (payment period 3–5 days)
This gives you a healthy USD 60,000 working limit while keeping both sides comfortable at the start. If a cash deposit isn't ideal on your end, we will review to accept a bank guarantee instead — whichever works better for you.
We can review and relax the terms further as performance builds.
Please do send your latest financial statements — that will help us align internally on terms. Could you also kindly share the booking volume (room nights/month) for your top Malaysia hotels, so we can prioritise and match our inventory to your demand?
2. Connectivity — we'd propose direct API
We understand the cost concern, but direct API remains our preferred route: it gives the most stable, real-time performance and avoids third-party fees and dependencies on both sides.
We're happy to make the integration as smooth as possible for your team - Propose OMH to develop.
_
Recap of our proposed starting structure:
1. Signed NDA (from your side) — priority first step
1.1 Supplier Agreement
2. Deposit / bank guarantee (USD 30K, 1:2 → USD 60K limit, bi-weekly 3–5 days)
3. Direct API connectivity — our dev teams to align
4. API agreement for review, once the above are clarified</t>
    </r>
  </si>
  <si>
    <t>Ipoh Overland Tours &amp; Travel (MY)</t>
  </si>
  <si>
    <t>E-sales 5/8</t>
  </si>
  <si>
    <t>Hi Aiden, FYI. I will connect with them (MY). Ref.Malaysian travellers rewrite the rules of outbound travel | TTG Asia </t>
  </si>
  <si>
    <t>DeKim Tour &amp; Travel (MY)</t>
  </si>
  <si>
    <t>Suka Travel &amp; Tours</t>
  </si>
  <si>
    <t>Tiket.com (Indo)</t>
  </si>
  <si>
    <t>Sales meeting 5/8: Tiket, OTA (Indonesia) ***Buying &amp; Coss-sell 
Direct API (Tiket to develop) 
1. Tiket NDA Urgent Pending to be approved (Action by Sophia)
1.1. Top destinations: Singapore(1st), Malaysia (2nd), Japan(3rd), Thailand &amp; Korea
1.2. Source market: Indonesia.
1.3. Expected booking volume: 300-500 bookings per day ***Urgent request to start buying by 1st Oct.</t>
  </si>
  <si>
    <t xml:space="preserve">Meeting notes 5/8:
NDA signed on both sides. Restel shared their Asia Top-Selling 100 list and their contract (under our review). @Jungwon Yoon (Sophia)
Integration = via TGX (Travelgate) switch — Restel has limited IT, so they prefer TGX. They asked whether we'll go TGX or another switch / direct. @Iker Zhong To revert of possibility to Direct API.
Restel's latest asks (7/24): (1) an update on our integration plan (TGX vs other switch), and (2) they want only our direct-contract inventory (3–5★) — please share that list. @Iker Zhong @Tan Tiong Soon (Bryant) Bryant to revert.
</t>
  </si>
  <si>
    <t>Updates 6/8- I had a meeting with the CEO today and I informed him that Sabre is not taking in new partnerships. Based on that, we would have to politely decline to work with OMH. If you could get on the Sabre Hotel Partnership program, then we can reconsider a partnership with OMH but at this present moment, we do not have the resources to assign a team to add OMH to our platform for automation.</t>
  </si>
  <si>
    <t>11-14/8</t>
  </si>
  <si>
    <t>OneTwoTrip (RU)</t>
  </si>
  <si>
    <t>E-sales 11/8</t>
  </si>
  <si>
    <t xml:space="preserve">MIKI Travel </t>
  </si>
  <si>
    <t>Takeover from Grace</t>
  </si>
  <si>
    <t xml:space="preserve">Updates 11/8- please find our Top Hotels List attached for your reference:
OhMyHotel · Weekly Top-Selling Hotels 
(No login required · works on desktop &amp; mobile)
Quoted. please indicate which hotels you have strong deals, such as special offers or pre-buy programs with high productivity - We will prioritize the price checks accordingly.
_
Once you've had a chance to run the price-competitiveness check on your end, I'd be delighted to arrange a catch-up meeting to discuss how we can work together.
</t>
  </si>
  <si>
    <r>
      <rPr>
        <sz val="9"/>
        <color rgb="FFFF0000"/>
        <rFont val="Calibri"/>
        <scheme val="minor"/>
      </rPr>
      <t xml:space="preserve">10/8&lt; </t>
    </r>
    <r>
      <rPr>
        <sz val="9"/>
        <color rgb="FF000000"/>
        <rFont val="Calibri"/>
        <scheme val="minor"/>
      </rPr>
      <t>Following our catch-up with Within Earth (Nisa &amp; Jack), we've aligned on the terms to move ahead with the cross-selling partnership.
Seeking your kind approval on the two key points below before we finalize:
1. Entity &amp; deposit — OMH to provide an entity incorporated for more than 3 years (to meet their insurance requirement), in exchange for a mutual waiver of the deposit for the cross-selling arrangement.
On our side, this would mean using our Vietnam or Korea entity (both over 3 years).
2. Connectivity — to begin the integration via TGX (TravelgateX) first, then convert to direct API once booking volume builds up.
Could you kindly confirm if these are agreeable? Once you approve, I'll proceed with the next steps.</t>
    </r>
  </si>
  <si>
    <t>Pend for Aiden approval.</t>
  </si>
  <si>
    <t>Level Travel (RU)</t>
  </si>
  <si>
    <t>E-sales 10/8</t>
  </si>
  <si>
    <t>Anex Tour (RU)</t>
  </si>
  <si>
    <t>Skyscanner (UK)</t>
  </si>
  <si>
    <t>Culture shapes Indian travel choices: Skyscanner | TTG Asia</t>
  </si>
  <si>
    <t>Webuy (SG)</t>
  </si>
  <si>
    <t>E-sales 11/8, We are interested in exploring a potential collaboration with OhMyHotel, especially for Japan. 
You are welcome to visit our booth during NATAS.</t>
  </si>
  <si>
    <t>Tripjack (India,B2B)</t>
  </si>
  <si>
    <t xml:space="preserve">E-sales 11/8 </t>
  </si>
  <si>
    <t>RezLive.com (India, Bedbank)</t>
  </si>
  <si>
    <t>Via.com (Ebix Travels) (India)</t>
  </si>
  <si>
    <r>
      <t xml:space="preserve">Chaser-sales 29/7(Ben's takeover) </t>
    </r>
    <r>
      <rPr>
        <sz val="9"/>
        <color rgb="FFFF0000"/>
        <rFont val="Calibri"/>
        <scheme val="minor"/>
      </rPr>
      <t xml:space="preserve">&lt;12/8 </t>
    </r>
    <r>
      <rPr>
        <sz val="9"/>
        <color rgb="FF000000"/>
        <rFont val="Calibri"/>
        <scheme val="minor"/>
      </rPr>
      <t>Interest in a cross-selling collaboration, especially around our Japan, Korea &amp; Vietnam inventory.
1.On the technical point — good news: OMH is able to connect via TravelgateX. Our interconnection with TGX is expected to go live in September.
This means we can connect through TGX directly, and skip the dedicated Netstorming development cost (EUR 3,500) altogether.
2.As a next step, could you kindly share your cross-sell properties / inventory for our review? I've also copied my colleague, Ms. Sophia (Jungwon Yoon) @Jungwon Yoon (Sophia), who is in charge of buying on our side.
Once we've had a chance to go through it, I'd be glad to arrange a call to discuss the collaboration and next steps in detail.</t>
    </r>
  </si>
  <si>
    <t xml:space="preserve">Pend for cross-sell properties inventory from EhotelXml </t>
  </si>
  <si>
    <t>Yatra (India,OTA/TM)</t>
  </si>
  <si>
    <t xml:space="preserve">E-sales 12/8 </t>
  </si>
  <si>
    <t>Riya Travel (India,B2B)</t>
  </si>
  <si>
    <t>ixigo (India,OTA)</t>
  </si>
  <si>
    <t>Musafir India (OTA)</t>
  </si>
  <si>
    <t>Yandex.Travel (RU,B2B)</t>
  </si>
  <si>
    <t>Tutu.ru (OTA)</t>
  </si>
  <si>
    <t>AnywayAnyday (OTA)</t>
  </si>
  <si>
    <r>
      <rPr>
        <sz val="9"/>
        <color rgb="FFFF0000"/>
        <rFont val="Calibri"/>
        <scheme val="minor"/>
      </rPr>
      <t>12/8:</t>
    </r>
    <r>
      <rPr>
        <sz val="9"/>
        <color rgb="FF000000"/>
        <rFont val="Calibri"/>
        <scheme val="minor"/>
      </rPr>
      <t>Thank you for the clear update, and we're happy to align with your preference.
1. 2-way integration &amp; Malaysia products — understood, and we're glad to proceed with the 2-way (buy &amp; sell) integration from the start to enable cross-selling between both parties.
Whenever convenient, could you kindly share an estimated timeline for when your Malaysia products will be ready? This will help us plan and time our development accordingly on our side.
2. NDA — no problem at all; we're happy to proceed with the NDA signing once your Malaysia products are ready.</t>
    </r>
  </si>
  <si>
    <t>On-hold - Pend for their Malaysia Hotels (500) List ready.</t>
  </si>
  <si>
    <t>Ostrovok (RU,OTA)</t>
  </si>
  <si>
    <t>Recap of terms discussed (12 Aug, 9PM SGT):
1. Security deposit — requested to be waived on a mutual cross-selling basis:
RoomForless offers their 50K direct-contracted hotels, and OMH offers our direct inventory (Japan, Korea, Vietnam + growing SEA portfolio) in return.
2. Settlement — USD, bi-weekly (payment due 3–5 days).
3. Booking forecast (conservative) — 30–40 bookings/day to start.
3.1. Their main source markets — UAE, UK &amp; the Americas.
4. Connectivity — RoomForless will develop the connection.
Sophia — could you kindly help review their hotel list on the buying side, so we can assess the fit.
Aiden — kindly advise if you're agreeable to proceed on these terms, in particular the mutual deposit waiver on a cross-selling basis (differs from our usual deposit stance but justified here by the two-way inventory exchange).</t>
  </si>
  <si>
    <t>14/8.We'll review it on our side (Ms. Sophia on our buying side.)
To help us assess the fit and align our inventory to your demand, could you kindly share the following:
1. Estimated daily bookings you'd anticipate for our inventory (Japan, Korea &amp; Vietnam).
2. Your main source markets for bookings.
3. Your top destinations.
4. Your top hotels list.
With these, we can prioritize accordingly and match our supply to where your demand is strongest.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</si>
</sst>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0%"/>
    <numFmt numFmtId="178" formatCode="m&quot;월&quot;\ d&quot;일&quot;"/>
    <numFmt numFmtId="179" formatCode="mm&quot;월&quot;\ dd&quot;일&quot;"/>
    <numFmt numFmtId="180" formatCode="0&quot;일&quot;"/>
  </numFmts>
  <fonts count="101">
    <font>
      <sz val="11"/>
      <color theme="1"/>
      <name val="맑은 고딕"/>
      <family val="2"/>
      <scheme val="minor"/>
    </font>
    <font>
      <sz val="11"/>
      <color theme="1"/>
      <name val="Calibri"/>
      <family val="2"/>
    </font>
    <font>
      <b/>
      <sz val="11"/>
      <color rgb="FFFFFFFF"/>
      <name val="맑은 고딕"/>
      <family val="3"/>
      <charset val="129"/>
    </font>
    <font>
      <sz val="8"/>
      <name val="맑은 고딕"/>
      <family val="3"/>
      <charset val="129"/>
      <scheme val="minor"/>
    </font>
    <font>
      <u/>
      <sz val="11"/>
      <color theme="10"/>
      <name val="맑은 고딕"/>
      <family val="2"/>
      <scheme val="minor"/>
    </font>
    <font>
      <sz val="9"/>
      <color theme="1"/>
      <name val="맑은 고딕"/>
      <family val="2"/>
      <scheme val="major"/>
    </font>
    <font>
      <sz val="9"/>
      <color theme="1"/>
      <name val="맑은 고딕"/>
      <family val="2"/>
      <scheme val="minor"/>
    </font>
    <font>
      <b/>
      <sz val="9"/>
      <color theme="1"/>
      <name val="맑은 고딕"/>
      <family val="2"/>
      <scheme val="minor"/>
    </font>
    <font>
      <sz val="11"/>
      <color rgb="FF000000"/>
      <name val="Calibri"/>
      <family val="2"/>
    </font>
    <font>
      <b/>
      <sz val="14"/>
      <color rgb="FF1F3864"/>
      <name val="맑은 고딕"/>
      <family val="2"/>
      <scheme val="minor"/>
    </font>
    <font>
      <i/>
      <sz val="10"/>
      <color rgb="FF808080"/>
      <name val="맑은 고딕"/>
      <family val="2"/>
      <scheme val="minor"/>
    </font>
    <font>
      <b/>
      <sz val="10"/>
      <color rgb="FF2F5496"/>
      <name val="맑은 고딕"/>
      <family val="2"/>
      <scheme val="minor"/>
    </font>
    <font>
      <sz val="10"/>
      <color rgb="FF333333"/>
      <name val="맑은 고딕"/>
      <family val="2"/>
      <scheme val="minor"/>
    </font>
    <font>
      <b/>
      <sz val="11"/>
      <color rgb="FFFFFFFF"/>
      <name val="맑은 고딕"/>
      <family val="2"/>
      <scheme val="minor"/>
    </font>
    <font>
      <sz val="9"/>
      <color rgb="FF000000"/>
      <name val="맑은 고딕"/>
      <family val="3"/>
      <charset val="129"/>
    </font>
    <font>
      <sz val="11"/>
      <color rgb="FF000000"/>
      <name val="맑은 고딕"/>
      <family val="3"/>
      <charset val="129"/>
    </font>
    <font>
      <sz val="11"/>
      <color theme="1"/>
      <name val="맑은 고딕"/>
      <family val="2"/>
      <charset val="129"/>
      <scheme val="minor"/>
    </font>
    <font>
      <sz val="11"/>
      <color theme="1"/>
      <name val="맑은 고딕"/>
      <family val="2"/>
      <scheme val="minor"/>
    </font>
    <font>
      <b/>
      <sz val="9"/>
      <color rgb="FFFFFFFF"/>
      <name val="맑은 고딕"/>
      <family val="3"/>
      <charset val="129"/>
    </font>
    <font>
      <i/>
      <sz val="9"/>
      <color rgb="FF548235"/>
      <name val="맑은 고딕"/>
      <family val="3"/>
      <charset val="129"/>
    </font>
    <font>
      <sz val="10"/>
      <color rgb="FF000000"/>
      <name val="Calibri"/>
      <family val="2"/>
    </font>
    <font>
      <sz val="10"/>
      <color rgb="FFFF0000"/>
      <name val="Calibri"/>
      <family val="2"/>
    </font>
    <font>
      <b/>
      <sz val="10"/>
      <color theme="0"/>
      <name val="Calibri"/>
      <family val="2"/>
    </font>
    <font>
      <sz val="10"/>
      <color theme="1"/>
      <name val="맑은 고딕"/>
      <family val="2"/>
      <charset val="129"/>
      <scheme val="minor"/>
    </font>
    <font>
      <sz val="10"/>
      <color theme="1"/>
      <name val="Calibri"/>
      <family val="2"/>
    </font>
    <font>
      <sz val="10"/>
      <color theme="1"/>
      <name val="맑은 고딕"/>
      <family val="2"/>
      <charset val="129"/>
    </font>
    <font>
      <sz val="10"/>
      <color theme="1"/>
      <name val="맑은 고딕"/>
      <family val="3"/>
      <charset val="129"/>
    </font>
    <font>
      <sz val="10"/>
      <color rgb="FF000000"/>
      <name val="Aptos"/>
      <family val="2"/>
    </font>
    <font>
      <sz val="9"/>
      <color rgb="FF000000"/>
      <name val="맑은 고딕"/>
      <family val="2"/>
      <scheme val="minor"/>
    </font>
    <font>
      <sz val="10"/>
      <color theme="1"/>
      <name val="Noto Sans KR"/>
      <family val="3"/>
      <charset val="129"/>
    </font>
    <font>
      <sz val="11"/>
      <color theme="0"/>
      <name val="Calibri"/>
      <family val="2"/>
    </font>
    <font>
      <b/>
      <sz val="11"/>
      <color rgb="FF000000"/>
      <name val="맑은 고딕"/>
      <family val="2"/>
      <scheme val="minor"/>
    </font>
    <font>
      <b/>
      <sz val="8"/>
      <color rgb="FFFFFFFF"/>
      <name val="맑은 고딕"/>
      <family val="2"/>
      <scheme val="minor"/>
    </font>
    <font>
      <b/>
      <sz val="9"/>
      <color rgb="FFFFFFFF"/>
      <name val="맑은 고딕"/>
      <family val="2"/>
      <scheme val="minor"/>
    </font>
    <font>
      <b/>
      <sz val="10"/>
      <color rgb="FFFFFFFF"/>
      <name val="맑은 고딕"/>
      <family val="2"/>
      <scheme val="minor"/>
    </font>
    <font>
      <sz val="10"/>
      <color theme="1"/>
      <name val="맑은 고딕"/>
      <family val="2"/>
      <scheme val="minor"/>
    </font>
    <font>
      <b/>
      <sz val="9"/>
      <color rgb="FF000000"/>
      <name val="맑은 고딕"/>
      <family val="2"/>
      <scheme val="minor"/>
    </font>
    <font>
      <b/>
      <sz val="9"/>
      <color rgb="FF9C5700"/>
      <name val="맑은 고딕"/>
      <family val="2"/>
      <scheme val="minor"/>
    </font>
    <font>
      <b/>
      <sz val="9"/>
      <color rgb="FF9C0006"/>
      <name val="맑은 고딕"/>
      <family val="2"/>
      <scheme val="minor"/>
    </font>
    <font>
      <b/>
      <sz val="9"/>
      <color rgb="FF006100"/>
      <name val="맑은 고딕"/>
      <family val="2"/>
      <scheme val="minor"/>
    </font>
    <font>
      <sz val="10"/>
      <color rgb="FF000000"/>
      <name val="맑은 고딕"/>
      <family val="2"/>
      <scheme val="minor"/>
    </font>
    <font>
      <b/>
      <sz val="10"/>
      <color theme="1"/>
      <name val="Calibri"/>
      <family val="2"/>
    </font>
    <font>
      <b/>
      <sz val="9"/>
      <color theme="0"/>
      <name val="Calibri"/>
      <family val="2"/>
    </font>
    <font>
      <b/>
      <sz val="9"/>
      <color theme="1"/>
      <name val="Calibri"/>
      <family val="2"/>
    </font>
    <font>
      <sz val="11"/>
      <color rgb="FF242424"/>
      <name val="Aptos Narrow"/>
      <family val="2"/>
    </font>
    <font>
      <sz val="9"/>
      <color theme="1"/>
      <name val="맑은 고딕"/>
      <family val="1"/>
      <scheme val="major"/>
    </font>
    <font>
      <sz val="9"/>
      <color theme="1"/>
      <name val="Calibri"/>
      <family val="2"/>
    </font>
    <font>
      <b/>
      <sz val="9"/>
      <color rgb="FF000000"/>
      <name val="Calibri"/>
      <family val="2"/>
    </font>
    <font>
      <u/>
      <sz val="9"/>
      <color theme="10"/>
      <name val="Calibri"/>
      <family val="2"/>
    </font>
    <font>
      <sz val="9"/>
      <name val="Calibri"/>
      <family val="2"/>
    </font>
    <font>
      <b/>
      <sz val="9"/>
      <color rgb="FF242424"/>
      <name val="Calibri"/>
      <family val="2"/>
    </font>
    <font>
      <sz val="9"/>
      <color rgb="FF000000"/>
      <name val="Calibri"/>
      <family val="2"/>
    </font>
    <font>
      <sz val="9"/>
      <color rgb="FF242424"/>
      <name val="Calibri"/>
      <family val="2"/>
    </font>
    <font>
      <sz val="9"/>
      <color rgb="FF333333"/>
      <name val="Calibri"/>
      <family val="2"/>
    </font>
    <font>
      <sz val="9"/>
      <color rgb="FF242424"/>
      <name val="Aptos Narrow"/>
      <family val="2"/>
    </font>
    <font>
      <sz val="11"/>
      <color theme="1"/>
      <name val="맑은 고딕"/>
      <family val="2"/>
      <scheme val="minor"/>
    </font>
    <font>
      <b/>
      <sz val="24"/>
      <name val="맑은 고딕"/>
      <family val="2"/>
      <scheme val="major"/>
    </font>
    <font>
      <sz val="12"/>
      <name val="맑은 고딕"/>
      <family val="2"/>
      <scheme val="major"/>
    </font>
    <font>
      <sz val="10"/>
      <name val="맑은 고딕"/>
      <family val="2"/>
      <scheme val="major"/>
    </font>
    <font>
      <b/>
      <sz val="10"/>
      <name val="맑은 고딕"/>
      <family val="2"/>
      <scheme val="major"/>
    </font>
    <font>
      <b/>
      <sz val="12"/>
      <color rgb="FF000000"/>
      <name val="맑은 고딕"/>
      <family val="2"/>
      <scheme val="major"/>
    </font>
    <font>
      <sz val="18"/>
      <color theme="1"/>
      <name val="맑은 고딕"/>
      <family val="2"/>
      <scheme val="minor"/>
    </font>
    <font>
      <b/>
      <sz val="12"/>
      <name val="맑은 고딕"/>
      <family val="2"/>
      <scheme val="major"/>
    </font>
    <font>
      <sz val="10"/>
      <name val="Aptos Display"/>
      <family val="2"/>
    </font>
    <font>
      <b/>
      <sz val="12"/>
      <color theme="0"/>
      <name val="맑은 고딕"/>
      <family val="2"/>
      <scheme val="major"/>
    </font>
    <font>
      <b/>
      <sz val="10"/>
      <color rgb="FFFF0000"/>
      <name val="Aptos Display"/>
      <family val="2"/>
    </font>
    <font>
      <sz val="10"/>
      <color theme="1"/>
      <name val="Aptos Display"/>
      <family val="2"/>
    </font>
    <font>
      <sz val="10"/>
      <color rgb="FF000000"/>
      <name val="Aptos Display"/>
      <family val="2"/>
    </font>
    <font>
      <b/>
      <sz val="12"/>
      <color theme="1"/>
      <name val="맑은 고딕"/>
      <family val="2"/>
      <scheme val="minor"/>
    </font>
    <font>
      <b/>
      <sz val="10"/>
      <color rgb="FF0070C0"/>
      <name val="맑은 고딕"/>
      <family val="2"/>
      <scheme val="minor"/>
    </font>
    <font>
      <b/>
      <sz val="10"/>
      <color rgb="FF262626"/>
      <name val="맑은 고딕"/>
      <family val="2"/>
      <scheme val="minor"/>
    </font>
    <font>
      <b/>
      <sz val="10"/>
      <color rgb="FFC00000"/>
      <name val="맑은 고딕"/>
      <family val="2"/>
      <scheme val="minor"/>
    </font>
    <font>
      <b/>
      <sz val="10"/>
      <color theme="1"/>
      <name val="맑은 고딕"/>
      <family val="2"/>
      <scheme val="minor"/>
    </font>
    <font>
      <b/>
      <sz val="11"/>
      <color theme="1"/>
      <name val="맑은 고딕"/>
      <family val="2"/>
      <scheme val="minor"/>
    </font>
    <font>
      <b/>
      <sz val="16"/>
      <color theme="1"/>
      <name val="맑은 고딕"/>
      <family val="2"/>
      <scheme val="minor"/>
    </font>
    <font>
      <b/>
      <sz val="9"/>
      <color rgb="FFFFFFFF"/>
      <name val="Calibri"/>
      <scheme val="minor"/>
    </font>
    <font>
      <sz val="9"/>
      <color theme="1"/>
      <name val="Calibri"/>
      <scheme val="minor"/>
    </font>
    <font>
      <sz val="11"/>
      <color theme="1"/>
      <name val="Calibri"/>
      <scheme val="minor"/>
    </font>
    <font>
      <i/>
      <sz val="9"/>
      <color rgb="FF548235"/>
      <name val="Calibri"/>
      <scheme val="minor"/>
    </font>
    <font>
      <sz val="9"/>
      <color rgb="FF000000"/>
      <name val="Calibri"/>
      <scheme val="minor"/>
    </font>
    <font>
      <sz val="9"/>
      <color rgb="FF1F1F1F"/>
      <name val="Calibri"/>
      <scheme val="minor"/>
    </font>
    <font>
      <sz val="9"/>
      <color rgb="FF333333"/>
      <name val="Calibri"/>
      <scheme val="minor"/>
    </font>
    <font>
      <sz val="9"/>
      <color rgb="FF242424"/>
      <name val="Calibri"/>
      <scheme val="minor"/>
    </font>
    <font>
      <sz val="9"/>
      <color rgb="FFFF0000"/>
      <name val="Calibri"/>
      <scheme val="minor"/>
    </font>
    <font>
      <sz val="11"/>
      <color rgb="FF242424"/>
      <name val="Aptos Narrow"/>
    </font>
    <font>
      <sz val="9"/>
      <color rgb="FF000000"/>
      <name val="Aptos Display"/>
    </font>
    <font>
      <b/>
      <sz val="14"/>
      <color rgb="FFFFFFFF"/>
      <name val="맑은 고딕"/>
      <family val="2"/>
      <scheme val="minor"/>
    </font>
    <font>
      <sz val="9"/>
      <color rgb="FF0000FF"/>
      <name val="맑은 고딕"/>
      <family val="2"/>
      <scheme val="minor"/>
    </font>
    <font>
      <sz val="9"/>
      <color rgb="FF006100"/>
      <name val="맑은 고딕"/>
      <family val="2"/>
      <scheme val="minor"/>
    </font>
    <font>
      <b/>
      <sz val="9"/>
      <color rgb="FF1F3864"/>
      <name val="맑은 고딕"/>
      <family val="2"/>
      <scheme val="minor"/>
    </font>
    <font>
      <b/>
      <sz val="9"/>
      <color rgb="FF1F3864"/>
      <name val="Calibri"/>
      <family val="2"/>
    </font>
    <font>
      <b/>
      <sz val="9"/>
      <color rgb="FF375623"/>
      <name val="맑은 고딕"/>
      <family val="2"/>
      <scheme val="minor"/>
    </font>
    <font>
      <sz val="8"/>
      <color theme="1"/>
      <name val="맑은 고딕"/>
      <family val="2"/>
      <scheme val="minor"/>
    </font>
    <font>
      <b/>
      <sz val="8"/>
      <color theme="1"/>
      <name val="맑은 고딕"/>
      <family val="2"/>
      <scheme val="minor"/>
    </font>
    <font>
      <sz val="9"/>
      <color rgb="FF808080"/>
      <name val="맑은 고딕"/>
      <family val="2"/>
      <scheme val="minor"/>
    </font>
    <font>
      <sz val="10"/>
      <color rgb="FFC00000"/>
      <name val="맑은 고딕"/>
    </font>
    <font>
      <sz val="9"/>
      <color theme="1"/>
      <name val="Calibri"/>
    </font>
    <font>
      <b/>
      <sz val="9"/>
      <color rgb="FF1F3864"/>
      <name val="Calibri"/>
    </font>
    <font>
      <b/>
      <sz val="9"/>
      <color theme="1"/>
      <name val="Calibri"/>
    </font>
    <font>
      <b/>
      <sz val="9"/>
      <color theme="0"/>
      <name val="맑은 고딕"/>
      <family val="2"/>
      <scheme val="minor"/>
    </font>
    <font>
      <sz val="9"/>
      <color theme="1"/>
      <name val="맑은 고딕"/>
    </font>
  </fonts>
  <fills count="60">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D6E4F0"/>
        <bgColor indexed="64"/>
      </patternFill>
    </fill>
    <fill>
      <patternFill patternType="solid">
        <fgColor rgb="FF2F5496"/>
        <bgColor indexed="64"/>
      </patternFill>
    </fill>
    <fill>
      <patternFill patternType="solid">
        <fgColor rgb="FFE9EDF4"/>
        <bgColor indexed="64"/>
      </patternFill>
    </fill>
    <fill>
      <patternFill patternType="solid">
        <fgColor rgb="FFF2F2F2"/>
        <bgColor indexed="64"/>
      </patternFill>
    </fill>
    <fill>
      <patternFill patternType="solid">
        <fgColor theme="3" tint="0.79998168889431442"/>
        <bgColor indexed="64"/>
      </patternFill>
    </fill>
    <fill>
      <patternFill patternType="solid">
        <fgColor rgb="FF4472C4"/>
        <bgColor indexed="64"/>
      </patternFill>
    </fill>
    <fill>
      <patternFill patternType="solid">
        <fgColor rgb="FFE2EFDA"/>
        <bgColor indexed="64"/>
      </patternFill>
    </fill>
    <fill>
      <patternFill patternType="solid">
        <fgColor theme="1" tint="0.34998626667073579"/>
        <bgColor indexed="64"/>
      </patternFill>
    </fill>
    <fill>
      <patternFill patternType="solid">
        <fgColor theme="5"/>
        <bgColor indexed="64"/>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7"/>
      </patternFill>
    </fill>
    <fill>
      <patternFill patternType="solid">
        <fgColor theme="7" tint="0.79998168889431442"/>
        <bgColor indexed="65"/>
      </patternFill>
    </fill>
    <fill>
      <patternFill patternType="solid">
        <fgColor theme="9"/>
      </patternFill>
    </fill>
    <fill>
      <patternFill patternType="solid">
        <fgColor theme="9" tint="0.79998168889431442"/>
        <bgColor indexed="65"/>
      </patternFill>
    </fill>
    <fill>
      <patternFill patternType="solid">
        <fgColor rgb="FFC6EFCE"/>
        <bgColor indexed="64"/>
      </patternFill>
    </fill>
    <fill>
      <patternFill patternType="solid">
        <fgColor rgb="FFFFEB9C"/>
        <bgColor indexed="64"/>
      </patternFill>
    </fill>
    <fill>
      <patternFill patternType="solid">
        <fgColor rgb="FF305496"/>
        <bgColor indexed="64"/>
      </patternFill>
    </fill>
    <fill>
      <patternFill patternType="solid">
        <fgColor rgb="FFD9D9D9"/>
        <bgColor indexed="64"/>
      </patternFill>
    </fill>
    <fill>
      <patternFill patternType="solid">
        <fgColor rgb="FFFFC7CE"/>
        <bgColor indexed="64"/>
      </patternFill>
    </fill>
    <fill>
      <patternFill patternType="solid">
        <fgColor rgb="FFF4B084"/>
        <bgColor indexed="64"/>
      </patternFill>
    </fill>
    <fill>
      <patternFill patternType="solid">
        <fgColor rgb="FF1F4E79"/>
        <bgColor indexed="64"/>
      </patternFill>
    </fill>
    <fill>
      <patternFill patternType="solid">
        <fgColor rgb="FF5B9BD5"/>
        <bgColor indexed="64"/>
      </patternFill>
    </fill>
    <fill>
      <patternFill patternType="solid">
        <fgColor rgb="FFDAEEF3"/>
        <bgColor indexed="64"/>
      </patternFill>
    </fill>
    <fill>
      <patternFill patternType="solid">
        <fgColor rgb="FF00FF99"/>
        <bgColor indexed="64"/>
      </patternFill>
    </fill>
    <fill>
      <patternFill patternType="solid">
        <fgColor rgb="FFFF00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EBF1DE"/>
        <bgColor indexed="64"/>
      </patternFill>
    </fill>
    <fill>
      <patternFill patternType="solid">
        <fgColor rgb="FF1F3864"/>
        <bgColor indexed="64"/>
      </patternFill>
    </fill>
    <fill>
      <patternFill patternType="solid">
        <fgColor rgb="FF2F5597"/>
        <bgColor indexed="64"/>
      </patternFill>
    </fill>
    <fill>
      <patternFill patternType="solid">
        <fgColor rgb="FF548235"/>
        <bgColor indexed="64"/>
      </patternFill>
    </fill>
    <fill>
      <patternFill patternType="solid">
        <fgColor rgb="FFBF8F00"/>
        <bgColor indexed="64"/>
      </patternFill>
    </fill>
    <fill>
      <patternFill patternType="solid">
        <fgColor rgb="FF404040"/>
        <bgColor indexed="64"/>
      </patternFill>
    </fill>
    <fill>
      <patternFill patternType="solid">
        <fgColor rgb="FF375623"/>
        <bgColor indexed="64"/>
      </patternFill>
    </fill>
    <fill>
      <patternFill patternType="solid">
        <fgColor rgb="FF7F6000"/>
        <bgColor indexed="64"/>
      </patternFill>
    </fill>
    <fill>
      <patternFill patternType="solid">
        <fgColor rgb="FFC9D9F0"/>
        <bgColor indexed="64"/>
      </patternFill>
    </fill>
    <fill>
      <patternFill patternType="solid">
        <fgColor rgb="FFD6E9C6"/>
        <bgColor indexed="64"/>
      </patternFill>
    </fill>
    <fill>
      <patternFill patternType="solid">
        <fgColor rgb="FFFDE9A9"/>
        <bgColor indexed="64"/>
      </patternFill>
    </fill>
    <fill>
      <patternFill patternType="solid">
        <fgColor rgb="FFF8CBAD"/>
        <bgColor indexed="64"/>
      </patternFill>
    </fill>
    <fill>
      <patternFill patternType="solid">
        <fgColor rgb="FFD9CFE8"/>
        <bgColor indexed="64"/>
      </patternFill>
    </fill>
    <fill>
      <patternFill patternType="solid">
        <fgColor theme="8" tint="-0.499984740745262"/>
        <bgColor indexed="64"/>
      </patternFill>
    </fill>
  </fills>
  <borders count="67">
    <border>
      <left/>
      <right/>
      <top/>
      <bottom/>
      <diagonal/>
    </border>
    <border>
      <left style="thin">
        <color rgb="FFCCCCCC"/>
      </left>
      <right style="thin">
        <color rgb="FFCCCCCC"/>
      </right>
      <top style="thin">
        <color rgb="FFCCCCCC"/>
      </top>
      <bottom style="thin">
        <color rgb="FFCCCCCC"/>
      </bottom>
      <diagonal/>
    </border>
    <border>
      <left/>
      <right/>
      <top/>
      <bottom style="thin">
        <color indexed="64"/>
      </bottom>
      <diagonal/>
    </border>
    <border>
      <left/>
      <right style="thin">
        <color rgb="FF000000"/>
      </right>
      <top/>
      <bottom style="thin">
        <color indexed="64"/>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style="thin">
        <color rgb="FF000000"/>
      </bottom>
      <diagonal/>
    </border>
    <border>
      <left/>
      <right style="thin">
        <color rgb="FF000000"/>
      </right>
      <top style="thin">
        <color rgb="FF000000"/>
      </top>
      <bottom/>
      <diagonal/>
    </border>
    <border>
      <left/>
      <right/>
      <top/>
      <bottom style="medium">
        <color rgb="FF2F5496"/>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right/>
      <top style="thin">
        <color rgb="FFD9D9D9"/>
      </top>
      <bottom/>
      <diagonal/>
    </border>
    <border>
      <left style="thin">
        <color auto="1"/>
      </left>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rgb="FFCCCCCC"/>
      </left>
      <right style="thin">
        <color rgb="FFCCCCCC"/>
      </right>
      <top/>
      <bottom style="thin">
        <color rgb="FFCCCCCC"/>
      </bottom>
      <diagonal/>
    </border>
    <border>
      <left style="thin">
        <color rgb="FFFFFFFF"/>
      </left>
      <right style="thin">
        <color rgb="FFFFFFFF"/>
      </right>
      <top style="thin">
        <color rgb="FFFFFFFF"/>
      </top>
      <bottom style="thin">
        <color rgb="FFFFFFFF"/>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ck">
        <color rgb="FF0070C0"/>
      </left>
      <right style="thin">
        <color indexed="64"/>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262626"/>
      </left>
      <right style="thick">
        <color rgb="FF0070C0"/>
      </right>
      <top style="thin">
        <color indexed="64"/>
      </top>
      <bottom style="thin">
        <color indexed="64"/>
      </bottom>
      <diagonal/>
    </border>
    <border>
      <left style="thick">
        <color rgb="FF0070C0"/>
      </left>
      <right style="thin">
        <color indexed="64"/>
      </right>
      <top style="thin">
        <color indexed="64"/>
      </top>
      <bottom/>
      <diagonal/>
    </border>
    <border>
      <left style="thin">
        <color rgb="FFC00000"/>
      </left>
      <right style="thin">
        <color rgb="FF000000"/>
      </right>
      <top style="thin">
        <color indexed="64"/>
      </top>
      <bottom style="thin">
        <color indexed="64"/>
      </bottom>
      <diagonal/>
    </border>
    <border>
      <left style="thick">
        <color rgb="FF0070C0"/>
      </left>
      <right/>
      <top style="thin">
        <color indexed="64"/>
      </top>
      <bottom style="thin">
        <color indexed="64"/>
      </bottom>
      <diagonal/>
    </border>
    <border>
      <left style="thick">
        <color rgb="FF0070C0"/>
      </left>
      <right style="thin">
        <color indexed="64"/>
      </right>
      <top/>
      <bottom style="thin">
        <color indexed="64"/>
      </bottom>
      <diagonal/>
    </border>
    <border>
      <left style="thin">
        <color rgb="FFC00000"/>
      </left>
      <right style="thin">
        <color indexed="64"/>
      </right>
      <top style="thin">
        <color indexed="64"/>
      </top>
      <bottom style="thin">
        <color indexed="64"/>
      </bottom>
      <diagonal/>
    </border>
    <border>
      <left style="medium">
        <color rgb="FF262626"/>
      </left>
      <right style="thin">
        <color indexed="64"/>
      </right>
      <top style="thin">
        <color indexed="64"/>
      </top>
      <bottom style="thin">
        <color indexed="64"/>
      </bottom>
      <diagonal/>
    </border>
    <border>
      <left style="thick">
        <color rgb="FF0070C0"/>
      </left>
      <right style="thin">
        <color indexed="64"/>
      </right>
      <top style="thin">
        <color indexed="64"/>
      </top>
      <bottom style="thin">
        <color indexed="64"/>
      </bottom>
      <diagonal/>
    </border>
    <border>
      <left style="medium">
        <color rgb="FF262626"/>
      </left>
      <right style="thin">
        <color indexed="64"/>
      </right>
      <top/>
      <bottom style="thin">
        <color indexed="64"/>
      </bottom>
      <diagonal/>
    </border>
    <border>
      <left style="thick">
        <color rgb="FF0070C0"/>
      </left>
      <right/>
      <top/>
      <bottom style="thin">
        <color indexed="64"/>
      </bottom>
      <diagonal/>
    </border>
    <border>
      <left style="medium">
        <color rgb="FF262626"/>
      </left>
      <right/>
      <top style="thin">
        <color indexed="64"/>
      </top>
      <bottom style="thin">
        <color indexed="64"/>
      </bottom>
      <diagonal/>
    </border>
    <border>
      <left style="thick">
        <color rgb="FF0070C0"/>
      </left>
      <right/>
      <top/>
      <bottom/>
      <diagonal/>
    </border>
    <border>
      <left style="medium">
        <color rgb="FF262626"/>
      </left>
      <right/>
      <top/>
      <bottom/>
      <diagonal/>
    </border>
    <border>
      <left style="thin">
        <color rgb="FFC00000"/>
      </left>
      <right/>
      <top/>
      <bottom/>
      <diagonal/>
    </border>
    <border>
      <left/>
      <right/>
      <top/>
      <bottom style="thin">
        <color rgb="FF000000"/>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rgb="FF404040"/>
      </right>
      <top style="thin">
        <color rgb="FFBFBFBF"/>
      </top>
      <bottom/>
      <diagonal/>
    </border>
    <border>
      <left/>
      <right style="thin">
        <color rgb="FFBFBFBF"/>
      </right>
      <top style="thin">
        <color rgb="FFBFBFBF"/>
      </top>
      <bottom/>
      <diagonal/>
    </border>
    <border>
      <left style="thin">
        <color rgb="FFC00000"/>
      </left>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16" fillId="0" borderId="0">
      <alignment vertical="center"/>
    </xf>
    <xf numFmtId="0" fontId="17" fillId="0" borderId="0"/>
    <xf numFmtId="0" fontId="30" fillId="20" borderId="0" applyNumberFormat="0" applyBorder="0" applyAlignment="0" applyProtection="0"/>
    <xf numFmtId="0" fontId="1" fillId="21" borderId="0" applyNumberFormat="0" applyBorder="0" applyAlignment="0" applyProtection="0"/>
    <xf numFmtId="0" fontId="30" fillId="22" borderId="0" applyNumberFormat="0" applyBorder="0" applyAlignment="0" applyProtection="0"/>
    <xf numFmtId="0" fontId="1" fillId="23" borderId="0" applyNumberFormat="0" applyBorder="0" applyAlignment="0" applyProtection="0"/>
    <xf numFmtId="0" fontId="30" fillId="24" borderId="0" applyNumberFormat="0" applyBorder="0" applyAlignment="0" applyProtection="0"/>
    <xf numFmtId="0" fontId="1" fillId="25" borderId="0" applyNumberFormat="0" applyBorder="0" applyAlignment="0" applyProtection="0"/>
    <xf numFmtId="0" fontId="30" fillId="26" borderId="0" applyNumberFormat="0" applyBorder="0" applyAlignment="0" applyProtection="0"/>
    <xf numFmtId="0" fontId="1" fillId="27" borderId="0" applyNumberFormat="0" applyBorder="0" applyAlignment="0" applyProtection="0"/>
    <xf numFmtId="0" fontId="55" fillId="0" borderId="0"/>
  </cellStyleXfs>
  <cellXfs count="485">
    <xf numFmtId="0" fontId="0" fillId="0" borderId="0" xfId="0"/>
    <xf numFmtId="0" fontId="5"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center"/>
    </xf>
    <xf numFmtId="0" fontId="9" fillId="11" borderId="0" xfId="0" applyFont="1" applyFill="1" applyAlignment="1">
      <alignment horizontal="center" vertical="center"/>
    </xf>
    <xf numFmtId="0" fontId="0" fillId="0" borderId="0" xfId="0" applyAlignment="1">
      <alignment horizontal="center" vertical="center"/>
    </xf>
    <xf numFmtId="0" fontId="13" fillId="12" borderId="0" xfId="0" applyFont="1" applyFill="1" applyAlignment="1">
      <alignment horizontal="center" vertical="center"/>
    </xf>
    <xf numFmtId="0" fontId="0" fillId="13" borderId="0" xfId="0" applyFill="1" applyAlignment="1">
      <alignment horizontal="center" vertical="center"/>
    </xf>
    <xf numFmtId="177" fontId="0" fillId="13" borderId="0" xfId="0" applyNumberFormat="1" applyFill="1" applyAlignment="1">
      <alignment horizontal="center" vertical="center"/>
    </xf>
    <xf numFmtId="14" fontId="0" fillId="13" borderId="0" xfId="0" applyNumberFormat="1" applyFill="1" applyAlignment="1">
      <alignment horizontal="center" vertical="center"/>
    </xf>
    <xf numFmtId="0" fontId="0" fillId="10" borderId="0" xfId="0" applyFill="1" applyAlignment="1">
      <alignment horizontal="center" vertical="center"/>
    </xf>
    <xf numFmtId="177" fontId="0" fillId="10" borderId="0" xfId="0" applyNumberFormat="1" applyFill="1" applyAlignment="1">
      <alignment horizontal="center" vertical="center"/>
    </xf>
    <xf numFmtId="14" fontId="0" fillId="10" borderId="0" xfId="0" applyNumberFormat="1" applyFill="1" applyAlignment="1">
      <alignment horizontal="center" vertical="center"/>
    </xf>
    <xf numFmtId="0" fontId="0" fillId="0" borderId="0" xfId="0" applyAlignment="1">
      <alignment horizontal="left" vertical="center"/>
    </xf>
    <xf numFmtId="0" fontId="0" fillId="13" borderId="0" xfId="0" applyFill="1" applyAlignment="1">
      <alignment horizontal="left" vertical="center"/>
    </xf>
    <xf numFmtId="0" fontId="0" fillId="10" borderId="0" xfId="0" applyFill="1" applyAlignment="1">
      <alignment horizontal="left" vertical="center"/>
    </xf>
    <xf numFmtId="0" fontId="5" fillId="9" borderId="0" xfId="0" applyFont="1" applyFill="1" applyAlignment="1">
      <alignment horizontal="center" vertical="center"/>
    </xf>
    <xf numFmtId="0" fontId="0" fillId="0" borderId="0" xfId="0" applyAlignment="1">
      <alignment vertical="center"/>
    </xf>
    <xf numFmtId="0" fontId="11" fillId="0" borderId="0" xfId="0" applyFont="1" applyAlignmen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15" fillId="13" borderId="0" xfId="0" applyFont="1" applyFill="1" applyAlignment="1">
      <alignment horizontal="center" vertical="center"/>
    </xf>
    <xf numFmtId="0" fontId="15" fillId="10" borderId="0" xfId="0" applyFont="1" applyFill="1" applyAlignment="1">
      <alignment horizontal="center" vertical="center"/>
    </xf>
    <xf numFmtId="0" fontId="6" fillId="9" borderId="0" xfId="0" applyFont="1" applyFill="1" applyAlignment="1">
      <alignment horizontal="center" vertical="center"/>
    </xf>
    <xf numFmtId="0" fontId="18" fillId="16" borderId="19" xfId="0" applyFont="1" applyFill="1" applyBorder="1" applyAlignment="1">
      <alignment horizontal="center" vertical="center" wrapText="1"/>
    </xf>
    <xf numFmtId="0" fontId="6" fillId="0" borderId="0" xfId="0" applyFont="1" applyAlignment="1">
      <alignment horizontal="center" vertical="center" wrapText="1"/>
    </xf>
    <xf numFmtId="0" fontId="19" fillId="17" borderId="0" xfId="0" applyFont="1" applyFill="1" applyAlignment="1">
      <alignment horizontal="center" vertical="center" wrapText="1"/>
    </xf>
    <xf numFmtId="0" fontId="6" fillId="17" borderId="0" xfId="0" applyFont="1" applyFill="1" applyAlignment="1">
      <alignment horizontal="center" vertical="center"/>
    </xf>
    <xf numFmtId="178" fontId="6" fillId="0" borderId="20" xfId="0" applyNumberFormat="1" applyFont="1" applyBorder="1" applyAlignment="1">
      <alignment horizontal="center" vertical="center"/>
    </xf>
    <xf numFmtId="0" fontId="6" fillId="0" borderId="21" xfId="0" applyFont="1" applyBorder="1" applyAlignment="1">
      <alignment horizontal="center" vertical="center"/>
    </xf>
    <xf numFmtId="0" fontId="6" fillId="0" borderId="21" xfId="0" applyFont="1" applyBorder="1" applyAlignment="1">
      <alignment horizontal="center" vertical="center" wrapText="1"/>
    </xf>
    <xf numFmtId="0" fontId="6" fillId="0" borderId="22" xfId="0" applyFont="1" applyBorder="1" applyAlignment="1">
      <alignment horizontal="center" vertical="center"/>
    </xf>
    <xf numFmtId="178" fontId="6" fillId="0" borderId="23"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6" fillId="0" borderId="25" xfId="0" applyFont="1" applyBorder="1" applyAlignment="1">
      <alignment horizontal="center" vertical="center"/>
    </xf>
    <xf numFmtId="178" fontId="6" fillId="0" borderId="26" xfId="0" applyNumberFormat="1" applyFont="1" applyBorder="1" applyAlignment="1">
      <alignment horizontal="center" vertical="center"/>
    </xf>
    <xf numFmtId="0" fontId="6" fillId="0" borderId="25"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3"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0" xfId="0" applyFont="1"/>
    <xf numFmtId="0" fontId="22" fillId="18" borderId="7" xfId="0" applyFont="1" applyFill="1" applyBorder="1" applyAlignment="1">
      <alignment horizontal="center" vertical="center"/>
    </xf>
    <xf numFmtId="0" fontId="22" fillId="18" borderId="7" xfId="0" applyFont="1" applyFill="1" applyBorder="1" applyAlignment="1">
      <alignment horizontal="center" vertical="center" wrapText="1"/>
    </xf>
    <xf numFmtId="0" fontId="22" fillId="18" borderId="0" xfId="0" applyFont="1" applyFill="1" applyAlignment="1">
      <alignment horizontal="center" vertical="center"/>
    </xf>
    <xf numFmtId="0" fontId="23" fillId="0" borderId="0" xfId="0" applyFont="1" applyAlignment="1">
      <alignment vertical="center"/>
    </xf>
    <xf numFmtId="0" fontId="24" fillId="0" borderId="7" xfId="0" applyFont="1" applyBorder="1" applyAlignment="1">
      <alignment horizontal="center" vertical="center"/>
    </xf>
    <xf numFmtId="0" fontId="21" fillId="0" borderId="7" xfId="0" applyFont="1" applyBorder="1" applyAlignment="1">
      <alignment horizontal="center" vertical="center"/>
    </xf>
    <xf numFmtId="179" fontId="24" fillId="0" borderId="7" xfId="0" applyNumberFormat="1" applyFont="1" applyBorder="1" applyAlignment="1">
      <alignment horizontal="center" vertical="center"/>
    </xf>
    <xf numFmtId="0" fontId="24" fillId="2" borderId="7" xfId="0" applyFont="1" applyFill="1" applyBorder="1" applyAlignment="1">
      <alignment horizontal="center" vertical="center"/>
    </xf>
    <xf numFmtId="0" fontId="24" fillId="0" borderId="0" xfId="0" applyFont="1" applyAlignment="1">
      <alignment vertical="center"/>
    </xf>
    <xf numFmtId="0" fontId="24" fillId="0" borderId="8" xfId="0" applyFont="1" applyBorder="1" applyAlignment="1">
      <alignment horizontal="center" vertical="center"/>
    </xf>
    <xf numFmtId="0" fontId="23" fillId="0" borderId="6" xfId="0" applyFont="1" applyBorder="1" applyAlignment="1">
      <alignment horizontal="center" vertical="center"/>
    </xf>
    <xf numFmtId="0" fontId="23" fillId="0" borderId="6" xfId="0" applyFont="1" applyBorder="1" applyAlignment="1">
      <alignment vertical="center"/>
    </xf>
    <xf numFmtId="0" fontId="23" fillId="0" borderId="4" xfId="0" applyFont="1" applyBorder="1" applyAlignment="1">
      <alignment vertical="center"/>
    </xf>
    <xf numFmtId="0" fontId="24" fillId="0" borderId="15" xfId="0" applyFont="1" applyBorder="1" applyAlignment="1">
      <alignment horizontal="center" vertical="center"/>
    </xf>
    <xf numFmtId="0" fontId="24" fillId="2" borderId="15" xfId="0" applyFont="1" applyFill="1" applyBorder="1" applyAlignment="1">
      <alignment horizontal="center" vertical="center"/>
    </xf>
    <xf numFmtId="0" fontId="24" fillId="8" borderId="12" xfId="0" applyFont="1" applyFill="1" applyBorder="1" applyAlignment="1">
      <alignment vertical="center"/>
    </xf>
    <xf numFmtId="0" fontId="24" fillId="0" borderId="12" xfId="0" applyFont="1" applyBorder="1" applyAlignment="1">
      <alignment vertical="center"/>
    </xf>
    <xf numFmtId="0" fontId="22" fillId="18" borderId="15" xfId="0" applyFont="1" applyFill="1" applyBorder="1" applyAlignment="1">
      <alignment horizontal="center" vertical="center"/>
    </xf>
    <xf numFmtId="0" fontId="20" fillId="0" borderId="15" xfId="0" applyFont="1" applyBorder="1" applyAlignment="1">
      <alignment horizontal="center" vertical="center"/>
    </xf>
    <xf numFmtId="14" fontId="24" fillId="0" borderId="6" xfId="0" applyNumberFormat="1" applyFont="1" applyBorder="1" applyAlignment="1">
      <alignment horizontal="center" vertical="center"/>
    </xf>
    <xf numFmtId="14" fontId="24" fillId="2" borderId="6" xfId="0" applyNumberFormat="1" applyFont="1" applyFill="1" applyBorder="1" applyAlignment="1">
      <alignment horizontal="center" vertical="center"/>
    </xf>
    <xf numFmtId="14" fontId="20" fillId="0" borderId="6" xfId="0" applyNumberFormat="1" applyFont="1" applyBorder="1" applyAlignment="1">
      <alignment horizontal="center" vertical="center"/>
    </xf>
    <xf numFmtId="0" fontId="24" fillId="0" borderId="6" xfId="0" applyFont="1" applyBorder="1" applyAlignment="1">
      <alignment horizontal="center" vertical="center"/>
    </xf>
    <xf numFmtId="179" fontId="24" fillId="0" borderId="6" xfId="0" applyNumberFormat="1" applyFont="1" applyBorder="1" applyAlignment="1">
      <alignment horizontal="center" vertical="center"/>
    </xf>
    <xf numFmtId="0" fontId="24" fillId="0" borderId="6" xfId="0" applyFont="1" applyBorder="1" applyAlignment="1">
      <alignment vertical="center"/>
    </xf>
    <xf numFmtId="179" fontId="24" fillId="0" borderId="8" xfId="0" applyNumberFormat="1" applyFont="1" applyBorder="1" applyAlignment="1">
      <alignment horizontal="center" vertical="center"/>
    </xf>
    <xf numFmtId="0" fontId="23" fillId="0" borderId="9" xfId="0" applyFont="1" applyBorder="1" applyAlignment="1">
      <alignment horizontal="center" vertical="center"/>
    </xf>
    <xf numFmtId="0" fontId="2" fillId="12" borderId="0" xfId="0" applyFont="1" applyFill="1" applyAlignment="1">
      <alignment horizontal="center" vertical="center"/>
    </xf>
    <xf numFmtId="14" fontId="22" fillId="19" borderId="6" xfId="0" applyNumberFormat="1" applyFont="1" applyFill="1" applyBorder="1" applyAlignment="1">
      <alignment horizontal="center" vertical="center"/>
    </xf>
    <xf numFmtId="0" fontId="24" fillId="8" borderId="18" xfId="0" applyFont="1" applyFill="1" applyBorder="1" applyAlignment="1">
      <alignment vertical="center"/>
    </xf>
    <xf numFmtId="0" fontId="21" fillId="0" borderId="6" xfId="0" applyFont="1" applyBorder="1" applyAlignment="1">
      <alignment horizontal="center" vertical="center"/>
    </xf>
    <xf numFmtId="0" fontId="29" fillId="0" borderId="7" xfId="0" applyFont="1" applyBorder="1" applyAlignment="1">
      <alignment horizontal="center" vertical="center"/>
    </xf>
    <xf numFmtId="0" fontId="0" fillId="0" borderId="7" xfId="0" applyBorder="1" applyAlignment="1">
      <alignment vertical="center"/>
    </xf>
    <xf numFmtId="0" fontId="0" fillId="0" borderId="0" xfId="0" applyAlignment="1">
      <alignment wrapText="1"/>
    </xf>
    <xf numFmtId="0" fontId="6" fillId="0" borderId="0" xfId="0" quotePrefix="1" applyFont="1" applyAlignment="1">
      <alignment horizontal="center" vertical="center" wrapText="1"/>
    </xf>
    <xf numFmtId="0" fontId="14" fillId="0" borderId="0" xfId="0" applyFont="1" applyAlignment="1">
      <alignment horizontal="center" vertical="center"/>
    </xf>
    <xf numFmtId="14" fontId="0" fillId="0" borderId="0" xfId="0" applyNumberFormat="1"/>
    <xf numFmtId="0" fontId="28" fillId="0" borderId="0" xfId="0" applyFont="1" applyAlignment="1">
      <alignment horizontal="center" vertical="center"/>
    </xf>
    <xf numFmtId="0" fontId="36" fillId="31" borderId="0" xfId="0" applyFont="1" applyFill="1" applyAlignment="1">
      <alignment horizontal="center"/>
    </xf>
    <xf numFmtId="0" fontId="37" fillId="29" borderId="0" xfId="0" applyFont="1" applyFill="1" applyAlignment="1">
      <alignment horizontal="center"/>
    </xf>
    <xf numFmtId="0" fontId="38" fillId="32" borderId="0" xfId="0" applyFont="1" applyFill="1" applyAlignment="1">
      <alignment horizontal="center"/>
    </xf>
    <xf numFmtId="0" fontId="36" fillId="33" borderId="0" xfId="0" applyFont="1" applyFill="1" applyAlignment="1">
      <alignment horizontal="center"/>
    </xf>
    <xf numFmtId="0" fontId="39" fillId="28" borderId="0" xfId="0" applyFont="1" applyFill="1" applyAlignment="1">
      <alignment horizontal="center"/>
    </xf>
    <xf numFmtId="0" fontId="40" fillId="0" borderId="34" xfId="0" applyFont="1" applyBorder="1" applyAlignment="1">
      <alignment horizontal="center" vertical="center"/>
    </xf>
    <xf numFmtId="0" fontId="35" fillId="0" borderId="34" xfId="0" applyFont="1" applyBorder="1" applyAlignment="1">
      <alignment horizontal="center" vertical="center"/>
    </xf>
    <xf numFmtId="16" fontId="35" fillId="0" borderId="34" xfId="0" applyNumberFormat="1" applyFont="1" applyBorder="1" applyAlignment="1">
      <alignment horizontal="center" vertical="center"/>
    </xf>
    <xf numFmtId="0" fontId="35" fillId="0" borderId="33" xfId="0" applyFont="1" applyBorder="1" applyAlignment="1">
      <alignment horizontal="left" vertical="center"/>
    </xf>
    <xf numFmtId="0" fontId="33" fillId="10" borderId="35" xfId="0" applyFont="1" applyFill="1" applyBorder="1" applyAlignment="1">
      <alignment horizontal="center" vertical="center"/>
    </xf>
    <xf numFmtId="0" fontId="35" fillId="0" borderId="33" xfId="0" applyFont="1" applyBorder="1" applyAlignment="1">
      <alignment horizontal="left" vertical="center" wrapText="1"/>
    </xf>
    <xf numFmtId="0" fontId="33" fillId="10" borderId="1" xfId="0" applyFont="1" applyFill="1" applyBorder="1" applyAlignment="1">
      <alignment horizontal="center" vertical="center"/>
    </xf>
    <xf numFmtId="16" fontId="6" fillId="0" borderId="34" xfId="0" applyNumberFormat="1" applyFont="1" applyBorder="1" applyAlignment="1">
      <alignment horizontal="center" vertical="center"/>
    </xf>
    <xf numFmtId="0" fontId="31" fillId="0" borderId="0" xfId="0" applyFont="1" applyAlignment="1">
      <alignment horizontal="left" vertical="center"/>
    </xf>
    <xf numFmtId="49" fontId="32" fillId="35" borderId="36" xfId="0" applyNumberFormat="1" applyFont="1" applyFill="1" applyBorder="1" applyAlignment="1">
      <alignment horizontal="center" vertical="center"/>
    </xf>
    <xf numFmtId="49" fontId="43" fillId="23" borderId="36" xfId="7" applyNumberFormat="1" applyFont="1" applyBorder="1" applyAlignment="1">
      <alignment horizontal="center" vertical="center"/>
    </xf>
    <xf numFmtId="49" fontId="43" fillId="27" borderId="36" xfId="11" applyNumberFormat="1" applyFont="1" applyBorder="1" applyAlignment="1">
      <alignment horizontal="center" vertical="center"/>
    </xf>
    <xf numFmtId="49" fontId="43" fillId="25" borderId="36" xfId="9" applyNumberFormat="1" applyFont="1" applyBorder="1" applyAlignment="1">
      <alignment horizontal="center" vertical="center"/>
    </xf>
    <xf numFmtId="0" fontId="22" fillId="20" borderId="17" xfId="4" applyFont="1" applyBorder="1" applyAlignment="1">
      <alignment horizontal="center" vertical="center" wrapText="1"/>
    </xf>
    <xf numFmtId="0" fontId="22" fillId="20" borderId="34" xfId="4" applyFont="1" applyBorder="1" applyAlignment="1">
      <alignment horizontal="center" vertical="center" wrapText="1"/>
    </xf>
    <xf numFmtId="0" fontId="41" fillId="21" borderId="34" xfId="5" applyFont="1" applyBorder="1" applyAlignment="1">
      <alignment horizontal="center" vertical="center" wrapText="1"/>
    </xf>
    <xf numFmtId="0" fontId="22" fillId="20" borderId="33" xfId="4" applyFont="1" applyBorder="1" applyAlignment="1">
      <alignment horizontal="center" vertical="center" wrapText="1"/>
    </xf>
    <xf numFmtId="0" fontId="0" fillId="0" borderId="0" xfId="0" applyAlignment="1">
      <alignment vertical="center" wrapText="1"/>
    </xf>
    <xf numFmtId="0" fontId="35" fillId="0" borderId="34" xfId="0" applyFont="1" applyBorder="1" applyAlignment="1">
      <alignment horizontal="center" vertical="center" wrapText="1"/>
    </xf>
    <xf numFmtId="0" fontId="18" fillId="16" borderId="0" xfId="0" applyFont="1" applyFill="1" applyAlignment="1">
      <alignment horizontal="center" vertical="center" wrapText="1"/>
    </xf>
    <xf numFmtId="0" fontId="6" fillId="8" borderId="0" xfId="0" applyFont="1" applyFill="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xf>
    <xf numFmtId="0" fontId="29" fillId="0" borderId="8" xfId="0" applyFont="1" applyBorder="1" applyAlignment="1">
      <alignment horizontal="center" vertical="center"/>
    </xf>
    <xf numFmtId="0" fontId="0" fillId="0" borderId="6" xfId="0" applyBorder="1" applyAlignment="1">
      <alignment horizontal="center" vertical="center"/>
    </xf>
    <xf numFmtId="0" fontId="0" fillId="0" borderId="8" xfId="0" applyBorder="1" applyAlignment="1">
      <alignment vertical="center"/>
    </xf>
    <xf numFmtId="0" fontId="6" fillId="0" borderId="0" xfId="0" quotePrefix="1" applyFont="1" applyAlignment="1">
      <alignment horizontal="center" vertical="center"/>
    </xf>
    <xf numFmtId="0" fontId="6" fillId="8" borderId="0" xfId="0" applyFont="1" applyFill="1" applyAlignment="1">
      <alignment horizontal="center" vertical="center"/>
    </xf>
    <xf numFmtId="0" fontId="6" fillId="2" borderId="0" xfId="0" applyFont="1" applyFill="1" applyAlignment="1">
      <alignment horizontal="center" vertical="center"/>
    </xf>
    <xf numFmtId="0" fontId="46" fillId="0" borderId="0" xfId="0" applyFont="1" applyAlignment="1">
      <alignment horizontal="center" vertical="center"/>
    </xf>
    <xf numFmtId="0" fontId="46" fillId="0" borderId="6" xfId="0" applyFont="1" applyBorder="1" applyAlignment="1">
      <alignment horizontal="center" vertical="center"/>
    </xf>
    <xf numFmtId="0" fontId="46" fillId="0" borderId="6" xfId="0" applyFont="1" applyBorder="1" applyAlignment="1">
      <alignment horizontal="left" vertical="center" wrapText="1"/>
    </xf>
    <xf numFmtId="0" fontId="46" fillId="0" borderId="6" xfId="0" quotePrefix="1" applyFont="1" applyBorder="1" applyAlignment="1">
      <alignment horizontal="center" vertical="center"/>
    </xf>
    <xf numFmtId="14" fontId="46" fillId="0" borderId="6" xfId="0" applyNumberFormat="1" applyFont="1" applyBorder="1" applyAlignment="1">
      <alignment horizontal="center" vertical="center" wrapText="1"/>
    </xf>
    <xf numFmtId="0" fontId="48" fillId="0" borderId="6" xfId="1" applyFont="1" applyFill="1" applyBorder="1" applyAlignment="1">
      <alignment horizontal="center" vertical="center"/>
    </xf>
    <xf numFmtId="0" fontId="48" fillId="0" borderId="6" xfId="1" applyFont="1" applyBorder="1" applyAlignment="1">
      <alignment horizontal="center" vertical="center"/>
    </xf>
    <xf numFmtId="0" fontId="46" fillId="0" borderId="6" xfId="0" applyFont="1" applyBorder="1" applyAlignment="1">
      <alignment horizontal="center" vertical="center" wrapText="1"/>
    </xf>
    <xf numFmtId="0" fontId="46" fillId="2" borderId="6" xfId="1" applyFont="1" applyFill="1" applyBorder="1" applyAlignment="1">
      <alignment horizontal="left" vertical="center" wrapText="1"/>
    </xf>
    <xf numFmtId="176" fontId="46" fillId="0" borderId="6" xfId="0" quotePrefix="1" applyNumberFormat="1" applyFont="1" applyBorder="1" applyAlignment="1">
      <alignment horizontal="center" vertical="center"/>
    </xf>
    <xf numFmtId="0" fontId="49" fillId="0" borderId="6" xfId="0" applyFont="1" applyBorder="1" applyAlignment="1">
      <alignment horizontal="left" vertical="center" wrapText="1"/>
    </xf>
    <xf numFmtId="0" fontId="46" fillId="0" borderId="6" xfId="0" quotePrefix="1" applyFont="1" applyBorder="1" applyAlignment="1">
      <alignment horizontal="center" vertical="center" wrapText="1"/>
    </xf>
    <xf numFmtId="0" fontId="48" fillId="0" borderId="6" xfId="1" applyFont="1" applyBorder="1" applyAlignment="1">
      <alignment horizontal="left" vertical="center" wrapText="1"/>
    </xf>
    <xf numFmtId="3" fontId="46" fillId="0" borderId="6" xfId="0" applyNumberFormat="1" applyFont="1" applyBorder="1" applyAlignment="1">
      <alignment horizontal="center" vertical="center"/>
    </xf>
    <xf numFmtId="0" fontId="46" fillId="9" borderId="0" xfId="0" applyFont="1" applyFill="1" applyAlignment="1">
      <alignment horizontal="center" vertical="center"/>
    </xf>
    <xf numFmtId="0" fontId="46" fillId="9" borderId="6" xfId="0" applyFont="1" applyFill="1" applyBorder="1" applyAlignment="1">
      <alignment horizontal="center" vertical="center"/>
    </xf>
    <xf numFmtId="49" fontId="46" fillId="0" borderId="6" xfId="0" applyNumberFormat="1" applyFont="1" applyBorder="1" applyAlignment="1">
      <alignment horizontal="center" vertical="center"/>
    </xf>
    <xf numFmtId="0" fontId="48" fillId="0" borderId="6" xfId="1" applyFont="1" applyFill="1" applyBorder="1" applyAlignment="1">
      <alignment horizontal="left" vertical="center" wrapText="1"/>
    </xf>
    <xf numFmtId="0" fontId="46" fillId="0" borderId="15" xfId="0" applyFont="1" applyBorder="1" applyAlignment="1">
      <alignment horizontal="center" vertical="center"/>
    </xf>
    <xf numFmtId="49" fontId="46" fillId="0" borderId="6" xfId="0" applyNumberFormat="1" applyFont="1" applyBorder="1" applyAlignment="1">
      <alignment horizontal="center" vertical="center" wrapText="1"/>
    </xf>
    <xf numFmtId="0" fontId="46" fillId="9" borderId="15" xfId="0" applyFont="1" applyFill="1" applyBorder="1" applyAlignment="1">
      <alignment horizontal="center" vertical="center"/>
    </xf>
    <xf numFmtId="0" fontId="51" fillId="0" borderId="6" xfId="0" applyFont="1" applyBorder="1" applyAlignment="1">
      <alignment horizontal="left" vertical="center" wrapText="1"/>
    </xf>
    <xf numFmtId="0" fontId="51" fillId="0" borderId="6" xfId="1" applyFont="1" applyFill="1" applyBorder="1" applyAlignment="1">
      <alignment horizontal="center" vertical="center" wrapText="1"/>
    </xf>
    <xf numFmtId="0" fontId="49" fillId="0" borderId="6" xfId="0" applyFont="1" applyBorder="1" applyAlignment="1">
      <alignment horizontal="center" vertical="center"/>
    </xf>
    <xf numFmtId="0" fontId="46" fillId="0" borderId="6" xfId="1" applyFont="1" applyFill="1" applyBorder="1" applyAlignment="1">
      <alignment horizontal="left" vertical="center" wrapText="1"/>
    </xf>
    <xf numFmtId="0" fontId="48" fillId="0" borderId="6" xfId="1" applyFont="1" applyFill="1" applyBorder="1" applyAlignment="1">
      <alignment horizontal="center" vertical="center" wrapText="1"/>
    </xf>
    <xf numFmtId="0" fontId="51" fillId="0" borderId="6" xfId="0" applyFont="1" applyBorder="1" applyAlignment="1">
      <alignment horizontal="center" vertical="center" wrapText="1"/>
    </xf>
    <xf numFmtId="0" fontId="46" fillId="8" borderId="6" xfId="0" applyFont="1" applyFill="1" applyBorder="1" applyAlignment="1">
      <alignment horizontal="center" vertical="center"/>
    </xf>
    <xf numFmtId="0" fontId="46" fillId="0" borderId="6" xfId="0" applyFont="1" applyBorder="1" applyAlignment="1">
      <alignment horizontal="left" wrapText="1"/>
    </xf>
    <xf numFmtId="0" fontId="46" fillId="0" borderId="6" xfId="0" applyFont="1" applyBorder="1" applyAlignment="1">
      <alignment horizontal="left" vertical="top" wrapText="1"/>
    </xf>
    <xf numFmtId="0" fontId="46" fillId="7" borderId="6" xfId="0" applyFont="1" applyFill="1" applyBorder="1" applyAlignment="1">
      <alignment horizontal="center" vertical="center"/>
    </xf>
    <xf numFmtId="0" fontId="46" fillId="0" borderId="10" xfId="0" applyFont="1" applyBorder="1" applyAlignment="1">
      <alignment horizontal="center" vertical="center"/>
    </xf>
    <xf numFmtId="0" fontId="46" fillId="0" borderId="6" xfId="0" applyFont="1" applyBorder="1" applyAlignment="1">
      <alignment vertical="center"/>
    </xf>
    <xf numFmtId="0" fontId="46" fillId="0" borderId="4" xfId="0" applyFont="1" applyBorder="1" applyAlignment="1">
      <alignment horizontal="center" vertical="center"/>
    </xf>
    <xf numFmtId="0" fontId="46" fillId="3" borderId="6" xfId="0" applyFont="1" applyFill="1" applyBorder="1" applyAlignment="1">
      <alignment horizontal="center" vertical="center"/>
    </xf>
    <xf numFmtId="0" fontId="51" fillId="0" borderId="6" xfId="0" applyFont="1" applyBorder="1" applyAlignment="1">
      <alignment horizontal="center"/>
    </xf>
    <xf numFmtId="0" fontId="46" fillId="0" borderId="6" xfId="0" applyFont="1" applyBorder="1"/>
    <xf numFmtId="0" fontId="51" fillId="0" borderId="6" xfId="0" applyFont="1" applyBorder="1" applyAlignment="1">
      <alignment horizontal="left" vertical="center" wrapText="1" indent="1"/>
    </xf>
    <xf numFmtId="0" fontId="46" fillId="0" borderId="6" xfId="0" applyFont="1" applyBorder="1" applyAlignment="1">
      <alignment horizontal="center" vertical="center" indent="1"/>
    </xf>
    <xf numFmtId="0" fontId="49" fillId="0" borderId="6" xfId="0" applyFont="1" applyBorder="1" applyAlignment="1">
      <alignment horizontal="center" vertical="center" indent="1"/>
    </xf>
    <xf numFmtId="0" fontId="46" fillId="8" borderId="6" xfId="0" applyFont="1" applyFill="1" applyBorder="1" applyAlignment="1">
      <alignment horizontal="left" vertical="center" wrapText="1"/>
    </xf>
    <xf numFmtId="0" fontId="46" fillId="9" borderId="6" xfId="0" applyFont="1" applyFill="1" applyBorder="1" applyAlignment="1">
      <alignment horizontal="left" vertical="center" wrapText="1"/>
    </xf>
    <xf numFmtId="0" fontId="48" fillId="9" borderId="6" xfId="1" applyFont="1" applyFill="1" applyBorder="1" applyAlignment="1">
      <alignment horizontal="left" vertical="center" wrapText="1"/>
    </xf>
    <xf numFmtId="0" fontId="46" fillId="15" borderId="6" xfId="0" applyFont="1" applyFill="1" applyBorder="1" applyAlignment="1">
      <alignment horizontal="left" vertical="center" wrapText="1"/>
    </xf>
    <xf numFmtId="0" fontId="46" fillId="7" borderId="6" xfId="0" applyFont="1" applyFill="1" applyBorder="1" applyAlignment="1">
      <alignment horizontal="left" vertical="center" wrapText="1"/>
    </xf>
    <xf numFmtId="0" fontId="49" fillId="0" borderId="6" xfId="0" applyFont="1" applyBorder="1" applyAlignment="1">
      <alignment horizontal="left" vertical="center" wrapText="1" indent="1"/>
    </xf>
    <xf numFmtId="0" fontId="46" fillId="0" borderId="6" xfId="0" applyFont="1" applyBorder="1" applyAlignment="1">
      <alignment horizontal="left" vertical="center" wrapText="1" indent="1"/>
    </xf>
    <xf numFmtId="0" fontId="50" fillId="0" borderId="6" xfId="0" applyFont="1" applyBorder="1" applyAlignment="1">
      <alignment horizontal="left" vertical="center" wrapText="1"/>
    </xf>
    <xf numFmtId="0" fontId="47" fillId="0" borderId="6" xfId="0" applyFont="1" applyBorder="1" applyAlignment="1">
      <alignment horizontal="left" vertical="center" wrapText="1"/>
    </xf>
    <xf numFmtId="0" fontId="46" fillId="9" borderId="6" xfId="0" applyFont="1" applyFill="1" applyBorder="1" applyAlignment="1">
      <alignment horizontal="center" vertical="center" wrapText="1"/>
    </xf>
    <xf numFmtId="0" fontId="46" fillId="7" borderId="6" xfId="0" applyFont="1" applyFill="1" applyBorder="1" applyAlignment="1">
      <alignment horizontal="center" vertical="center" wrapText="1"/>
    </xf>
    <xf numFmtId="176" fontId="46" fillId="0" borderId="6" xfId="0" quotePrefix="1" applyNumberFormat="1" applyFont="1" applyBorder="1" applyAlignment="1">
      <alignment horizontal="center" vertical="center" wrapText="1"/>
    </xf>
    <xf numFmtId="0" fontId="48" fillId="0" borderId="6" xfId="1" applyFont="1" applyBorder="1" applyAlignment="1">
      <alignment horizontal="center" vertical="center" wrapText="1"/>
    </xf>
    <xf numFmtId="0" fontId="51" fillId="0" borderId="6" xfId="0" applyFont="1" applyBorder="1" applyAlignment="1">
      <alignment horizontal="center" wrapText="1"/>
    </xf>
    <xf numFmtId="0" fontId="52" fillId="0" borderId="6" xfId="0" applyFont="1" applyBorder="1" applyAlignment="1">
      <alignment horizontal="left" wrapText="1"/>
    </xf>
    <xf numFmtId="0" fontId="48" fillId="0" borderId="6" xfId="1" quotePrefix="1" applyFont="1" applyBorder="1" applyAlignment="1">
      <alignment horizontal="left" vertical="center" wrapText="1"/>
    </xf>
    <xf numFmtId="0" fontId="48" fillId="0" borderId="6" xfId="1" quotePrefix="1" applyFont="1" applyBorder="1" applyAlignment="1">
      <alignment horizontal="left" vertical="top" wrapText="1"/>
    </xf>
    <xf numFmtId="0" fontId="48" fillId="0" borderId="6" xfId="1" applyFont="1" applyFill="1" applyBorder="1" applyAlignment="1">
      <alignment horizontal="left" wrapText="1"/>
    </xf>
    <xf numFmtId="0" fontId="53" fillId="0" borderId="6" xfId="0" applyFont="1" applyBorder="1" applyAlignment="1">
      <alignment horizontal="left" vertical="center" wrapText="1"/>
    </xf>
    <xf numFmtId="0" fontId="46" fillId="0" borderId="6" xfId="1" applyFont="1" applyBorder="1" applyAlignment="1">
      <alignment horizontal="left" vertical="center" wrapText="1"/>
    </xf>
    <xf numFmtId="0" fontId="52" fillId="0" borderId="6" xfId="0" applyFont="1" applyBorder="1" applyAlignment="1">
      <alignment horizontal="left" vertical="center" wrapText="1"/>
    </xf>
    <xf numFmtId="0" fontId="48" fillId="0" borderId="6" xfId="1" applyFont="1" applyBorder="1" applyAlignment="1">
      <alignment horizontal="left" vertical="top" wrapText="1"/>
    </xf>
    <xf numFmtId="0" fontId="48" fillId="7" borderId="6" xfId="1" applyFont="1" applyFill="1" applyBorder="1" applyAlignment="1">
      <alignment horizontal="left" wrapText="1"/>
    </xf>
    <xf numFmtId="0" fontId="48" fillId="7" borderId="6" xfId="1" applyFont="1" applyFill="1" applyBorder="1" applyAlignment="1">
      <alignment horizontal="left" vertical="center" wrapText="1"/>
    </xf>
    <xf numFmtId="0" fontId="51" fillId="10" borderId="6" xfId="0" applyFont="1" applyFill="1" applyBorder="1" applyAlignment="1">
      <alignment horizontal="left" wrapText="1"/>
    </xf>
    <xf numFmtId="0" fontId="49" fillId="0" borderId="6" xfId="0" applyFont="1" applyBorder="1" applyAlignment="1">
      <alignment horizontal="left" wrapText="1"/>
    </xf>
    <xf numFmtId="0" fontId="4" fillId="0" borderId="6" xfId="1" applyBorder="1" applyAlignment="1">
      <alignment horizontal="left" vertical="center" wrapText="1"/>
    </xf>
    <xf numFmtId="0" fontId="4" fillId="0" borderId="6" xfId="1" applyFill="1" applyBorder="1" applyAlignment="1">
      <alignment horizontal="left" vertical="center" wrapText="1"/>
    </xf>
    <xf numFmtId="0" fontId="56" fillId="0" borderId="2" xfId="0" applyFont="1" applyBorder="1" applyAlignment="1">
      <alignment vertical="center"/>
    </xf>
    <xf numFmtId="0" fontId="57" fillId="0" borderId="2" xfId="0" applyFont="1" applyBorder="1" applyAlignment="1">
      <alignment horizontal="center" vertical="center"/>
    </xf>
    <xf numFmtId="0" fontId="58" fillId="0" borderId="0" xfId="0" applyFont="1" applyAlignment="1">
      <alignment horizontal="center" vertical="center"/>
    </xf>
    <xf numFmtId="0" fontId="59" fillId="40" borderId="7" xfId="0" applyFont="1" applyFill="1" applyBorder="1" applyAlignment="1">
      <alignment horizontal="center" vertical="center" wrapText="1"/>
    </xf>
    <xf numFmtId="0" fontId="59" fillId="40" borderId="8" xfId="0" applyFont="1" applyFill="1" applyBorder="1" applyAlignment="1">
      <alignment horizontal="center" vertical="center" wrapText="1"/>
    </xf>
    <xf numFmtId="0" fontId="63" fillId="0" borderId="7" xfId="0" applyFont="1" applyBorder="1" applyAlignment="1">
      <alignment horizontal="left" vertical="center" wrapText="1"/>
    </xf>
    <xf numFmtId="0" fontId="63" fillId="0" borderId="15" xfId="0" applyFont="1" applyBorder="1" applyAlignment="1">
      <alignment horizontal="left" vertical="center" wrapText="1"/>
    </xf>
    <xf numFmtId="0" fontId="63" fillId="0" borderId="13" xfId="0" applyFont="1" applyBorder="1" applyAlignment="1">
      <alignment horizontal="left" vertical="center" wrapText="1"/>
    </xf>
    <xf numFmtId="0" fontId="63" fillId="0" borderId="42" xfId="0" applyFont="1" applyBorder="1" applyAlignment="1">
      <alignment horizontal="left" vertical="center" wrapText="1"/>
    </xf>
    <xf numFmtId="0" fontId="63" fillId="0" borderId="6" xfId="0" applyFont="1" applyBorder="1" applyAlignment="1">
      <alignment horizontal="left" vertical="center" wrapText="1"/>
    </xf>
    <xf numFmtId="0" fontId="63" fillId="0" borderId="41" xfId="0" applyFont="1" applyBorder="1" applyAlignment="1">
      <alignment horizontal="left" vertical="center" wrapText="1"/>
    </xf>
    <xf numFmtId="0" fontId="63" fillId="0" borderId="8" xfId="0" applyFont="1" applyBorder="1" applyAlignment="1">
      <alignment horizontal="left" vertical="center" wrapText="1"/>
    </xf>
    <xf numFmtId="0" fontId="63" fillId="0" borderId="9" xfId="0" applyFont="1" applyBorder="1" applyAlignment="1">
      <alignment horizontal="left" vertical="center" wrapText="1"/>
    </xf>
    <xf numFmtId="0" fontId="65" fillId="0" borderId="13" xfId="0" applyFont="1" applyBorder="1" applyAlignment="1">
      <alignment horizontal="left" vertical="center" wrapText="1"/>
    </xf>
    <xf numFmtId="0" fontId="65" fillId="0" borderId="6" xfId="0" applyFont="1" applyBorder="1" applyAlignment="1">
      <alignment horizontal="left" vertical="center" wrapText="1"/>
    </xf>
    <xf numFmtId="0" fontId="59" fillId="0" borderId="7" xfId="0" applyFont="1" applyBorder="1" applyAlignment="1">
      <alignment horizontal="center" vertical="center" wrapText="1"/>
    </xf>
    <xf numFmtId="0" fontId="59" fillId="0" borderId="15" xfId="0" applyFont="1" applyBorder="1" applyAlignment="1">
      <alignment horizontal="center" vertical="center" wrapText="1"/>
    </xf>
    <xf numFmtId="0" fontId="63" fillId="6" borderId="44" xfId="0" applyFont="1" applyFill="1" applyBorder="1" applyAlignment="1">
      <alignment horizontal="left" vertical="top" wrapText="1"/>
    </xf>
    <xf numFmtId="0" fontId="63" fillId="0" borderId="11" xfId="0" applyFont="1" applyBorder="1" applyAlignment="1">
      <alignment horizontal="left" vertical="top" wrapText="1"/>
    </xf>
    <xf numFmtId="0" fontId="63" fillId="0" borderId="16" xfId="0" applyFont="1" applyBorder="1" applyAlignment="1">
      <alignment horizontal="left" vertical="top" wrapText="1"/>
    </xf>
    <xf numFmtId="0" fontId="63" fillId="8" borderId="45" xfId="0" applyFont="1" applyFill="1" applyBorder="1" applyAlignment="1">
      <alignment horizontal="left" vertical="top" wrapText="1"/>
    </xf>
    <xf numFmtId="0" fontId="66" fillId="0" borderId="6" xfId="0" applyFont="1" applyBorder="1" applyAlignment="1">
      <alignment horizontal="left" vertical="top" wrapText="1"/>
    </xf>
    <xf numFmtId="0" fontId="63" fillId="0" borderId="46" xfId="0" applyFont="1" applyBorder="1" applyAlignment="1">
      <alignment horizontal="left" vertical="top" wrapText="1"/>
    </xf>
    <xf numFmtId="0" fontId="63" fillId="0" borderId="47" xfId="0" applyFont="1" applyBorder="1" applyAlignment="1">
      <alignment horizontal="left" vertical="top" wrapText="1"/>
    </xf>
    <xf numFmtId="0" fontId="63" fillId="6" borderId="41" xfId="0" applyFont="1" applyFill="1" applyBorder="1" applyAlignment="1">
      <alignment horizontal="left" vertical="top" wrapText="1"/>
    </xf>
    <xf numFmtId="0" fontId="63" fillId="0" borderId="41" xfId="0" applyFont="1" applyBorder="1" applyAlignment="1">
      <alignment horizontal="left" vertical="top" wrapText="1"/>
    </xf>
    <xf numFmtId="0" fontId="63" fillId="0" borderId="7" xfId="0" applyFont="1" applyBorder="1" applyAlignment="1">
      <alignment horizontal="left" vertical="top" wrapText="1"/>
    </xf>
    <xf numFmtId="0" fontId="63" fillId="0" borderId="8" xfId="0" applyFont="1" applyBorder="1" applyAlignment="1">
      <alignment horizontal="left" vertical="top" wrapText="1"/>
    </xf>
    <xf numFmtId="0" fontId="63" fillId="6" borderId="7" xfId="0" applyFont="1" applyFill="1" applyBorder="1" applyAlignment="1">
      <alignment horizontal="left" vertical="top" wrapText="1"/>
    </xf>
    <xf numFmtId="0" fontId="63" fillId="0" borderId="15" xfId="0" applyFont="1" applyBorder="1" applyAlignment="1">
      <alignment horizontal="left" vertical="top" wrapText="1"/>
    </xf>
    <xf numFmtId="0" fontId="63" fillId="0" borderId="48" xfId="0" applyFont="1" applyBorder="1" applyAlignment="1">
      <alignment horizontal="left" vertical="top" wrapText="1"/>
    </xf>
    <xf numFmtId="0" fontId="63" fillId="0" borderId="42" xfId="0" applyFont="1" applyBorder="1" applyAlignment="1">
      <alignment horizontal="left" vertical="top" wrapText="1"/>
    </xf>
    <xf numFmtId="0" fontId="63" fillId="0" borderId="9" xfId="0" applyFont="1" applyBorder="1" applyAlignment="1">
      <alignment horizontal="left" vertical="top" wrapText="1"/>
    </xf>
    <xf numFmtId="0" fontId="63" fillId="0" borderId="49" xfId="0" applyFont="1" applyBorder="1" applyAlignment="1">
      <alignment horizontal="left" vertical="top" wrapText="1"/>
    </xf>
    <xf numFmtId="0" fontId="66" fillId="0" borderId="12" xfId="0" applyFont="1" applyBorder="1" applyAlignment="1">
      <alignment horizontal="left" vertical="top" wrapText="1"/>
    </xf>
    <xf numFmtId="0" fontId="63" fillId="6" borderId="42" xfId="0" applyFont="1" applyFill="1" applyBorder="1" applyAlignment="1">
      <alignment horizontal="left" vertical="top" wrapText="1"/>
    </xf>
    <xf numFmtId="0" fontId="63" fillId="9" borderId="7" xfId="0" applyFont="1" applyFill="1" applyBorder="1" applyAlignment="1">
      <alignment horizontal="left" vertical="top" wrapText="1"/>
    </xf>
    <xf numFmtId="0" fontId="63" fillId="6" borderId="15" xfId="0" applyFont="1" applyFill="1" applyBorder="1" applyAlignment="1">
      <alignment horizontal="left" vertical="top" wrapText="1"/>
    </xf>
    <xf numFmtId="0" fontId="63" fillId="9" borderId="50" xfId="0" applyFont="1" applyFill="1" applyBorder="1" applyAlignment="1">
      <alignment horizontal="left" vertical="top" wrapText="1"/>
    </xf>
    <xf numFmtId="0" fontId="63" fillId="6" borderId="51" xfId="0" applyFont="1" applyFill="1" applyBorder="1" applyAlignment="1">
      <alignment horizontal="left" vertical="top" wrapText="1"/>
    </xf>
    <xf numFmtId="0" fontId="66" fillId="0" borderId="0" xfId="0" applyFont="1" applyAlignment="1">
      <alignment horizontal="left" vertical="top" wrapText="1"/>
    </xf>
    <xf numFmtId="0" fontId="63" fillId="6" borderId="6" xfId="0" applyFont="1" applyFill="1" applyBorder="1" applyAlignment="1">
      <alignment horizontal="left" vertical="top" wrapText="1"/>
    </xf>
    <xf numFmtId="0" fontId="63" fillId="8" borderId="7" xfId="0" applyFont="1" applyFill="1" applyBorder="1" applyAlignment="1">
      <alignment horizontal="left" vertical="top" wrapText="1"/>
    </xf>
    <xf numFmtId="0" fontId="63" fillId="8" borderId="8" xfId="0" applyFont="1" applyFill="1" applyBorder="1" applyAlignment="1">
      <alignment horizontal="left" vertical="top" wrapText="1"/>
    </xf>
    <xf numFmtId="0" fontId="63" fillId="0" borderId="14" xfId="0" applyFont="1" applyBorder="1" applyAlignment="1">
      <alignment horizontal="left" vertical="top" wrapText="1"/>
    </xf>
    <xf numFmtId="0" fontId="63" fillId="6" borderId="45" xfId="0" applyFont="1" applyFill="1" applyBorder="1" applyAlignment="1">
      <alignment horizontal="left" vertical="top" wrapText="1"/>
    </xf>
    <xf numFmtId="0" fontId="67" fillId="0" borderId="52" xfId="0" applyFont="1" applyBorder="1" applyAlignment="1">
      <alignment horizontal="left" vertical="top" wrapText="1"/>
    </xf>
    <xf numFmtId="0" fontId="63" fillId="45" borderId="52" xfId="0" applyFont="1" applyFill="1" applyBorder="1" applyAlignment="1">
      <alignment horizontal="left" vertical="top" wrapText="1"/>
    </xf>
    <xf numFmtId="0" fontId="63" fillId="6" borderId="53" xfId="0" applyFont="1" applyFill="1" applyBorder="1" applyAlignment="1">
      <alignment horizontal="left" vertical="top" wrapText="1"/>
    </xf>
    <xf numFmtId="0" fontId="63" fillId="6" borderId="48" xfId="0" applyFont="1" applyFill="1" applyBorder="1" applyAlignment="1">
      <alignment horizontal="left" vertical="top" wrapText="1"/>
    </xf>
    <xf numFmtId="0" fontId="63" fillId="0" borderId="53" xfId="0" applyFont="1" applyBorder="1" applyAlignment="1">
      <alignment horizontal="left" vertical="top" wrapText="1"/>
    </xf>
    <xf numFmtId="0" fontId="63" fillId="9" borderId="52" xfId="0" applyFont="1" applyFill="1" applyBorder="1" applyAlignment="1">
      <alignment horizontal="left" vertical="top" wrapText="1"/>
    </xf>
    <xf numFmtId="0" fontId="63" fillId="0" borderId="45" xfId="0" applyFont="1" applyBorder="1" applyAlignment="1">
      <alignment horizontal="left" vertical="top" wrapText="1"/>
    </xf>
    <xf numFmtId="0" fontId="63" fillId="6" borderId="54" xfId="0" applyFont="1" applyFill="1" applyBorder="1" applyAlignment="1">
      <alignment horizontal="left" vertical="top" wrapText="1"/>
    </xf>
    <xf numFmtId="0" fontId="63" fillId="0" borderId="55" xfId="0" applyFont="1" applyBorder="1" applyAlignment="1">
      <alignment horizontal="left" vertical="top" wrapText="1"/>
    </xf>
    <xf numFmtId="0" fontId="63" fillId="8" borderId="54" xfId="0" applyFont="1" applyFill="1" applyBorder="1" applyAlignment="1">
      <alignment horizontal="left" vertical="top" wrapText="1"/>
    </xf>
    <xf numFmtId="0" fontId="63" fillId="9" borderId="15" xfId="0" applyFont="1" applyFill="1" applyBorder="1" applyAlignment="1">
      <alignment horizontal="left" vertical="top" wrapText="1"/>
    </xf>
    <xf numFmtId="0" fontId="63" fillId="0" borderId="52" xfId="0" applyFont="1" applyBorder="1" applyAlignment="1">
      <alignment horizontal="left" vertical="top" wrapText="1"/>
    </xf>
    <xf numFmtId="0" fontId="63" fillId="0" borderId="56" xfId="0" applyFont="1" applyBorder="1" applyAlignment="1">
      <alignment horizontal="left" vertical="top" wrapText="1"/>
    </xf>
    <xf numFmtId="0" fontId="63" fillId="0" borderId="40" xfId="0" applyFont="1" applyBorder="1" applyAlignment="1">
      <alignment horizontal="left" vertical="top" wrapText="1"/>
    </xf>
    <xf numFmtId="0" fontId="63" fillId="0" borderId="57" xfId="0" applyFont="1" applyBorder="1" applyAlignment="1">
      <alignment horizontal="left" vertical="top" wrapText="1"/>
    </xf>
    <xf numFmtId="0" fontId="68" fillId="0" borderId="0" xfId="0" applyFont="1" applyAlignment="1">
      <alignment horizontal="left" vertical="center"/>
    </xf>
    <xf numFmtId="0" fontId="69" fillId="0" borderId="58" xfId="0" applyFont="1" applyBorder="1" applyAlignment="1">
      <alignment horizontal="left" vertical="center"/>
    </xf>
    <xf numFmtId="0" fontId="70" fillId="0" borderId="59" xfId="0" applyFont="1" applyBorder="1" applyAlignment="1">
      <alignment horizontal="left" vertical="center"/>
    </xf>
    <xf numFmtId="0" fontId="71" fillId="0" borderId="60" xfId="0" applyFont="1" applyBorder="1" applyAlignment="1">
      <alignment horizontal="left" vertical="center"/>
    </xf>
    <xf numFmtId="0" fontId="72" fillId="0" borderId="0" xfId="0" applyFont="1" applyAlignment="1">
      <alignment horizontal="left" vertical="center"/>
    </xf>
    <xf numFmtId="0" fontId="73" fillId="0" borderId="0" xfId="0" applyFont="1"/>
    <xf numFmtId="0" fontId="74" fillId="0" borderId="0" xfId="0" applyFont="1"/>
    <xf numFmtId="0" fontId="13" fillId="34" borderId="41" xfId="0" applyFont="1" applyFill="1" applyBorder="1" applyAlignment="1">
      <alignment horizontal="center" vertical="center"/>
    </xf>
    <xf numFmtId="0" fontId="13" fillId="34" borderId="7" xfId="0" applyFont="1" applyFill="1" applyBorder="1" applyAlignment="1">
      <alignment horizontal="center" vertical="center"/>
    </xf>
    <xf numFmtId="0" fontId="13" fillId="34" borderId="15" xfId="0" applyFont="1" applyFill="1" applyBorder="1" applyAlignment="1">
      <alignment horizontal="center" vertical="center"/>
    </xf>
    <xf numFmtId="0" fontId="35" fillId="0" borderId="41" xfId="0" applyFont="1" applyBorder="1" applyAlignment="1">
      <alignment horizontal="center" vertical="center"/>
    </xf>
    <xf numFmtId="0" fontId="35" fillId="0" borderId="7" xfId="0" applyFont="1" applyBorder="1" applyAlignment="1">
      <alignment horizontal="center" vertical="center"/>
    </xf>
    <xf numFmtId="0" fontId="35" fillId="0" borderId="7" xfId="0" applyFont="1" applyBorder="1" applyAlignment="1">
      <alignment vertical="center"/>
    </xf>
    <xf numFmtId="0" fontId="35" fillId="0" borderId="7" xfId="0" applyFont="1" applyBorder="1" applyAlignment="1">
      <alignment horizontal="center" vertical="center"/>
      <extLst>
        <ext xmlns:xfpb="http://schemas.microsoft.com/office/spreadsheetml/2022/featurepropertybag" uri="{C7286773-470A-42A8-94C5-96B5CB345126}">
          <xfpb:xfComplement i="0"/>
        </ext>
      </extLst>
    </xf>
    <xf numFmtId="0" fontId="35" fillId="0" borderId="15" xfId="0" applyFont="1" applyBorder="1" applyAlignment="1">
      <alignment vertical="center"/>
    </xf>
    <xf numFmtId="0" fontId="73" fillId="36" borderId="0" xfId="0" applyFont="1" applyFill="1"/>
    <xf numFmtId="0" fontId="73" fillId="46" borderId="0" xfId="0" applyFont="1" applyFill="1"/>
    <xf numFmtId="0" fontId="35" fillId="0" borderId="0" xfId="0" applyFont="1" applyAlignment="1">
      <alignment horizontal="left" vertical="center"/>
    </xf>
    <xf numFmtId="0" fontId="35" fillId="0" borderId="0" xfId="0" applyFont="1" applyAlignment="1">
      <alignment horizontal="left" vertical="center" wrapText="1"/>
    </xf>
    <xf numFmtId="0" fontId="43" fillId="2" borderId="2" xfId="0" applyFont="1" applyFill="1" applyBorder="1" applyAlignment="1">
      <alignment vertical="center"/>
    </xf>
    <xf numFmtId="0" fontId="43" fillId="2" borderId="2" xfId="0" applyFont="1" applyFill="1" applyBorder="1" applyAlignment="1">
      <alignment horizontal="center" vertical="center" wrapText="1"/>
    </xf>
    <xf numFmtId="0" fontId="43" fillId="2" borderId="2" xfId="0" applyFont="1" applyFill="1" applyBorder="1" applyAlignment="1">
      <alignment vertical="center" wrapText="1"/>
    </xf>
    <xf numFmtId="0" fontId="43" fillId="2" borderId="3" xfId="0" applyFont="1" applyFill="1" applyBorder="1" applyAlignment="1">
      <alignment horizontal="left" vertical="center" wrapText="1"/>
    </xf>
    <xf numFmtId="0" fontId="43" fillId="2" borderId="8" xfId="0" applyFont="1" applyFill="1" applyBorder="1" applyAlignment="1">
      <alignment horizontal="center" vertical="center"/>
    </xf>
    <xf numFmtId="0" fontId="43" fillId="2" borderId="8" xfId="0" applyFont="1" applyFill="1" applyBorder="1" applyAlignment="1">
      <alignment horizontal="center" vertical="center" wrapText="1"/>
    </xf>
    <xf numFmtId="0" fontId="43" fillId="2" borderId="9" xfId="0" applyFont="1" applyFill="1" applyBorder="1" applyAlignment="1">
      <alignment horizontal="center" vertical="center" wrapText="1"/>
    </xf>
    <xf numFmtId="0" fontId="43" fillId="6" borderId="14" xfId="0" applyFont="1" applyFill="1" applyBorder="1" applyAlignment="1">
      <alignment horizontal="center" vertical="center" wrapText="1"/>
    </xf>
    <xf numFmtId="0" fontId="43" fillId="6" borderId="14" xfId="0" applyFont="1" applyFill="1" applyBorder="1" applyAlignment="1">
      <alignment horizontal="center" vertical="center"/>
    </xf>
    <xf numFmtId="0" fontId="43" fillId="6" borderId="40" xfId="0" applyFont="1" applyFill="1" applyBorder="1" applyAlignment="1">
      <alignment horizontal="center" vertical="center"/>
    </xf>
    <xf numFmtId="0" fontId="75" fillId="16" borderId="19" xfId="0" applyFont="1" applyFill="1" applyBorder="1" applyAlignment="1">
      <alignment horizontal="center" vertical="center" wrapText="1"/>
    </xf>
    <xf numFmtId="0" fontId="76" fillId="0" borderId="0" xfId="0" applyFont="1" applyAlignment="1">
      <alignment horizontal="center" vertical="center" wrapText="1"/>
    </xf>
    <xf numFmtId="0" fontId="77" fillId="0" borderId="0" xfId="0" applyFont="1"/>
    <xf numFmtId="0" fontId="78" fillId="17" borderId="0" xfId="0" applyFont="1" applyFill="1" applyAlignment="1">
      <alignment horizontal="center" vertical="center" wrapText="1"/>
    </xf>
    <xf numFmtId="0" fontId="76" fillId="17" borderId="0" xfId="0" applyFont="1" applyFill="1" applyAlignment="1">
      <alignment horizontal="center" vertical="center"/>
    </xf>
    <xf numFmtId="0" fontId="76" fillId="0" borderId="0" xfId="0" applyFont="1" applyAlignment="1">
      <alignment horizontal="center" vertical="center"/>
    </xf>
    <xf numFmtId="0" fontId="76" fillId="0" borderId="27" xfId="0" applyFont="1" applyBorder="1" applyAlignment="1">
      <alignment horizontal="center" vertical="center"/>
    </xf>
    <xf numFmtId="0" fontId="76" fillId="0" borderId="24" xfId="0" applyFont="1" applyBorder="1" applyAlignment="1">
      <alignment horizontal="center" vertical="center" wrapText="1"/>
    </xf>
    <xf numFmtId="0" fontId="76" fillId="0" borderId="25" xfId="0" applyFont="1" applyBorder="1" applyAlignment="1">
      <alignment horizontal="center" vertical="center"/>
    </xf>
    <xf numFmtId="0" fontId="76" fillId="0" borderId="0" xfId="12" applyFont="1"/>
    <xf numFmtId="0" fontId="80" fillId="0" borderId="0" xfId="0" applyFont="1" applyAlignment="1">
      <alignment readingOrder="1"/>
    </xf>
    <xf numFmtId="0" fontId="76" fillId="39" borderId="0" xfId="12" applyFont="1" applyFill="1"/>
    <xf numFmtId="0" fontId="76" fillId="0" borderId="0" xfId="12" applyFont="1" applyAlignment="1">
      <alignment wrapText="1"/>
    </xf>
    <xf numFmtId="0" fontId="79" fillId="0" borderId="0" xfId="0" applyFont="1"/>
    <xf numFmtId="0" fontId="76" fillId="37" borderId="0" xfId="12" applyFont="1" applyFill="1"/>
    <xf numFmtId="0" fontId="76" fillId="38" borderId="0" xfId="12" applyFont="1" applyFill="1"/>
    <xf numFmtId="0" fontId="81" fillId="0" borderId="0" xfId="0" applyFont="1" applyAlignment="1">
      <alignment vertical="center" wrapText="1"/>
    </xf>
    <xf numFmtId="0" fontId="76" fillId="8" borderId="0" xfId="12" applyFont="1" applyFill="1"/>
    <xf numFmtId="0" fontId="76" fillId="0" borderId="0" xfId="0" applyFont="1" applyAlignment="1">
      <alignment wrapText="1"/>
    </xf>
    <xf numFmtId="0" fontId="81" fillId="38" borderId="0" xfId="0" applyFont="1" applyFill="1" applyAlignment="1">
      <alignment vertical="center" wrapText="1"/>
    </xf>
    <xf numFmtId="0" fontId="81" fillId="8" borderId="0" xfId="0" applyFont="1" applyFill="1" applyAlignment="1">
      <alignment vertical="center" wrapText="1"/>
    </xf>
    <xf numFmtId="0" fontId="79" fillId="38" borderId="0" xfId="0" applyFont="1" applyFill="1" applyAlignment="1">
      <alignment vertical="center" wrapText="1"/>
    </xf>
    <xf numFmtId="0" fontId="79" fillId="0" borderId="0" xfId="12" applyFont="1"/>
    <xf numFmtId="0" fontId="79" fillId="0" borderId="0" xfId="0" applyFont="1" applyAlignment="1">
      <alignment vertical="center" wrapText="1"/>
    </xf>
    <xf numFmtId="0" fontId="79" fillId="0" borderId="0" xfId="0" applyFont="1" applyAlignment="1">
      <alignment vertical="center"/>
    </xf>
    <xf numFmtId="0" fontId="79" fillId="10" borderId="0" xfId="0" applyFont="1" applyFill="1"/>
    <xf numFmtId="0" fontId="79" fillId="10" borderId="0" xfId="0" applyFont="1" applyFill="1" applyAlignment="1">
      <alignment wrapText="1"/>
    </xf>
    <xf numFmtId="0" fontId="79" fillId="0" borderId="0" xfId="12" applyFont="1" applyAlignment="1">
      <alignment wrapText="1"/>
    </xf>
    <xf numFmtId="0" fontId="76" fillId="39" borderId="5" xfId="0" applyFont="1" applyFill="1" applyBorder="1"/>
    <xf numFmtId="0" fontId="77" fillId="0" borderId="5" xfId="0" applyFont="1" applyBorder="1"/>
    <xf numFmtId="0" fontId="76" fillId="0" borderId="5" xfId="0" applyFont="1" applyBorder="1" applyAlignment="1">
      <alignment wrapText="1"/>
    </xf>
    <xf numFmtId="0" fontId="76" fillId="0" borderId="5" xfId="12" applyFont="1" applyBorder="1"/>
    <xf numFmtId="0" fontId="76" fillId="0" borderId="0" xfId="0" applyFont="1"/>
    <xf numFmtId="0" fontId="76" fillId="39" borderId="0" xfId="0" applyFont="1" applyFill="1"/>
    <xf numFmtId="0" fontId="79" fillId="39" borderId="0" xfId="12" applyFont="1" applyFill="1"/>
    <xf numFmtId="0" fontId="76" fillId="38" borderId="0" xfId="0" applyFont="1" applyFill="1"/>
    <xf numFmtId="0" fontId="79" fillId="0" borderId="0" xfId="0" applyFont="1" applyAlignment="1">
      <alignment horizontal="left" vertical="top" wrapText="1"/>
    </xf>
    <xf numFmtId="0" fontId="82" fillId="39" borderId="0" xfId="0" applyFont="1" applyFill="1"/>
    <xf numFmtId="0" fontId="79" fillId="0" borderId="0" xfId="0" applyFont="1" applyAlignment="1">
      <alignment wrapText="1"/>
    </xf>
    <xf numFmtId="0" fontId="82" fillId="0" borderId="0" xfId="0" applyFont="1"/>
    <xf numFmtId="0" fontId="80" fillId="0" borderId="5" xfId="0" applyFont="1" applyBorder="1" applyAlignment="1">
      <alignment readingOrder="1"/>
    </xf>
    <xf numFmtId="0" fontId="76" fillId="0" borderId="0" xfId="0" applyFont="1" applyAlignment="1">
      <alignment horizontal="left" vertical="top" wrapText="1"/>
    </xf>
    <xf numFmtId="0" fontId="81" fillId="10" borderId="0" xfId="0" applyFont="1" applyFill="1" applyAlignment="1">
      <alignment wrapText="1"/>
    </xf>
    <xf numFmtId="0" fontId="76" fillId="0" borderId="0" xfId="0" applyFont="1" applyAlignment="1">
      <alignment horizontal="left" wrapText="1"/>
    </xf>
    <xf numFmtId="0" fontId="79" fillId="10" borderId="5" xfId="1" applyFont="1" applyFill="1" applyBorder="1" applyAlignment="1">
      <alignment horizontal="left" vertical="top" wrapText="1" readingOrder="1"/>
    </xf>
    <xf numFmtId="0" fontId="76" fillId="0" borderId="5" xfId="0" applyFont="1" applyBorder="1"/>
    <xf numFmtId="0" fontId="85" fillId="10" borderId="0" xfId="0" applyFont="1" applyFill="1" applyAlignment="1">
      <alignment wrapText="1"/>
    </xf>
    <xf numFmtId="0" fontId="77" fillId="38" borderId="0" xfId="0" applyFont="1" applyFill="1"/>
    <xf numFmtId="0" fontId="79" fillId="0" borderId="0" xfId="0" applyFont="1" applyAlignment="1">
      <alignment readingOrder="1"/>
    </xf>
    <xf numFmtId="0" fontId="79" fillId="0" borderId="0" xfId="1" applyFont="1"/>
    <xf numFmtId="0" fontId="83" fillId="0" borderId="0" xfId="0" applyFont="1" applyAlignment="1">
      <alignment vertical="top" wrapText="1"/>
    </xf>
    <xf numFmtId="0" fontId="6" fillId="0" borderId="6" xfId="0" applyFont="1" applyBorder="1" applyAlignment="1">
      <alignment horizontal="center" vertical="center"/>
    </xf>
    <xf numFmtId="0" fontId="39" fillId="0" borderId="6" xfId="0" applyFont="1" applyBorder="1" applyAlignment="1">
      <alignment horizontal="center" vertical="center"/>
    </xf>
    <xf numFmtId="0" fontId="89" fillId="54" borderId="6" xfId="0" applyFont="1" applyFill="1" applyBorder="1" applyAlignment="1">
      <alignment horizontal="center" vertical="center"/>
    </xf>
    <xf numFmtId="0" fontId="87" fillId="0" borderId="6" xfId="0" applyFont="1" applyBorder="1" applyAlignment="1">
      <alignment horizontal="center" vertical="center"/>
    </xf>
    <xf numFmtId="9" fontId="6" fillId="0" borderId="6" xfId="0" applyNumberFormat="1" applyFont="1" applyBorder="1" applyAlignment="1">
      <alignment horizontal="center" vertical="center"/>
    </xf>
    <xf numFmtId="180" fontId="6" fillId="0" borderId="6" xfId="0" applyNumberFormat="1" applyFont="1" applyBorder="1" applyAlignment="1">
      <alignment horizontal="center" vertical="center"/>
    </xf>
    <xf numFmtId="14" fontId="87" fillId="0" borderId="6" xfId="0" applyNumberFormat="1" applyFont="1" applyBorder="1" applyAlignment="1">
      <alignment horizontal="center" vertical="center"/>
    </xf>
    <xf numFmtId="0" fontId="89" fillId="55" borderId="6" xfId="0" applyFont="1" applyFill="1" applyBorder="1" applyAlignment="1">
      <alignment horizontal="center" vertical="center"/>
    </xf>
    <xf numFmtId="0" fontId="89" fillId="56" borderId="6" xfId="0" applyFont="1" applyFill="1" applyBorder="1" applyAlignment="1">
      <alignment horizontal="center" vertical="center"/>
    </xf>
    <xf numFmtId="0" fontId="89" fillId="57" borderId="6" xfId="0" applyFont="1" applyFill="1" applyBorder="1" applyAlignment="1">
      <alignment horizontal="center" vertical="center"/>
    </xf>
    <xf numFmtId="0" fontId="89" fillId="58" borderId="6" xfId="0" applyFont="1" applyFill="1" applyBorder="1" applyAlignment="1">
      <alignment horizontal="center" vertical="center"/>
    </xf>
    <xf numFmtId="0" fontId="32" fillId="51" borderId="62" xfId="0" applyFont="1" applyFill="1" applyBorder="1" applyAlignment="1">
      <alignment horizontal="center" vertical="center" wrapText="1"/>
    </xf>
    <xf numFmtId="0" fontId="32" fillId="52" borderId="65" xfId="0" applyFont="1" applyFill="1" applyBorder="1" applyAlignment="1">
      <alignment horizontal="center" vertical="center" wrapText="1"/>
    </xf>
    <xf numFmtId="0" fontId="32" fillId="52" borderId="62" xfId="0" applyFont="1" applyFill="1" applyBorder="1" applyAlignment="1">
      <alignment horizontal="center" vertical="center" wrapText="1"/>
    </xf>
    <xf numFmtId="0" fontId="32" fillId="52" borderId="63" xfId="0" applyFont="1" applyFill="1" applyBorder="1" applyAlignment="1">
      <alignment horizontal="center" vertical="center" wrapText="1"/>
    </xf>
    <xf numFmtId="0" fontId="32" fillId="52" borderId="64" xfId="0" applyFont="1" applyFill="1" applyBorder="1" applyAlignment="1">
      <alignment horizontal="center" vertical="center" wrapText="1"/>
    </xf>
    <xf numFmtId="0" fontId="32" fillId="53" borderId="62" xfId="0" applyFont="1" applyFill="1" applyBorder="1" applyAlignment="1">
      <alignment horizontal="center" vertical="center" wrapText="1"/>
    </xf>
    <xf numFmtId="0" fontId="32" fillId="53" borderId="63" xfId="0" applyFont="1" applyFill="1" applyBorder="1" applyAlignment="1">
      <alignment horizontal="center" vertical="center" wrapText="1"/>
    </xf>
    <xf numFmtId="0" fontId="32" fillId="53" borderId="64" xfId="0" applyFont="1" applyFill="1" applyBorder="1" applyAlignment="1">
      <alignment horizontal="center" vertical="center" wrapText="1"/>
    </xf>
    <xf numFmtId="0" fontId="0" fillId="0" borderId="0" xfId="0" applyAlignment="1">
      <alignment horizontal="center"/>
    </xf>
    <xf numFmtId="0" fontId="88" fillId="0" borderId="6" xfId="0" applyFont="1" applyBorder="1" applyAlignment="1">
      <alignment horizontal="center" vertical="center"/>
    </xf>
    <xf numFmtId="14" fontId="6" fillId="0" borderId="6" xfId="0" applyNumberFormat="1" applyFont="1" applyBorder="1" applyAlignment="1">
      <alignment horizontal="center" vertical="center"/>
    </xf>
    <xf numFmtId="0" fontId="43" fillId="0" borderId="6" xfId="0" applyFont="1" applyBorder="1" applyAlignment="1">
      <alignment horizontal="center" vertical="center"/>
    </xf>
    <xf numFmtId="0" fontId="90" fillId="56" borderId="6" xfId="0" applyFont="1" applyFill="1" applyBorder="1" applyAlignment="1">
      <alignment horizontal="center" vertical="center"/>
    </xf>
    <xf numFmtId="0" fontId="6" fillId="0" borderId="13" xfId="0" applyFont="1" applyBorder="1" applyAlignment="1">
      <alignment horizontal="center" vertical="center"/>
    </xf>
    <xf numFmtId="0" fontId="88" fillId="0" borderId="13" xfId="0" applyFont="1" applyBorder="1" applyAlignment="1">
      <alignment horizontal="center" vertical="center"/>
    </xf>
    <xf numFmtId="0" fontId="89" fillId="58" borderId="13" xfId="0" applyFont="1" applyFill="1" applyBorder="1" applyAlignment="1">
      <alignment horizontal="center" vertical="center"/>
    </xf>
    <xf numFmtId="0" fontId="87" fillId="0" borderId="13" xfId="0" applyFont="1" applyBorder="1" applyAlignment="1">
      <alignment horizontal="center" vertical="center"/>
    </xf>
    <xf numFmtId="9" fontId="6" fillId="0" borderId="13" xfId="0" applyNumberFormat="1" applyFont="1" applyBorder="1" applyAlignment="1">
      <alignment horizontal="center" vertical="center"/>
    </xf>
    <xf numFmtId="14" fontId="6" fillId="0" borderId="13" xfId="0" applyNumberFormat="1" applyFont="1" applyBorder="1" applyAlignment="1">
      <alignment horizontal="center" vertical="center"/>
    </xf>
    <xf numFmtId="180" fontId="6" fillId="0" borderId="13" xfId="0" applyNumberFormat="1" applyFont="1" applyBorder="1" applyAlignment="1">
      <alignment horizontal="center" vertical="center"/>
    </xf>
    <xf numFmtId="9" fontId="46" fillId="0" borderId="6" xfId="0" applyNumberFormat="1" applyFont="1" applyBorder="1" applyAlignment="1">
      <alignment horizontal="center" vertical="center"/>
    </xf>
    <xf numFmtId="14" fontId="46" fillId="0" borderId="6" xfId="0" applyNumberFormat="1" applyFont="1" applyBorder="1" applyAlignment="1">
      <alignment vertical="center"/>
    </xf>
    <xf numFmtId="14" fontId="46" fillId="0" borderId="6" xfId="0" applyNumberFormat="1" applyFont="1" applyBorder="1" applyAlignment="1">
      <alignment vertical="center" wrapText="1"/>
    </xf>
    <xf numFmtId="14" fontId="87" fillId="0" borderId="6" xfId="0" applyNumberFormat="1" applyFont="1" applyBorder="1" applyAlignment="1">
      <alignment vertical="center"/>
    </xf>
    <xf numFmtId="14" fontId="87" fillId="0" borderId="13" xfId="0" applyNumberFormat="1" applyFont="1" applyBorder="1" applyAlignment="1">
      <alignment vertical="center"/>
    </xf>
    <xf numFmtId="0" fontId="91" fillId="0" borderId="0" xfId="0" applyFont="1" applyAlignment="1">
      <alignment horizontal="center"/>
    </xf>
    <xf numFmtId="0" fontId="92" fillId="0" borderId="0" xfId="0" applyFont="1" applyAlignment="1">
      <alignment horizontal="center"/>
    </xf>
    <xf numFmtId="0" fontId="87" fillId="0" borderId="0" xfId="0" applyFont="1" applyAlignment="1">
      <alignment horizontal="center"/>
    </xf>
    <xf numFmtId="9" fontId="87" fillId="0" borderId="0" xfId="0" applyNumberFormat="1" applyFont="1" applyAlignment="1">
      <alignment horizontal="center"/>
    </xf>
    <xf numFmtId="180" fontId="46" fillId="0" borderId="6" xfId="0" applyNumberFormat="1" applyFont="1" applyBorder="1" applyAlignment="1">
      <alignment horizontal="center" vertical="center"/>
    </xf>
    <xf numFmtId="9" fontId="93" fillId="0" borderId="0" xfId="0" applyNumberFormat="1" applyFont="1" applyAlignment="1">
      <alignment horizontal="center"/>
    </xf>
    <xf numFmtId="0" fontId="94" fillId="0" borderId="0" xfId="0" applyFont="1" applyAlignment="1">
      <alignment horizontal="center"/>
    </xf>
    <xf numFmtId="0" fontId="46" fillId="0" borderId="13" xfId="0" applyFont="1" applyBorder="1" applyAlignment="1">
      <alignment horizontal="left" vertical="center" wrapText="1"/>
    </xf>
    <xf numFmtId="0" fontId="6" fillId="0" borderId="0" xfId="0" applyFont="1" applyAlignment="1">
      <alignment vertical="center"/>
    </xf>
    <xf numFmtId="0" fontId="6" fillId="0" borderId="0" xfId="0" applyFont="1" applyAlignment="1">
      <alignment vertical="center" wrapText="1"/>
    </xf>
    <xf numFmtId="0" fontId="63" fillId="0" borderId="6" xfId="0" applyFont="1" applyBorder="1" applyAlignment="1">
      <alignment horizontal="left" vertical="top" wrapText="1"/>
    </xf>
    <xf numFmtId="0" fontId="63" fillId="0" borderId="66" xfId="0" applyFont="1" applyBorder="1" applyAlignment="1">
      <alignment horizontal="left" vertical="top" wrapText="1"/>
    </xf>
    <xf numFmtId="0" fontId="95" fillId="0" borderId="0" xfId="0" applyFont="1"/>
    <xf numFmtId="0" fontId="65" fillId="0" borderId="13" xfId="0" applyFont="1" applyBorder="1" applyAlignment="1">
      <alignment horizontal="left" vertical="top" wrapText="1"/>
    </xf>
    <xf numFmtId="0" fontId="65" fillId="0" borderId="6" xfId="0" applyFont="1" applyBorder="1" applyAlignment="1">
      <alignment horizontal="left" vertical="top" wrapText="1"/>
    </xf>
    <xf numFmtId="0" fontId="71" fillId="0" borderId="41" xfId="0" applyFont="1" applyBorder="1" applyAlignment="1">
      <alignment horizontal="center" vertical="center"/>
    </xf>
    <xf numFmtId="0" fontId="71" fillId="0" borderId="7" xfId="0" applyFont="1" applyBorder="1" applyAlignment="1">
      <alignment horizontal="center" vertical="center"/>
    </xf>
    <xf numFmtId="0" fontId="71" fillId="0" borderId="7" xfId="0" applyFont="1" applyBorder="1" applyAlignment="1">
      <alignment vertical="center"/>
    </xf>
    <xf numFmtId="0" fontId="35" fillId="8" borderId="41" xfId="0" applyFont="1" applyFill="1" applyBorder="1" applyAlignment="1">
      <alignment horizontal="center" vertical="center"/>
    </xf>
    <xf numFmtId="0" fontId="35" fillId="8" borderId="7" xfId="0" applyFont="1" applyFill="1" applyBorder="1" applyAlignment="1">
      <alignment horizontal="center" vertical="center"/>
    </xf>
    <xf numFmtId="0" fontId="35" fillId="8" borderId="7" xfId="0" applyFont="1" applyFill="1" applyBorder="1" applyAlignment="1">
      <alignment vertical="center"/>
    </xf>
    <xf numFmtId="14" fontId="96" fillId="0" borderId="6" xfId="0" applyNumberFormat="1" applyFont="1" applyBorder="1" applyAlignment="1">
      <alignment vertical="center" wrapText="1"/>
    </xf>
    <xf numFmtId="14" fontId="96" fillId="0" borderId="6" xfId="0" applyNumberFormat="1" applyFont="1" applyBorder="1" applyAlignment="1">
      <alignment vertical="center"/>
    </xf>
    <xf numFmtId="0" fontId="96" fillId="0" borderId="6" xfId="0" applyFont="1" applyBorder="1" applyAlignment="1">
      <alignment horizontal="center" vertical="center" wrapText="1"/>
    </xf>
    <xf numFmtId="180" fontId="96" fillId="0" borderId="6" xfId="0" applyNumberFormat="1" applyFont="1" applyBorder="1" applyAlignment="1">
      <alignment horizontal="center" vertical="center"/>
    </xf>
    <xf numFmtId="14" fontId="96" fillId="0" borderId="6" xfId="0" applyNumberFormat="1" applyFont="1" applyBorder="1" applyAlignment="1">
      <alignment horizontal="center" vertical="center" wrapText="1"/>
    </xf>
    <xf numFmtId="9" fontId="96" fillId="0" borderId="6" xfId="0" applyNumberFormat="1" applyFont="1" applyBorder="1" applyAlignment="1">
      <alignment horizontal="center" vertical="center"/>
    </xf>
    <xf numFmtId="0" fontId="96" fillId="0" borderId="6" xfId="0" applyFont="1" applyBorder="1" applyAlignment="1">
      <alignment horizontal="left" vertical="center" wrapText="1"/>
    </xf>
    <xf numFmtId="0" fontId="97" fillId="56" borderId="6" xfId="0" applyFont="1" applyFill="1" applyBorder="1" applyAlignment="1">
      <alignment horizontal="center" vertical="center"/>
    </xf>
    <xf numFmtId="0" fontId="96" fillId="0" borderId="6" xfId="0" applyFont="1" applyBorder="1" applyAlignment="1">
      <alignment horizontal="center" vertical="center"/>
    </xf>
    <xf numFmtId="0" fontId="98" fillId="0" borderId="6" xfId="0" applyFont="1" applyBorder="1" applyAlignment="1">
      <alignment horizontal="center" vertical="center"/>
    </xf>
    <xf numFmtId="0" fontId="99" fillId="59" borderId="6" xfId="0" applyFont="1" applyFill="1" applyBorder="1" applyAlignment="1">
      <alignment horizontal="center" vertical="center"/>
    </xf>
    <xf numFmtId="0" fontId="39" fillId="8" borderId="6" xfId="0" applyFont="1" applyFill="1" applyBorder="1" applyAlignment="1">
      <alignment horizontal="center" vertical="center"/>
    </xf>
    <xf numFmtId="0" fontId="43" fillId="8" borderId="6" xfId="0" applyFont="1" applyFill="1" applyBorder="1" applyAlignment="1">
      <alignment horizontal="center" vertical="center"/>
    </xf>
    <xf numFmtId="0" fontId="6" fillId="8" borderId="6" xfId="0" applyFont="1" applyFill="1" applyBorder="1" applyAlignment="1">
      <alignment horizontal="center" vertical="center"/>
    </xf>
    <xf numFmtId="0" fontId="86" fillId="47" borderId="0" xfId="0" applyFont="1" applyFill="1" applyAlignment="1">
      <alignment horizontal="left" vertical="center"/>
    </xf>
    <xf numFmtId="0" fontId="13" fillId="48" borderId="0" xfId="0" applyFont="1" applyFill="1" applyAlignment="1">
      <alignment horizontal="center"/>
    </xf>
    <xf numFmtId="0" fontId="13" fillId="49" borderId="0" xfId="0" applyFont="1" applyFill="1" applyAlignment="1">
      <alignment horizontal="center"/>
    </xf>
    <xf numFmtId="0" fontId="13" fillId="50" borderId="0" xfId="0" applyFont="1" applyFill="1" applyAlignment="1">
      <alignment horizontal="center"/>
    </xf>
    <xf numFmtId="0" fontId="64" fillId="43" borderId="15" xfId="0" applyFont="1" applyFill="1" applyBorder="1" applyAlignment="1">
      <alignment horizontal="center" vertical="center" wrapText="1"/>
    </xf>
    <xf numFmtId="0" fontId="64" fillId="43" borderId="43" xfId="0" applyFont="1" applyFill="1" applyBorder="1" applyAlignment="1">
      <alignment horizontal="center" vertical="center" wrapText="1"/>
    </xf>
    <xf numFmtId="0" fontId="64" fillId="44" borderId="15" xfId="0" applyFont="1" applyFill="1" applyBorder="1" applyAlignment="1">
      <alignment horizontal="center" vertical="center" wrapText="1"/>
    </xf>
    <xf numFmtId="0" fontId="64" fillId="44" borderId="43" xfId="0" applyFont="1" applyFill="1" applyBorder="1" applyAlignment="1">
      <alignment horizontal="center" vertical="center" wrapText="1"/>
    </xf>
    <xf numFmtId="0" fontId="56" fillId="0" borderId="2" xfId="0" applyFont="1" applyBorder="1" applyAlignment="1">
      <alignment horizontal="center" vertical="center"/>
    </xf>
    <xf numFmtId="0" fontId="60" fillId="4" borderId="15" xfId="0" applyFont="1" applyFill="1" applyBorder="1" applyAlignment="1">
      <alignment horizontal="center" vertical="center" wrapText="1"/>
    </xf>
    <xf numFmtId="0" fontId="62" fillId="4" borderId="41" xfId="0" applyFont="1" applyFill="1" applyBorder="1" applyAlignment="1">
      <alignment horizontal="center" vertical="center" wrapText="1"/>
    </xf>
    <xf numFmtId="0" fontId="63" fillId="0" borderId="13" xfId="0" applyFont="1" applyBorder="1" applyAlignment="1">
      <alignment horizontal="left" vertical="center" wrapText="1"/>
    </xf>
    <xf numFmtId="0" fontId="60" fillId="2" borderId="15" xfId="0" applyFont="1" applyFill="1" applyBorder="1" applyAlignment="1">
      <alignment horizontal="center" vertical="center" wrapText="1"/>
    </xf>
    <xf numFmtId="0" fontId="62" fillId="2" borderId="41" xfId="0" applyFont="1" applyFill="1" applyBorder="1" applyAlignment="1">
      <alignment horizontal="center" vertical="center" wrapText="1"/>
    </xf>
    <xf numFmtId="0" fontId="63" fillId="0" borderId="15" xfId="0" applyFont="1" applyBorder="1" applyAlignment="1">
      <alignment horizontal="left" vertical="center" wrapText="1"/>
    </xf>
    <xf numFmtId="0" fontId="63" fillId="0" borderId="42" xfId="0" applyFont="1" applyBorder="1" applyAlignment="1">
      <alignment horizontal="left" vertical="center" wrapText="1"/>
    </xf>
    <xf numFmtId="0" fontId="60" fillId="41" borderId="15" xfId="0" applyFont="1" applyFill="1" applyBorder="1" applyAlignment="1">
      <alignment horizontal="center" vertical="center" wrapText="1"/>
    </xf>
    <xf numFmtId="0" fontId="62" fillId="41" borderId="41" xfId="0" applyFont="1" applyFill="1" applyBorder="1" applyAlignment="1">
      <alignment horizontal="center" vertical="center" wrapText="1"/>
    </xf>
    <xf numFmtId="0" fontId="64" fillId="42" borderId="15" xfId="0" applyFont="1" applyFill="1" applyBorder="1" applyAlignment="1">
      <alignment horizontal="center" vertical="center" wrapText="1"/>
    </xf>
    <xf numFmtId="0" fontId="64" fillId="42" borderId="43" xfId="0" applyFont="1" applyFill="1" applyBorder="1" applyAlignment="1">
      <alignment horizontal="center" vertical="center" wrapText="1"/>
    </xf>
    <xf numFmtId="0" fontId="10" fillId="0" borderId="0" xfId="0" applyFont="1" applyAlignment="1">
      <alignment horizontal="left" vertical="center"/>
    </xf>
    <xf numFmtId="0" fontId="0" fillId="0" borderId="0" xfId="0" applyAlignment="1">
      <alignment horizontal="left" vertical="center"/>
    </xf>
    <xf numFmtId="0" fontId="12" fillId="14" borderId="0" xfId="0" applyFont="1" applyFill="1" applyAlignment="1">
      <alignment horizontal="center" vertical="center" wrapText="1"/>
    </xf>
    <xf numFmtId="0" fontId="0" fillId="0" borderId="0" xfId="0" applyAlignment="1">
      <alignment horizontal="center" vertical="center"/>
    </xf>
    <xf numFmtId="0" fontId="9" fillId="11" borderId="0" xfId="0" applyFont="1" applyFill="1" applyAlignment="1">
      <alignment horizontal="center" vertical="center"/>
    </xf>
    <xf numFmtId="0" fontId="7" fillId="10" borderId="37" xfId="0" applyFont="1" applyFill="1" applyBorder="1" applyAlignment="1">
      <alignment horizontal="center" vertical="center"/>
    </xf>
    <xf numFmtId="0" fontId="7" fillId="10" borderId="38" xfId="0" applyFont="1" applyFill="1" applyBorder="1" applyAlignment="1">
      <alignment horizontal="center" vertical="center"/>
    </xf>
    <xf numFmtId="0" fontId="7" fillId="10" borderId="39" xfId="0" applyFont="1" applyFill="1" applyBorder="1" applyAlignment="1">
      <alignment horizontal="center" vertical="center"/>
    </xf>
    <xf numFmtId="49" fontId="42" fillId="24" borderId="36" xfId="8" applyNumberFormat="1" applyFont="1" applyBorder="1" applyAlignment="1">
      <alignment horizontal="center" vertical="center"/>
    </xf>
    <xf numFmtId="49" fontId="34" fillId="34" borderId="36" xfId="0" applyNumberFormat="1" applyFont="1" applyFill="1" applyBorder="1" applyAlignment="1">
      <alignment horizontal="center" vertical="center"/>
    </xf>
    <xf numFmtId="49" fontId="42" fillId="22" borderId="36" xfId="6" applyNumberFormat="1" applyFont="1" applyBorder="1" applyAlignment="1">
      <alignment horizontal="center" vertical="center"/>
    </xf>
    <xf numFmtId="49" fontId="42" fillId="26" borderId="36" xfId="10" applyNumberFormat="1" applyFont="1" applyBorder="1" applyAlignment="1">
      <alignment horizontal="center" vertical="center"/>
    </xf>
    <xf numFmtId="49" fontId="33" fillId="30" borderId="36" xfId="0" applyNumberFormat="1" applyFont="1" applyFill="1" applyBorder="1" applyAlignment="1">
      <alignment horizontal="center" vertical="center"/>
    </xf>
    <xf numFmtId="178" fontId="6" fillId="0" borderId="29" xfId="0" applyNumberFormat="1" applyFont="1" applyBorder="1" applyAlignment="1">
      <alignment horizontal="center" vertical="center"/>
    </xf>
    <xf numFmtId="178" fontId="6" fillId="0" borderId="20" xfId="0" applyNumberFormat="1" applyFont="1" applyBorder="1" applyAlignment="1">
      <alignment horizontal="center" vertical="center"/>
    </xf>
    <xf numFmtId="0" fontId="6" fillId="0" borderId="29" xfId="0" applyFont="1" applyBorder="1" applyAlignment="1">
      <alignment horizontal="center" vertical="center"/>
    </xf>
    <xf numFmtId="0" fontId="6" fillId="0" borderId="26" xfId="0" applyFont="1" applyBorder="1" applyAlignment="1">
      <alignment horizontal="center" vertical="center"/>
    </xf>
    <xf numFmtId="0" fontId="6" fillId="0" borderId="20" xfId="0" applyFont="1" applyBorder="1" applyAlignment="1">
      <alignment horizontal="center" vertical="center"/>
    </xf>
    <xf numFmtId="0" fontId="6" fillId="0" borderId="27" xfId="0" applyFont="1" applyBorder="1" applyAlignment="1">
      <alignment horizontal="center" vertical="center"/>
    </xf>
    <xf numFmtId="0" fontId="6" fillId="0" borderId="30" xfId="0" applyFont="1" applyBorder="1" applyAlignment="1">
      <alignment horizontal="center" vertical="center"/>
    </xf>
    <xf numFmtId="0" fontId="6" fillId="0" borderId="21" xfId="0" applyFont="1" applyBorder="1" applyAlignment="1">
      <alignment horizontal="center" vertical="center"/>
    </xf>
    <xf numFmtId="178" fontId="6" fillId="0" borderId="26" xfId="0" applyNumberFormat="1" applyFont="1" applyBorder="1" applyAlignment="1">
      <alignment horizontal="center" vertical="center"/>
    </xf>
    <xf numFmtId="0" fontId="14" fillId="0" borderId="29" xfId="0" applyFont="1" applyBorder="1" applyAlignment="1">
      <alignment horizontal="center" vertical="center"/>
    </xf>
    <xf numFmtId="0" fontId="14" fillId="0" borderId="20" xfId="0" applyFont="1" applyBorder="1" applyAlignment="1">
      <alignment horizontal="center" vertical="center"/>
    </xf>
    <xf numFmtId="0" fontId="6" fillId="0" borderId="0" xfId="0" applyFont="1" applyAlignment="1">
      <alignment horizontal="center" vertical="center"/>
    </xf>
    <xf numFmtId="0" fontId="84" fillId="0" borderId="0" xfId="0" applyFont="1" applyAlignment="1">
      <alignment horizontal="center" vertical="center"/>
    </xf>
    <xf numFmtId="0" fontId="6" fillId="0" borderId="0" xfId="0" applyFont="1" applyAlignment="1">
      <alignment horizontal="center" vertical="center" wrapText="1"/>
    </xf>
    <xf numFmtId="0" fontId="6" fillId="0" borderId="27"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21"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0" xfId="0" applyFont="1" applyBorder="1" applyAlignment="1">
      <alignment horizontal="center" vertical="center" wrapText="1"/>
    </xf>
    <xf numFmtId="179" fontId="44" fillId="0" borderId="0" xfId="0" applyNumberFormat="1" applyFont="1" applyAlignment="1">
      <alignment horizontal="center" vertical="center"/>
    </xf>
    <xf numFmtId="179" fontId="6" fillId="0" borderId="0" xfId="0" applyNumberFormat="1" applyFont="1" applyAlignment="1">
      <alignment horizontal="center" vertical="center"/>
    </xf>
    <xf numFmtId="0" fontId="6" fillId="0" borderId="32" xfId="0"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horizontal="center" vertical="center"/>
    </xf>
    <xf numFmtId="0" fontId="6" fillId="0" borderId="31" xfId="0" applyFont="1" applyBorder="1" applyAlignment="1">
      <alignment horizontal="center" vertical="center" wrapText="1"/>
    </xf>
    <xf numFmtId="0" fontId="54" fillId="0" borderId="0" xfId="0" applyFont="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14" xfId="0" applyFont="1" applyBorder="1" applyAlignment="1">
      <alignment horizontal="center" vertical="center"/>
    </xf>
    <xf numFmtId="0" fontId="29" fillId="0" borderId="16" xfId="0" applyFont="1" applyBorder="1" applyAlignment="1">
      <alignment horizontal="center" vertical="center"/>
    </xf>
    <xf numFmtId="0" fontId="43" fillId="6" borderId="6" xfId="0" applyFont="1" applyFill="1" applyBorder="1" applyAlignment="1">
      <alignment horizontal="center" vertical="center"/>
    </xf>
    <xf numFmtId="0" fontId="43" fillId="6" borderId="4" xfId="0" applyFont="1" applyFill="1" applyBorder="1" applyAlignment="1">
      <alignment horizontal="center" vertical="center"/>
    </xf>
    <xf numFmtId="178" fontId="6" fillId="0" borderId="0" xfId="0" applyNumberFormat="1" applyFont="1" applyAlignment="1">
      <alignment horizontal="center" vertical="center"/>
    </xf>
    <xf numFmtId="0" fontId="6" fillId="0" borderId="31" xfId="0" applyFont="1" applyBorder="1" applyAlignment="1">
      <alignment horizontal="center" vertical="center"/>
    </xf>
    <xf numFmtId="14" fontId="6" fillId="0" borderId="0" xfId="0" applyNumberFormat="1" applyFont="1" applyAlignment="1">
      <alignment horizontal="center" vertical="center"/>
    </xf>
    <xf numFmtId="0" fontId="28" fillId="0" borderId="0" xfId="0" applyFont="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77" fillId="0" borderId="5" xfId="0" applyFont="1" applyBorder="1" applyAlignment="1">
      <alignment horizontal="center"/>
    </xf>
    <xf numFmtId="0" fontId="77" fillId="0" borderId="0" xfId="0" applyFont="1" applyAlignment="1">
      <alignment horizontal="center"/>
    </xf>
    <xf numFmtId="0" fontId="77" fillId="0" borderId="61" xfId="0" applyFont="1" applyBorder="1" applyAlignment="1">
      <alignment horizontal="center"/>
    </xf>
    <xf numFmtId="0" fontId="77" fillId="0" borderId="5" xfId="0" applyFont="1" applyBorder="1" applyAlignment="1">
      <alignment horizontal="center" vertical="center" wrapText="1"/>
    </xf>
    <xf numFmtId="0" fontId="77" fillId="0" borderId="0" xfId="0" applyFont="1" applyAlignment="1">
      <alignment horizontal="center" vertical="center" wrapText="1"/>
    </xf>
    <xf numFmtId="0" fontId="77" fillId="0" borderId="61" xfId="0" applyFont="1" applyBorder="1" applyAlignment="1">
      <alignment horizontal="center" vertical="center" wrapText="1"/>
    </xf>
    <xf numFmtId="0" fontId="76" fillId="0" borderId="31" xfId="0" applyFont="1" applyBorder="1" applyAlignment="1">
      <alignment horizontal="center" vertical="center"/>
    </xf>
    <xf numFmtId="0" fontId="76" fillId="0" borderId="0" xfId="0" applyFont="1" applyAlignment="1">
      <alignment horizontal="center" vertical="center" wrapText="1"/>
    </xf>
    <xf numFmtId="0" fontId="76" fillId="0" borderId="0" xfId="0" applyFont="1" applyAlignment="1">
      <alignment horizontal="center" vertical="center"/>
    </xf>
    <xf numFmtId="0" fontId="79" fillId="0" borderId="0" xfId="0" applyFont="1" applyAlignment="1">
      <alignment horizontal="center" vertical="center"/>
    </xf>
    <xf numFmtId="0" fontId="76" fillId="6" borderId="0" xfId="0" applyFont="1" applyFill="1" applyAlignment="1">
      <alignment horizontal="center" vertical="center"/>
    </xf>
    <xf numFmtId="14" fontId="77" fillId="0" borderId="5" xfId="0" applyNumberFormat="1" applyFont="1" applyBorder="1" applyAlignment="1">
      <alignment horizontal="center" vertical="center" wrapText="1"/>
    </xf>
    <xf numFmtId="0" fontId="77" fillId="0" borderId="5" xfId="0" applyFont="1" applyBorder="1" applyAlignment="1">
      <alignment horizontal="center" vertical="center"/>
    </xf>
    <xf numFmtId="0" fontId="77" fillId="0" borderId="0" xfId="0" applyFont="1" applyAlignment="1">
      <alignment horizontal="center" vertical="center"/>
    </xf>
    <xf numFmtId="0" fontId="100" fillId="0" borderId="0" xfId="0" applyFont="1" applyAlignment="1">
      <alignment horizontal="center" vertical="center"/>
    </xf>
    <xf numFmtId="14" fontId="100" fillId="0" borderId="0" xfId="0" applyNumberFormat="1" applyFont="1" applyAlignment="1">
      <alignment horizontal="center" vertical="center"/>
    </xf>
    <xf numFmtId="0" fontId="100" fillId="0" borderId="0" xfId="0" applyFont="1" applyAlignment="1">
      <alignment horizontal="left" vertical="center" wrapText="1"/>
    </xf>
  </cellXfs>
  <cellStyles count="13">
    <cellStyle name="20% - 강조색2" xfId="7" builtinId="34"/>
    <cellStyle name="20% - 강조색4" xfId="9" builtinId="42"/>
    <cellStyle name="20% - 강조색6" xfId="11" builtinId="50"/>
    <cellStyle name="40% - 강조색1" xfId="5" builtinId="31"/>
    <cellStyle name="Hyperlink" xfId="1" xr:uid="{00000000-000B-0000-0000-000008000000}"/>
    <cellStyle name="Normal 2" xfId="3" xr:uid="{BBB852BA-8090-45AC-B863-9AA97E19563D}"/>
    <cellStyle name="강조색1" xfId="4" builtinId="29"/>
    <cellStyle name="강조색2" xfId="6" builtinId="33"/>
    <cellStyle name="강조색4" xfId="8" builtinId="41"/>
    <cellStyle name="강조색6" xfId="10" builtinId="49"/>
    <cellStyle name="표준" xfId="0" builtinId="0"/>
    <cellStyle name="표준 2" xfId="12" xr:uid="{9EFC8D6D-1CF7-40F5-B8B3-69E0E8826DBA}"/>
    <cellStyle name="표준 4" xfId="2" xr:uid="{1D7B6647-D3E6-4146-9EC2-6A4AA1E759FF}"/>
  </cellStyles>
  <dxfs count="1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595959"/>
      </font>
      <fill>
        <patternFill patternType="solid">
          <fgColor indexed="64"/>
          <bgColor rgb="FFD9D9D9"/>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8"/>
      </font>
      <fill>
        <patternFill patternType="solid">
          <fgColor indexed="64"/>
          <bgColor rgb="FFBDD7EE"/>
        </patternFill>
      </fill>
    </dxf>
    <dxf>
      <font>
        <color rgb="FF375623"/>
      </font>
      <fill>
        <patternFill patternType="solid">
          <fgColor indexed="64"/>
          <bgColor rgb="FFE2EFDA"/>
        </patternFill>
      </fill>
    </dxf>
    <dxf>
      <font>
        <color rgb="FF833C00"/>
      </font>
      <fill>
        <patternFill patternType="solid">
          <fgColor indexed="64"/>
          <bgColor rgb="FFFCE4D6"/>
        </patternFill>
      </fill>
    </dxf>
    <dxf>
      <font>
        <color rgb="FF7F6000"/>
      </font>
      <fill>
        <patternFill patternType="solid">
          <fgColor indexed="64"/>
          <bgColor rgb="FFFFF2CC"/>
        </patternFill>
      </fill>
    </dxf>
    <dxf>
      <font>
        <color rgb="FF1F4E78"/>
      </font>
      <fill>
        <patternFill patternType="solid">
          <fgColor indexed="64"/>
          <bgColor rgb="FFDDEBF7"/>
        </patternFill>
      </fill>
    </dxf>
    <dxf>
      <font>
        <color rgb="FF9C0006"/>
      </font>
      <fill>
        <patternFill>
          <bgColor rgb="FFFFC7CE"/>
        </patternFill>
      </fill>
    </dxf>
    <dxf>
      <font>
        <color rgb="FFFCD5B4"/>
      </font>
      <fill>
        <patternFill patternType="solid">
          <fgColor indexed="64"/>
          <bgColor rgb="FFFCD5B4"/>
        </patternFill>
      </fill>
    </dxf>
    <dxf>
      <font>
        <color rgb="FF1565C0"/>
      </font>
      <fill>
        <patternFill patternType="solid">
          <fgColor indexed="64"/>
          <bgColor rgb="FF1565C0"/>
        </patternFill>
      </fill>
    </dxf>
    <dxf>
      <font>
        <color rgb="FF00897B"/>
      </font>
      <fill>
        <patternFill patternType="solid">
          <fgColor indexed="64"/>
          <bgColor rgb="FF00897B"/>
        </patternFill>
      </fill>
    </dxf>
    <dxf>
      <font>
        <b/>
        <i val="0"/>
        <color rgb="FF006100"/>
      </font>
      <fill>
        <patternFill patternType="solid">
          <fgColor indexed="64"/>
          <bgColor rgb="FFC6EFCE"/>
        </patternFill>
      </fill>
    </dxf>
    <dxf>
      <font>
        <b/>
        <i val="0"/>
        <color rgb="FF000000"/>
      </font>
      <fill>
        <patternFill patternType="solid">
          <fgColor indexed="64"/>
          <bgColor rgb="FFF4B084"/>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0000"/>
      </font>
      <fill>
        <patternFill patternType="solid">
          <fgColor indexed="64"/>
          <bgColor rgb="FFD9D9D9"/>
        </patternFill>
      </fill>
    </dxf>
    <dxf>
      <font>
        <b/>
        <i val="0"/>
        <color rgb="FF006100"/>
      </font>
      <fill>
        <patternFill patternType="solid">
          <fgColor indexed="64"/>
          <bgColor rgb="FFC6EFCE"/>
        </patternFill>
      </fill>
    </dxf>
    <dxf>
      <font>
        <b/>
        <i val="0"/>
        <color rgb="FF000000"/>
      </font>
      <fill>
        <patternFill patternType="solid">
          <fgColor indexed="64"/>
          <bgColor rgb="FFF4B084"/>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0000"/>
      </font>
      <fill>
        <patternFill patternType="solid">
          <fgColor indexed="64"/>
          <bgColor rgb="FFD9D9D9"/>
        </patternFill>
      </fill>
    </dxf>
    <dxf>
      <font>
        <color rgb="FF9C6500"/>
      </font>
      <fill>
        <patternFill patternType="solid">
          <fgColor indexed="64"/>
          <bgColor rgb="FFFFEB9C"/>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2F5496"/>
      </font>
      <fill>
        <patternFill patternType="solid">
          <fgColor indexed="64"/>
          <bgColor rgb="FFD6E4F0"/>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b/>
        <i val="0"/>
        <color rgb="FF375623"/>
      </font>
      <fill>
        <patternFill patternType="solid">
          <fgColor indexed="64"/>
          <bgColor rgb="FFC6E0B4"/>
        </patternFill>
      </fill>
    </dxf>
    <dxf>
      <font>
        <b/>
        <i val="0"/>
        <color rgb="FFC55A11"/>
      </font>
      <fill>
        <patternFill patternType="solid">
          <fgColor indexed="64"/>
          <bgColor rgb="FFFCE4D6"/>
        </patternFill>
      </fill>
    </dxf>
    <dxf>
      <font>
        <b/>
        <i val="0"/>
        <color rgb="FF7F6000"/>
      </font>
      <fill>
        <patternFill patternType="solid">
          <fgColor indexed="64"/>
          <bgColor rgb="FFFFF2CC"/>
        </patternFill>
      </fill>
    </dxf>
    <dxf>
      <font>
        <b/>
        <i val="0"/>
        <color rgb="FF1F4E79"/>
      </font>
      <fill>
        <patternFill patternType="solid">
          <fgColor indexed="64"/>
          <bgColor rgb="FFDDEBF7"/>
        </patternFill>
      </fill>
    </dxf>
    <dxf>
      <font>
        <b/>
        <i val="0"/>
        <color rgb="FF595959"/>
      </font>
      <fill>
        <patternFill patternType="solid">
          <fgColor indexed="64"/>
          <bgColor rgb="FFEDEDED"/>
        </patternFill>
      </fill>
    </dxf>
    <dxf>
      <font>
        <color rgb="FF9C0006"/>
      </font>
      <fill>
        <patternFill>
          <bgColor rgb="FFFFC7CE"/>
        </patternFill>
      </fill>
    </dxf>
    <dxf>
      <fill>
        <patternFill patternType="solid">
          <fgColor indexed="64"/>
          <bgColor rgb="FFE2EFDA"/>
        </patternFill>
      </fill>
    </dxf>
    <dxf>
      <font>
        <b/>
        <i val="0"/>
        <color rgb="FF375623"/>
      </font>
      <fill>
        <patternFill patternType="solid">
          <fgColor indexed="64"/>
          <bgColor rgb="FFC6E0B4"/>
        </patternFill>
      </fill>
    </dxf>
    <dxf>
      <font>
        <b/>
        <i val="0"/>
        <color rgb="FFC55A11"/>
      </font>
      <fill>
        <patternFill patternType="solid">
          <fgColor indexed="64"/>
          <bgColor rgb="FFFCE4D6"/>
        </patternFill>
      </fill>
    </dxf>
    <dxf>
      <font>
        <b/>
        <i val="0"/>
        <color rgb="FF7F6000"/>
      </font>
      <fill>
        <patternFill patternType="solid">
          <fgColor indexed="64"/>
          <bgColor rgb="FFFFF2CC"/>
        </patternFill>
      </fill>
    </dxf>
    <dxf>
      <font>
        <b/>
        <i val="0"/>
        <color rgb="FF1F4E79"/>
      </font>
      <fill>
        <patternFill patternType="solid">
          <fgColor indexed="64"/>
          <bgColor rgb="FFDDEBF7"/>
        </patternFill>
      </fill>
    </dxf>
    <dxf>
      <font>
        <b/>
        <i val="0"/>
        <color rgb="FF595959"/>
      </font>
      <fill>
        <patternFill patternType="solid">
          <fgColor indexed="64"/>
          <bgColor rgb="FFEDEDED"/>
        </patternFill>
      </fill>
    </dxf>
    <dxf>
      <font>
        <color rgb="FF9C0006"/>
      </font>
      <fill>
        <patternFill>
          <bgColor rgb="FFFFC7CE"/>
        </patternFill>
      </fill>
    </dxf>
    <dxf>
      <font>
        <color rgb="FF9C0006"/>
      </font>
      <fill>
        <patternFill>
          <bgColor rgb="FFFFC7CE"/>
        </patternFill>
      </fill>
    </dxf>
    <dxf>
      <fill>
        <patternFill patternType="solid">
          <fgColor indexed="64"/>
          <bgColor rgb="FFE2EFDA"/>
        </patternFill>
      </fill>
    </dxf>
    <dxf>
      <font>
        <color rgb="FF808080"/>
      </font>
      <fill>
        <patternFill patternType="solid">
          <fgColor indexed="64"/>
          <bgColor rgb="FFEDEDED"/>
        </patternFill>
      </fill>
    </dxf>
    <dxf>
      <font>
        <color rgb="FF7F6000"/>
      </font>
      <fill>
        <patternFill patternType="solid">
          <fgColor indexed="64"/>
          <bgColor rgb="FFFFF2CC"/>
        </patternFill>
      </fill>
    </dxf>
    <dxf>
      <font>
        <b/>
        <i val="0"/>
        <color rgb="FF7F3F00"/>
      </font>
      <fill>
        <patternFill patternType="solid">
          <fgColor indexed="64"/>
          <bgColor rgb="FFFFC000"/>
        </patternFill>
      </fill>
    </dxf>
    <dxf>
      <font>
        <b/>
        <i val="0"/>
        <color rgb="FF7F0000"/>
      </font>
      <fill>
        <patternFill patternType="solid">
          <fgColor indexed="64"/>
          <bgColor rgb="FFFF7C80"/>
        </patternFill>
      </fill>
    </dxf>
    <dxf>
      <font>
        <b/>
        <i val="0"/>
        <color rgb="FF006100"/>
      </font>
      <fill>
        <patternFill patternType="solid">
          <fgColor indexed="64"/>
          <bgColor rgb="FFC6EFCE"/>
        </patternFill>
      </fill>
    </dxf>
    <dxf>
      <font>
        <color rgb="FF595959"/>
      </font>
      <fill>
        <patternFill patternType="solid">
          <fgColor indexed="64"/>
          <bgColor rgb="FFEDEDED"/>
        </patternFill>
      </fill>
    </dxf>
    <dxf>
      <font>
        <color rgb="FF9C6500"/>
      </font>
      <fill>
        <patternFill patternType="solid">
          <fgColor indexed="64"/>
          <bgColor rgb="FFFFEB9C"/>
        </patternFill>
      </fill>
    </dxf>
    <dxf>
      <font>
        <b/>
        <i val="0"/>
        <color rgb="FF9C0006"/>
      </font>
      <fill>
        <patternFill patternType="solid">
          <fgColor indexed="64"/>
          <bgColor rgb="FFFFC7CE"/>
        </patternFill>
      </fill>
    </dxf>
    <dxf>
      <font>
        <b/>
        <i val="0"/>
        <color rgb="FF375623"/>
      </font>
      <fill>
        <patternFill patternType="solid">
          <fgColor indexed="64"/>
          <bgColor rgb="FFC6E0B4"/>
        </patternFill>
      </fill>
    </dxf>
    <dxf>
      <font>
        <b/>
        <i val="0"/>
        <color rgb="FFC55A11"/>
      </font>
      <fill>
        <patternFill patternType="solid">
          <fgColor indexed="64"/>
          <bgColor rgb="FFFCE4D6"/>
        </patternFill>
      </fill>
    </dxf>
    <dxf>
      <font>
        <b/>
        <i val="0"/>
        <color rgb="FF7F6000"/>
      </font>
      <fill>
        <patternFill patternType="solid">
          <fgColor indexed="64"/>
          <bgColor rgb="FFFFF2CC"/>
        </patternFill>
      </fill>
    </dxf>
    <dxf>
      <font>
        <b/>
        <i val="0"/>
        <color rgb="FF1F4E79"/>
      </font>
      <fill>
        <patternFill patternType="solid">
          <fgColor indexed="64"/>
          <bgColor rgb="FFDDEBF7"/>
        </patternFill>
      </fill>
    </dxf>
    <dxf>
      <font>
        <b/>
        <i val="0"/>
        <color rgb="FF595959"/>
      </font>
      <fill>
        <patternFill patternType="solid">
          <fgColor indexed="64"/>
          <bgColor rgb="FFEDEDED"/>
        </patternFill>
      </fill>
    </dxf>
    <dxf>
      <font>
        <b/>
        <i val="0"/>
        <color rgb="FFC00000"/>
      </font>
    </dxf>
    <dxf>
      <fill>
        <patternFill patternType="solid">
          <fgColor indexed="64"/>
          <bgColor rgb="FFE8F3E8"/>
        </patternFill>
      </fill>
    </dxf>
    <dxf>
      <font>
        <b/>
        <i val="0"/>
        <color rgb="FFC00000"/>
      </font>
    </dxf>
    <dxf>
      <fill>
        <patternFill patternType="solid">
          <fgColor indexed="64"/>
          <bgColor rgb="FFE8F3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1.xml><?xml version="1.0" encoding="utf-8"?>
<Tasks xmlns="http://schemas.microsoft.com/office/tasks/2019/documenttasks">
  <Task id="{5CF820B3-5B51-48CE-B00A-2C97B294DF06}">
    <Anchor>
      <Comment id="{52FF7402-F976-44A1-9946-8645FC249EE3}"/>
    </Anchor>
    <History>
      <Event time="2026-04-21T01:13:02.80" id="{CD82821A-7552-424F-AD8A-9F153F37D279}">
        <Attribution userId="S::cb.park@ohmyhotel.com::fe9e6541-acb9-48cc-8c7a-bc54369fdee4" userName="Park Changbae (Aiden)" userProvider="AD"/>
        <Anchor>
          <Comment id="{52FF7402-F976-44A1-9946-8645FC249EE3}"/>
        </Anchor>
        <Create/>
      </Event>
      <Event time="2026-04-21T01:13:02.80" id="{8787142E-C379-4FBA-8EBB-A77A30D8EF79}">
        <Attribution userId="S::cb.park@ohmyhotel.com::fe9e6541-acb9-48cc-8c7a-bc54369fdee4" userName="Park Changbae (Aiden)" userProvider="AD"/>
        <Anchor>
          <Comment id="{52FF7402-F976-44A1-9946-8645FC249EE3}"/>
        </Anchor>
        <Assign userId="S::hw.tan@ohmyhotel.com::13ac10cb-f064-4000-876a-911b980636ef" userName="HooiWem Tan (Grace)" userProvider="AD"/>
      </Event>
      <Event time="2026-04-21T01:13:02.80" id="{21684C36-ADFF-4FE1-AF52-FCF3F9E79DD1}">
        <Attribution userId="S::cb.park@ohmyhotel.com::fe9e6541-acb9-48cc-8c7a-bc54369fdee4" userName="Park Changbae (Aiden)" userProvider="AD"/>
        <Anchor>
          <Comment id="{52FF7402-F976-44A1-9946-8645FC249EE3}"/>
        </Anchor>
        <SetTitle title="@HooiWem Tan (Grace) 계약변경, 여기다 업데이트"/>
      </Event>
    </History>
  </Task>
</Tasks>
</file>

<file path=xl/documenttasks/documenttask2.xml><?xml version="1.0" encoding="utf-8"?>
<Tasks xmlns="http://schemas.microsoft.com/office/tasks/2019/documenttasks">
  <Task id="{A5EBA575-CBD0-44EE-8A8E-738884F90959}">
    <Anchor>
      <Comment id="{D406B42E-3F94-4DC2-8CD9-4C05ACBD676D}"/>
    </Anchor>
    <History>
      <Event time="2025-08-29T07:17:34.72" id="{617FDD2C-6970-4058-B766-498F5E84238E}">
        <Attribution userId="S::cb.park@ohmyhotel.com::fe9e6541-acb9-48cc-8c7a-bc54369fdee4" userName="Park Changbae (Aiden)" userProvider="AD"/>
        <Anchor>
          <Comment id="{D406B42E-3F94-4DC2-8CD9-4C05ACBD676D}"/>
        </Anchor>
        <Create/>
      </Event>
      <Event time="2025-08-29T07:17:34.72" id="{7FA73664-585B-420A-AB34-CDB103FDB832}">
        <Attribution userId="S::cb.park@ohmyhotel.com::fe9e6541-acb9-48cc-8c7a-bc54369fdee4" userName="Park Changbae (Aiden)" userProvider="AD"/>
        <Anchor>
          <Comment id="{D406B42E-3F94-4DC2-8CD9-4C05ACBD676D}"/>
        </Anchor>
        <Assign userId="S::jw.yoon@ohmyhotel.com::d8a8343a-c75e-4bed-ac27-dae21289e549" userName="Jungwon Yoon (Sophia)" userProvider="AD"/>
      </Event>
      <Event time="2025-08-29T07:17:34.72" id="{8938CBFB-5435-4DD6-B1B0-8E894856F17A}">
        <Attribution userId="S::cb.park@ohmyhotel.com::fe9e6541-acb9-48cc-8c7a-bc54369fdee4" userName="Park Changbae (Aiden)" userProvider="AD"/>
        <Anchor>
          <Comment id="{D406B42E-3F94-4DC2-8CD9-4C05ACBD676D}"/>
        </Anchor>
        <SetTitle title="@Jungwon Yoon (Sophia) 싱가포르 한국인 담당자로 변경해요~~"/>
      </Event>
    </History>
  </Task>
</Task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HooiWem Tan (Grace)" id="{68139BF0-18F6-4E46-95B5-C08B1360DB4A}" userId="hw.tan@ohmyhotel.com" providerId="PeoplePicker"/>
  <person displayName="Jungwon Yoon (Sophia)" id="{EA24BD1A-5B03-4A69-BA22-39476B8A5B78}" userId="jw.yoon@ohmyhotel.com" providerId="PeoplePicker"/>
  <person displayName="Park Changbae (Aiden)" id="{AFC80136-D7A4-40AA-8A82-1E6F674412F6}" userId="S::cb.park@ohmyhotel.com::fe9e6541-acb9-48cc-8c7a-bc54369fde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6-04-21T01:13:51.03" personId="{AFC80136-D7A4-40AA-8A82-1E6F674412F6}" id="{52FF7402-F976-44A1-9946-8645FC249EE3}">
    <text xml:space="preserve">@HooiWem Tan (Grace) 계약변경, 여기다 업데이트 
</text>
    <mentions>
      <mention mentionpersonId="{68139BF0-18F6-4E46-95B5-C08B1360DB4A}" mentionId="{8CDD9A0C-AE41-45E2-A380-4DEDD829BAE2}" startIndex="0" length="2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5-08-29T07:17:35.43" personId="{AFC80136-D7A4-40AA-8A82-1E6F674412F6}" id="{D406B42E-3F94-4DC2-8CD9-4C05ACBD676D}">
    <text>@Jungwon Yoon (Sophia) 싱가포르 한국인 담당자로 변경해요~~</text>
    <mentions>
      <mention mentionpersonId="{EA24BD1A-5B03-4A69-BA22-39476B8A5B78}" mentionId="{245308C1-D814-4764-8194-1D2D08B86DF8}" startIndex="0" length="22"/>
    </mentions>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9">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2765465-9004-4754-8449-D5B991F8BBAC}">
  <we:reference id="WA200009404" version="1.0.0.5" store="ko-kr" storeType="omex"/>
  <we:alternateReferences>
    <we:reference id="WA200009404" version="1.0.0.5" store="ko-kr" storeType="omex"/>
  </we:alternateReferences>
  <we:properties>
    <we:property name="claude.fileId" value="&quot;8b6da1db-d7ec-4418-9aa6-66ec996c28d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8A2EBB6-C417-457B-9DF3-0B3E22FD1232}">
  <we:reference id="11d7cf85-ae5a-43b8-bc58-1e1a151cce24" version="1.0.0.1" store="excatalog" storeType="excatalog"/>
  <we:alternateReferences>
    <we:reference id="WA200010725" version="1.0.0.1" store="ko-kr" storeType="omex"/>
  </we:alternateReferences>
  <we:properties>
    <we:property name="claude.fileId" value="&quot;b6c59540-2c74-489b-84ca-d0c308682b9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10.xml.rels><?xml version="1.0" encoding="UTF-8" standalone="yes"?>
<Relationships xmlns="http://schemas.openxmlformats.org/package/2006/relationships"><Relationship Id="rId117" Type="http://schemas.openxmlformats.org/officeDocument/2006/relationships/hyperlink" Target="mailto:tc@ivivu.com" TargetMode="External"/><Relationship Id="rId21" Type="http://schemas.openxmlformats.org/officeDocument/2006/relationships/hyperlink" Target="mailto:holly.hou@klook.com" TargetMode="External"/><Relationship Id="rId63" Type="http://schemas.openxmlformats.org/officeDocument/2006/relationships/hyperlink" Target="https://app.hubspot.com/contacts/8914292/record/0-2/38487383725" TargetMode="External"/><Relationship Id="rId159" Type="http://schemas.openxmlformats.org/officeDocument/2006/relationships/hyperlink" Target="https://www.dmcwale.com/" TargetMode="External"/><Relationship Id="rId170" Type="http://schemas.openxmlformats.org/officeDocument/2006/relationships/hyperlink" Target="mailto:danita.christine@smailingtour.co.id;%20fransiska.felly@smailingtour.co.id;lany@smailingtour.co.id;%20putu.ayu@smailingtour.co.id" TargetMode="External"/><Relationship Id="rId226" Type="http://schemas.openxmlformats.org/officeDocument/2006/relationships/hyperlink" Target="https://r-express.ru/" TargetMode="External"/><Relationship Id="rId268" Type="http://schemas.openxmlformats.org/officeDocument/2006/relationships/hyperlink" Target="mailto:lichenxi@jevius.vip" TargetMode="External"/><Relationship Id="rId32" Type="http://schemas.openxmlformats.org/officeDocument/2006/relationships/hyperlink" Target="https://app.hubspot.com/contacts/8914292/record/0-2/6522788739" TargetMode="External"/><Relationship Id="rId74" Type="http://schemas.openxmlformats.org/officeDocument/2006/relationships/hyperlink" Target="https://www.30sundays.club/" TargetMode="External"/><Relationship Id="rId128" Type="http://schemas.openxmlformats.org/officeDocument/2006/relationships/hyperlink" Target="https://bingtrip.com/" TargetMode="External"/><Relationship Id="rId5" Type="http://schemas.openxmlformats.org/officeDocument/2006/relationships/hyperlink" Target="mailto:roylin0616@lifetour.com.tw" TargetMode="External"/><Relationship Id="rId95" Type="http://schemas.openxmlformats.org/officeDocument/2006/relationships/hyperlink" Target="mailto:sherryluo@tourmind.com" TargetMode="External"/><Relationship Id="rId160" Type="http://schemas.openxmlformats.org/officeDocument/2006/relationships/hyperlink" Target="https://www.kliknbook.com/" TargetMode="External"/><Relationship Id="rId181" Type="http://schemas.openxmlformats.org/officeDocument/2006/relationships/hyperlink" Target="mailto:zita.m@archipelagointernational.com" TargetMode="External"/><Relationship Id="rId216" Type="http://schemas.openxmlformats.org/officeDocument/2006/relationships/hyperlink" Target="mailto:polina.suslina@travelata.ru" TargetMode="External"/><Relationship Id="rId237" Type="http://schemas.openxmlformats.org/officeDocument/2006/relationships/hyperlink" Target="https://www.suningtrip.com/" TargetMode="External"/><Relationship Id="rId258" Type="http://schemas.openxmlformats.org/officeDocument/2006/relationships/hyperlink" Target="mailto:hosam@safasoft.com" TargetMode="External"/><Relationship Id="rId22" Type="http://schemas.openxmlformats.org/officeDocument/2006/relationships/hyperlink" Target="https://app.hubspot.com/contacts/8914292/record/0-2/17790763138" TargetMode="External"/><Relationship Id="rId43" Type="http://schemas.openxmlformats.org/officeDocument/2006/relationships/hyperlink" Target="http://baofangke.qiyouji.com/" TargetMode="External"/><Relationship Id="rId64" Type="http://schemas.openxmlformats.org/officeDocument/2006/relationships/hyperlink" Target="https://app.hubspot.com/contacts/8914292/record/0-2/40213615163" TargetMode="External"/><Relationship Id="rId118" Type="http://schemas.openxmlformats.org/officeDocument/2006/relationships/hyperlink" Target="mailto:luojianjun@linkalltravel.com" TargetMode="External"/><Relationship Id="rId139" Type="http://schemas.openxmlformats.org/officeDocument/2006/relationships/hyperlink" Target="mailto:johndionisio@travelme.ph" TargetMode="External"/><Relationship Id="rId85" Type="http://schemas.openxmlformats.org/officeDocument/2006/relationships/hyperlink" Target="mailto:zhudan@bingotravel.com.cn" TargetMode="External"/><Relationship Id="rId150" Type="http://schemas.openxmlformats.org/officeDocument/2006/relationships/hyperlink" Target="mailto:krunal.s@rezlive.com" TargetMode="External"/><Relationship Id="rId171" Type="http://schemas.openxmlformats.org/officeDocument/2006/relationships/hyperlink" Target="mailto:adityamahardika@santika.com" TargetMode="External"/><Relationship Id="rId192" Type="http://schemas.openxmlformats.org/officeDocument/2006/relationships/hyperlink" Target="mailto:xiaohui.ye@fangcang.com" TargetMode="External"/><Relationship Id="rId206" Type="http://schemas.openxmlformats.org/officeDocument/2006/relationships/hyperlink" Target="mailto:vi.ht@hgaviation.vn" TargetMode="External"/><Relationship Id="rId227" Type="http://schemas.openxmlformats.org/officeDocument/2006/relationships/hyperlink" Target="mailto:melania.v@ehotelxml.com" TargetMode="External"/><Relationship Id="rId248" Type="http://schemas.openxmlformats.org/officeDocument/2006/relationships/hyperlink" Target="mailto:xuwenbin@utourworld.com" TargetMode="External"/><Relationship Id="rId269" Type="http://schemas.openxmlformats.org/officeDocument/2006/relationships/hyperlink" Target="mailto:phoebe@goeasyintl.com.cn" TargetMode="External"/><Relationship Id="rId12" Type="http://schemas.openxmlformats.org/officeDocument/2006/relationships/hyperlink" Target="mailto:seven.sun@dida.com" TargetMode="External"/><Relationship Id="rId33" Type="http://schemas.openxmlformats.org/officeDocument/2006/relationships/hyperlink" Target="https://app.hubspot.com/contacts/8914292/record/0-2/6217894042" TargetMode="External"/><Relationship Id="rId108" Type="http://schemas.openxmlformats.org/officeDocument/2006/relationships/hyperlink" Target="mailto:Vivek.Kumar3@go-mmt.com" TargetMode="External"/><Relationship Id="rId129" Type="http://schemas.openxmlformats.org/officeDocument/2006/relationships/hyperlink" Target="mailto:kimdoan.dao@ivivu.com" TargetMode="External"/><Relationship Id="rId54" Type="http://schemas.openxmlformats.org/officeDocument/2006/relationships/hyperlink" Target="mailto:wigus0909@hotmail.com" TargetMode="External"/><Relationship Id="rId75" Type="http://schemas.openxmlformats.org/officeDocument/2006/relationships/hyperlink" Target="mailto:travel@tisse.in" TargetMode="External"/><Relationship Id="rId96" Type="http://schemas.openxmlformats.org/officeDocument/2006/relationships/hyperlink" Target="mailto:ricky.zeng@uonetravel.com" TargetMode="External"/><Relationship Id="rId140" Type="http://schemas.openxmlformats.org/officeDocument/2006/relationships/hyperlink" Target="mailto:cs@bookcabin.com;" TargetMode="External"/><Relationship Id="rId161" Type="http://schemas.openxmlformats.org/officeDocument/2006/relationships/hyperlink" Target="mailto:sales@kliknbook.com" TargetMode="External"/><Relationship Id="rId182" Type="http://schemas.openxmlformats.org/officeDocument/2006/relationships/hyperlink" Target="mailto:start@ostrovok.ru" TargetMode="External"/><Relationship Id="rId217" Type="http://schemas.openxmlformats.org/officeDocument/2006/relationships/hyperlink" Target="https://www.holidaytours.com.my/?utm_source=chatgpt.com" TargetMode="External"/><Relationship Id="rId6" Type="http://schemas.openxmlformats.org/officeDocument/2006/relationships/hyperlink" Target="mailto:nancyhsieh@everfuntravel.com" TargetMode="External"/><Relationship Id="rId238" Type="http://schemas.openxmlformats.org/officeDocument/2006/relationships/hyperlink" Target="mailto:zchai@m-tu.com" TargetMode="External"/><Relationship Id="rId259" Type="http://schemas.openxmlformats.org/officeDocument/2006/relationships/hyperlink" Target="mailto:2881975198@qq.com" TargetMode="External"/><Relationship Id="rId23" Type="http://schemas.openxmlformats.org/officeDocument/2006/relationships/hyperlink" Target="https://app.hubspot.com/contacts/8914292/record/0-2/35604554927" TargetMode="External"/><Relationship Id="rId119" Type="http://schemas.openxmlformats.org/officeDocument/2006/relationships/hyperlink" Target="mailto:whitney@meiya.com" TargetMode="External"/><Relationship Id="rId270" Type="http://schemas.openxmlformats.org/officeDocument/2006/relationships/hyperlink" Target="mailto:khanh.lebao@gotadi.com" TargetMode="External"/><Relationship Id="rId44" Type="http://schemas.openxmlformats.org/officeDocument/2006/relationships/hyperlink" Target="mailto:hongbo.h@alibaba-inc.com" TargetMode="External"/><Relationship Id="rId65" Type="http://schemas.openxmlformats.org/officeDocument/2006/relationships/hyperlink" Target="https://app.hubspot.com/contacts/8914292/record/0-2/17790785940" TargetMode="External"/><Relationship Id="rId86" Type="http://schemas.openxmlformats.org/officeDocument/2006/relationships/hyperlink" Target="mailto:trang.nguyen.quynh@chudu24.com" TargetMode="External"/><Relationship Id="rId130" Type="http://schemas.openxmlformats.org/officeDocument/2006/relationships/hyperlink" Target="mailto:outbound@chudu24.com" TargetMode="External"/><Relationship Id="rId151" Type="http://schemas.openxmlformats.org/officeDocument/2006/relationships/hyperlink" Target="mailto:raghunath.k@riya.travel" TargetMode="External"/><Relationship Id="rId172" Type="http://schemas.openxmlformats.org/officeDocument/2006/relationships/hyperlink" Target="mailto:zhangxiong@ytotrip.com" TargetMode="External"/><Relationship Id="rId193" Type="http://schemas.openxmlformats.org/officeDocument/2006/relationships/hyperlink" Target="mailto:bin.xie@fenbeitong.com" TargetMode="External"/><Relationship Id="rId207" Type="http://schemas.openxmlformats.org/officeDocument/2006/relationships/hyperlink" Target="mailto:patrickdinh@travelotels.com" TargetMode="External"/><Relationship Id="rId228" Type="http://schemas.openxmlformats.org/officeDocument/2006/relationships/hyperlink" Target="mailto:francesco.c@ehotelxml.com" TargetMode="External"/><Relationship Id="rId249" Type="http://schemas.openxmlformats.org/officeDocument/2006/relationships/hyperlink" Target="mailto:83192984@qq.com" TargetMode="External"/><Relationship Id="rId13" Type="http://schemas.openxmlformats.org/officeDocument/2006/relationships/hyperlink" Target="mailto:zhangdan58@meituan.com" TargetMode="External"/><Relationship Id="rId109" Type="http://schemas.openxmlformats.org/officeDocument/2006/relationships/hyperlink" Target="https://www.makemytrip.com/" TargetMode="External"/><Relationship Id="rId260" Type="http://schemas.openxmlformats.org/officeDocument/2006/relationships/hyperlink" Target="mailto:hyman@feijutravel.com" TargetMode="External"/><Relationship Id="rId34" Type="http://schemas.openxmlformats.org/officeDocument/2006/relationships/hyperlink" Target="https://app.hubspot.com/contacts/8914292/record/0-2/5793985088" TargetMode="External"/><Relationship Id="rId55" Type="http://schemas.openxmlformats.org/officeDocument/2006/relationships/hyperlink" Target="mailto:zc@ssbooking.com" TargetMode="External"/><Relationship Id="rId76" Type="http://schemas.openxmlformats.org/officeDocument/2006/relationships/hyperlink" Target="mailto:mizan@sharetrip.net" TargetMode="External"/><Relationship Id="rId97" Type="http://schemas.openxmlformats.org/officeDocument/2006/relationships/hyperlink" Target="mailto:shirley.liu@pax2night.com" TargetMode="External"/><Relationship Id="rId120" Type="http://schemas.openxmlformats.org/officeDocument/2006/relationships/hyperlink" Target="mailto:samuel@gzjoetravel.com" TargetMode="External"/><Relationship Id="rId141" Type="http://schemas.openxmlformats.org/officeDocument/2006/relationships/hyperlink" Target="mailto:customercare@lionairgroup.com" TargetMode="External"/><Relationship Id="rId7" Type="http://schemas.openxmlformats.org/officeDocument/2006/relationships/hyperlink" Target="mailto:mkd@besttour.com.tw" TargetMode="External"/><Relationship Id="rId162" Type="http://schemas.openxmlformats.org/officeDocument/2006/relationships/hyperlink" Target="mailto:muhamad.riyad@kliknbook.com" TargetMode="External"/><Relationship Id="rId183" Type="http://schemas.openxmlformats.org/officeDocument/2006/relationships/hyperlink" Target="https://ostrovok.ru/" TargetMode="External"/><Relationship Id="rId218" Type="http://schemas.openxmlformats.org/officeDocument/2006/relationships/hyperlink" Target="mailto:sales.advisor@holidaytours.com.my" TargetMode="External"/><Relationship Id="rId239" Type="http://schemas.openxmlformats.org/officeDocument/2006/relationships/hyperlink" Target="mailto:shanxiyoudao@sina.com" TargetMode="External"/><Relationship Id="rId250" Type="http://schemas.openxmlformats.org/officeDocument/2006/relationships/hyperlink" Target="mailto:Ken@zzeeko.com" TargetMode="External"/><Relationship Id="rId271" Type="http://schemas.openxmlformats.org/officeDocument/2006/relationships/printerSettings" Target="../printerSettings/printerSettings1.bin"/><Relationship Id="rId24" Type="http://schemas.openxmlformats.org/officeDocument/2006/relationships/hyperlink" Target="https://app.hubspot.com/contacts/8914292/record/0-2/17790763681" TargetMode="External"/><Relationship Id="rId45" Type="http://schemas.openxmlformats.org/officeDocument/2006/relationships/hyperlink" Target="https://www.qunar.com/" TargetMode="External"/><Relationship Id="rId66" Type="http://schemas.openxmlformats.org/officeDocument/2006/relationships/hyperlink" Target="https://app.hubspot.com/contacts/8914292/record/0-2/40288580265" TargetMode="External"/><Relationship Id="rId87" Type="http://schemas.openxmlformats.org/officeDocument/2006/relationships/hyperlink" Target="mailto:csmytour@mytour.vn" TargetMode="External"/><Relationship Id="rId110" Type="http://schemas.openxmlformats.org/officeDocument/2006/relationships/hyperlink" Target="mailto:a.pervakov@ostrovok.ru" TargetMode="External"/><Relationship Id="rId131" Type="http://schemas.openxmlformats.org/officeDocument/2006/relationships/hyperlink" Target="mailto:clarang@nanhwa.com" TargetMode="External"/><Relationship Id="rId152" Type="http://schemas.openxmlformats.org/officeDocument/2006/relationships/hyperlink" Target="mailto:nikhil.j@riya.travel" TargetMode="External"/><Relationship Id="rId173" Type="http://schemas.openxmlformats.org/officeDocument/2006/relationships/hyperlink" Target="https://www.otw.cn/" TargetMode="External"/><Relationship Id="rId194" Type="http://schemas.openxmlformats.org/officeDocument/2006/relationships/hyperlink" Target="https://www.schtwz.cn/" TargetMode="External"/><Relationship Id="rId208" Type="http://schemas.openxmlformats.org/officeDocument/2006/relationships/hyperlink" Target="https://www.travelotels.com/" TargetMode="External"/><Relationship Id="rId229" Type="http://schemas.openxmlformats.org/officeDocument/2006/relationships/hyperlink" Target="https://ehotelxml.com/" TargetMode="External"/><Relationship Id="rId240" Type="http://schemas.openxmlformats.org/officeDocument/2006/relationships/hyperlink" Target="mailto:lina.wu@hotelsys.cn" TargetMode="External"/><Relationship Id="rId261" Type="http://schemas.openxmlformats.org/officeDocument/2006/relationships/hyperlink" Target="mailto:cqsblp@163.com" TargetMode="External"/><Relationship Id="rId14" Type="http://schemas.openxmlformats.org/officeDocument/2006/relationships/hyperlink" Target="mailto:iris.nam@ly.com" TargetMode="External"/><Relationship Id="rId35" Type="http://schemas.openxmlformats.org/officeDocument/2006/relationships/hyperlink" Target="https://app.hubspot.com/contacts/8914292/record/0-2/5793985922" TargetMode="External"/><Relationship Id="rId56" Type="http://schemas.openxmlformats.org/officeDocument/2006/relationships/hyperlink" Target="https://app.hubspot.com/contacts/8914292/record/0-2/17790785814" TargetMode="External"/><Relationship Id="rId77" Type="http://schemas.openxmlformats.org/officeDocument/2006/relationships/hyperlink" Target="mailto:susu@yeetravel.com" TargetMode="External"/><Relationship Id="rId100" Type="http://schemas.openxmlformats.org/officeDocument/2006/relationships/hyperlink" Target="mailto:nisa@withinearth.com" TargetMode="External"/><Relationship Id="rId8" Type="http://schemas.openxmlformats.org/officeDocument/2006/relationships/hyperlink" Target="mailto:kakenchen@eztravel.com.tw" TargetMode="External"/><Relationship Id="rId98" Type="http://schemas.openxmlformats.org/officeDocument/2006/relationships/hyperlink" Target="mailto:daniyap@tio.asia" TargetMode="External"/><Relationship Id="rId121" Type="http://schemas.openxmlformats.org/officeDocument/2006/relationships/hyperlink" Target="mailto:fd@hdbooking.com" TargetMode="External"/><Relationship Id="rId142" Type="http://schemas.openxmlformats.org/officeDocument/2006/relationships/hyperlink" Target="mailto:oktavia.lolong@bayubuanatravel.com" TargetMode="External"/><Relationship Id="rId163" Type="http://schemas.openxmlformats.org/officeDocument/2006/relationships/hyperlink" Target="mailto:ida.cahyantari@traveloka.com" TargetMode="External"/><Relationship Id="rId184" Type="http://schemas.openxmlformats.org/officeDocument/2006/relationships/hyperlink" Target="mailto:care@via.com" TargetMode="External"/><Relationship Id="rId219" Type="http://schemas.openxmlformats.org/officeDocument/2006/relationships/hyperlink" Target="mailto:varun@dmcbazaar.com" TargetMode="External"/><Relationship Id="rId230" Type="http://schemas.openxmlformats.org/officeDocument/2006/relationships/hyperlink" Target="mailto:zhangjingrui@tuniu.com" TargetMode="External"/><Relationship Id="rId251" Type="http://schemas.openxmlformats.org/officeDocument/2006/relationships/hyperlink" Target="https://rahatasman.com/" TargetMode="External"/><Relationship Id="rId25" Type="http://schemas.openxmlformats.org/officeDocument/2006/relationships/hyperlink" Target="https://app.hubspot.com/contacts/8914292/record/0-2/37072629281" TargetMode="External"/><Relationship Id="rId46" Type="http://schemas.openxmlformats.org/officeDocument/2006/relationships/hyperlink" Target="mailto:globalhotel-9@cnbooking.net" TargetMode="External"/><Relationship Id="rId67" Type="http://schemas.openxmlformats.org/officeDocument/2006/relationships/hyperlink" Target="mailto:wencheng.cheng@qunar.com" TargetMode="External"/><Relationship Id="rId272" Type="http://schemas.openxmlformats.org/officeDocument/2006/relationships/vmlDrawing" Target="../drawings/vmlDrawing3.vml"/><Relationship Id="rId88" Type="http://schemas.openxmlformats.org/officeDocument/2006/relationships/hyperlink" Target="mailto:tubt@bestprice.vn" TargetMode="External"/><Relationship Id="rId111" Type="http://schemas.openxmlformats.org/officeDocument/2006/relationships/hyperlink" Target="mailto:Richard.wang@tristar.com.tw" TargetMode="External"/><Relationship Id="rId132" Type="http://schemas.openxmlformats.org/officeDocument/2006/relationships/hyperlink" Target="mailto:sales@cheapotel.com" TargetMode="External"/><Relationship Id="rId153" Type="http://schemas.openxmlformats.org/officeDocument/2006/relationships/hyperlink" Target="https://riya.travel/" TargetMode="External"/><Relationship Id="rId174" Type="http://schemas.openxmlformats.org/officeDocument/2006/relationships/hyperlink" Target="mailto:karenchen@wowtogo.com.cn" TargetMode="External"/><Relationship Id="rId195" Type="http://schemas.openxmlformats.org/officeDocument/2006/relationships/hyperlink" Target="http://www.atmc.vip/" TargetMode="External"/><Relationship Id="rId209" Type="http://schemas.openxmlformats.org/officeDocument/2006/relationships/hyperlink" Target="mailto:nathania.novianti@mgbedbank.com" TargetMode="External"/><Relationship Id="rId220" Type="http://schemas.openxmlformats.org/officeDocument/2006/relationships/hyperlink" Target="mailto:mine@tana.travel" TargetMode="External"/><Relationship Id="rId241" Type="http://schemas.openxmlformats.org/officeDocument/2006/relationships/hyperlink" Target="https://www.hotelsys.cn/" TargetMode="External"/><Relationship Id="rId15" Type="http://schemas.openxmlformats.org/officeDocument/2006/relationships/hyperlink" Target="mailto:freya.wang@toptown.cn" TargetMode="External"/><Relationship Id="rId36" Type="http://schemas.openxmlformats.org/officeDocument/2006/relationships/hyperlink" Target="https://app.hubspot.com/contacts/8914292/record/0-2/25107158273" TargetMode="External"/><Relationship Id="rId57" Type="http://schemas.openxmlformats.org/officeDocument/2006/relationships/hyperlink" Target="https://app.hubspot.com/contacts/8914292/record/0-2/17790785203" TargetMode="External"/><Relationship Id="rId262" Type="http://schemas.openxmlformats.org/officeDocument/2006/relationships/hyperlink" Target="mailto:1049396290@qq.com" TargetMode="External"/><Relationship Id="rId78" Type="http://schemas.openxmlformats.org/officeDocument/2006/relationships/hyperlink" Target="mailto:jason.zhen@linkstay.com" TargetMode="External"/><Relationship Id="rId99" Type="http://schemas.openxmlformats.org/officeDocument/2006/relationships/hyperlink" Target="mailto:kevin@stay-lah.com/%20Rajib.Ahmed@stay-lah.com" TargetMode="External"/><Relationship Id="rId101" Type="http://schemas.openxmlformats.org/officeDocument/2006/relationships/hyperlink" Target="mailto:alicelee.sh@ice-holidays.com/charlenecheah@ice-holidays.com" TargetMode="External"/><Relationship Id="rId122" Type="http://schemas.openxmlformats.org/officeDocument/2006/relationships/hyperlink" Target="https://inc.shinetour.com/inc/" TargetMode="External"/><Relationship Id="rId143" Type="http://schemas.openxmlformats.org/officeDocument/2006/relationships/hyperlink" Target="mailto:admin@reservation.santika.com" TargetMode="External"/><Relationship Id="rId164" Type="http://schemas.openxmlformats.org/officeDocument/2006/relationships/hyperlink" Target="https://www.traveloka.com/en-vn" TargetMode="External"/><Relationship Id="rId185" Type="http://schemas.openxmlformats.org/officeDocument/2006/relationships/hyperlink" Target="mailto:sourabh.shrivastava@easemytrip.com" TargetMode="External"/><Relationship Id="rId9" Type="http://schemas.openxmlformats.org/officeDocument/2006/relationships/hyperlink" Target="mailto:syuan4848@startravel.com.tw" TargetMode="External"/><Relationship Id="rId210" Type="http://schemas.openxmlformats.org/officeDocument/2006/relationships/hyperlink" Target="https://www.mgbedbank.com/home" TargetMode="External"/><Relationship Id="rId26" Type="http://schemas.openxmlformats.org/officeDocument/2006/relationships/hyperlink" Target="https://app.hubspot.com/contacts/8914292/record/0-2/36727778226" TargetMode="External"/><Relationship Id="rId231" Type="http://schemas.openxmlformats.org/officeDocument/2006/relationships/hyperlink" Target="mailto:hnzyy2023@smoothly168.com" TargetMode="External"/><Relationship Id="rId252" Type="http://schemas.openxmlformats.org/officeDocument/2006/relationships/hyperlink" Target="mailto:maksataman011@gmail.com" TargetMode="External"/><Relationship Id="rId273" Type="http://schemas.openxmlformats.org/officeDocument/2006/relationships/comments" Target="../comments3.xml"/><Relationship Id="rId47" Type="http://schemas.openxmlformats.org/officeDocument/2006/relationships/hyperlink" Target="https://www.connexustravel.com/" TargetMode="External"/><Relationship Id="rId68" Type="http://schemas.openxmlformats.org/officeDocument/2006/relationships/hyperlink" Target="mailto:cso@letsseetourandtravels.com" TargetMode="External"/><Relationship Id="rId89" Type="http://schemas.openxmlformats.org/officeDocument/2006/relationships/hyperlink" Target="https://app.hubspot.com/contacts/8914292/record/0-2/42081954193" TargetMode="External"/><Relationship Id="rId112" Type="http://schemas.openxmlformats.org/officeDocument/2006/relationships/hyperlink" Target="https://www.tristar.com.tw/" TargetMode="External"/><Relationship Id="rId133" Type="http://schemas.openxmlformats.org/officeDocument/2006/relationships/hyperlink" Target="https://rmgtours.com/our-suite-of-services/" TargetMode="External"/><Relationship Id="rId154" Type="http://schemas.openxmlformats.org/officeDocument/2006/relationships/hyperlink" Target="mailto:prashant.sati@tripjack.com" TargetMode="External"/><Relationship Id="rId175" Type="http://schemas.openxmlformats.org/officeDocument/2006/relationships/hyperlink" Target="mailto:alliances@travelguru.com" TargetMode="External"/><Relationship Id="rId196" Type="http://schemas.openxmlformats.org/officeDocument/2006/relationships/hyperlink" Target="https://www.z-trip.cn/index.html" TargetMode="External"/><Relationship Id="rId200" Type="http://schemas.openxmlformats.org/officeDocument/2006/relationships/hyperlink" Target="https://www.huilianyi.com/" TargetMode="External"/><Relationship Id="rId16" Type="http://schemas.openxmlformats.org/officeDocument/2006/relationships/hyperlink" Target="mailto:iris.nam@ly.com" TargetMode="External"/><Relationship Id="rId221" Type="http://schemas.openxmlformats.org/officeDocument/2006/relationships/hyperlink" Target="https://dmcbazaar.com/" TargetMode="External"/><Relationship Id="rId242" Type="http://schemas.openxmlformats.org/officeDocument/2006/relationships/hyperlink" Target="mailto:huangyuezhuan@xjjair.com" TargetMode="External"/><Relationship Id="rId263" Type="http://schemas.openxmlformats.org/officeDocument/2006/relationships/hyperlink" Target="mailto:morgen.wang@smartmice.cn" TargetMode="External"/><Relationship Id="rId37" Type="http://schemas.openxmlformats.org/officeDocument/2006/relationships/hyperlink" Target="https://www.acetours.sg/" TargetMode="External"/><Relationship Id="rId58" Type="http://schemas.openxmlformats.org/officeDocument/2006/relationships/hyperlink" Target="https://app.hubspot.com/contacts/8914292/record/0-2/17790763029" TargetMode="External"/><Relationship Id="rId79" Type="http://schemas.openxmlformats.org/officeDocument/2006/relationships/hyperlink" Target="mailto:tunghua@siloahtravel.com" TargetMode="External"/><Relationship Id="rId102" Type="http://schemas.openxmlformats.org/officeDocument/2006/relationships/hyperlink" Target="mailto:product.dev@mayflower-group.com" TargetMode="External"/><Relationship Id="rId123" Type="http://schemas.openxmlformats.org/officeDocument/2006/relationships/hyperlink" Target="https://www.gzjoetravel.com/" TargetMode="External"/><Relationship Id="rId144" Type="http://schemas.openxmlformats.org/officeDocument/2006/relationships/hyperlink" Target="mailto:andrew.kentjono@nusatrip.com" TargetMode="External"/><Relationship Id="rId90" Type="http://schemas.openxmlformats.org/officeDocument/2006/relationships/hyperlink" Target="https://mustgo.vn/" TargetMode="External"/><Relationship Id="rId165" Type="http://schemas.openxmlformats.org/officeDocument/2006/relationships/hyperlink" Target="mailto:kamal.kripalaney@tiket.com" TargetMode="External"/><Relationship Id="rId186" Type="http://schemas.openxmlformats.org/officeDocument/2006/relationships/hyperlink" Target="mailto:rahul.kumar@easemytrip.com" TargetMode="External"/><Relationship Id="rId211" Type="http://schemas.openxmlformats.org/officeDocument/2006/relationships/hyperlink" Target="mailto:sharon.sampson@cleartrip.com" TargetMode="External"/><Relationship Id="rId232" Type="http://schemas.openxmlformats.org/officeDocument/2006/relationships/hyperlink" Target="https://www.zyytrip.com/" TargetMode="External"/><Relationship Id="rId253" Type="http://schemas.openxmlformats.org/officeDocument/2006/relationships/hyperlink" Target="mailto:mia.w.tan@citsgbt.com" TargetMode="External"/><Relationship Id="rId274" Type="http://schemas.microsoft.com/office/2017/10/relationships/threadedComment" Target="../threadedComments/threadedComment2.xml"/><Relationship Id="rId27" Type="http://schemas.openxmlformats.org/officeDocument/2006/relationships/hyperlink" Target="https://app.hubspot.com/contacts/8914292/record/0-2/36896420703" TargetMode="External"/><Relationship Id="rId48" Type="http://schemas.openxmlformats.org/officeDocument/2006/relationships/hyperlink" Target="mailto:wesley.li@mq-trip.com" TargetMode="External"/><Relationship Id="rId69" Type="http://schemas.openxmlformats.org/officeDocument/2006/relationships/hyperlink" Target="https://www.letsseetourandtravels.com/" TargetMode="External"/><Relationship Id="rId113" Type="http://schemas.openxmlformats.org/officeDocument/2006/relationships/hyperlink" Target="mailto:giang.th.nguyen@vntrip.vn" TargetMode="External"/><Relationship Id="rId134" Type="http://schemas.openxmlformats.org/officeDocument/2006/relationships/hyperlink" Target="mailto:lillian.lin@qiyoji.com" TargetMode="External"/><Relationship Id="rId80" Type="http://schemas.openxmlformats.org/officeDocument/2006/relationships/hyperlink" Target="https://app.hubspot.com/contacts/8914292/record/0-2/41663615391" TargetMode="External"/><Relationship Id="rId155" Type="http://schemas.openxmlformats.org/officeDocument/2006/relationships/hyperlink" Target="http://www.tripjack.com/" TargetMode="External"/><Relationship Id="rId176" Type="http://schemas.openxmlformats.org/officeDocument/2006/relationships/hyperlink" Target="mailto:sales@akbartravelsonline.com" TargetMode="External"/><Relationship Id="rId197" Type="http://schemas.openxmlformats.org/officeDocument/2006/relationships/hyperlink" Target="https://www.sckti.com/" TargetMode="External"/><Relationship Id="rId201" Type="http://schemas.openxmlformats.org/officeDocument/2006/relationships/hyperlink" Target="http://www.cqwy.cn/page_en/sl.html" TargetMode="External"/><Relationship Id="rId222" Type="http://schemas.openxmlformats.org/officeDocument/2006/relationships/hyperlink" Target="https://tana.travel/" TargetMode="External"/><Relationship Id="rId243" Type="http://schemas.openxmlformats.org/officeDocument/2006/relationships/hyperlink" Target="mailto:jack@haventrip.global" TargetMode="External"/><Relationship Id="rId264" Type="http://schemas.openxmlformats.org/officeDocument/2006/relationships/hyperlink" Target="https://www.jidutravel.com/" TargetMode="External"/><Relationship Id="rId17" Type="http://schemas.openxmlformats.org/officeDocument/2006/relationships/hyperlink" Target="mailto:terence@hotelbank.com.tw" TargetMode="External"/><Relationship Id="rId38" Type="http://schemas.openxmlformats.org/officeDocument/2006/relationships/hyperlink" Target="https://www.wtstravel.com.sg/" TargetMode="External"/><Relationship Id="rId59" Type="http://schemas.openxmlformats.org/officeDocument/2006/relationships/hyperlink" Target="https://app.hubspot.com/contacts/8914292/record/0-2/5810821513" TargetMode="External"/><Relationship Id="rId103" Type="http://schemas.openxmlformats.org/officeDocument/2006/relationships/hyperlink" Target="mailto:Norhayati.Salim@luxurytours.com.my" TargetMode="External"/><Relationship Id="rId124" Type="http://schemas.openxmlformats.org/officeDocument/2006/relationships/hyperlink" Target="http://linkalltravel.com/about.html" TargetMode="External"/><Relationship Id="rId70" Type="http://schemas.openxmlformats.org/officeDocument/2006/relationships/hyperlink" Target="https://app.hubspot.com/contacts/8914292/record/0-2/40696667951" TargetMode="External"/><Relationship Id="rId91" Type="http://schemas.openxmlformats.org/officeDocument/2006/relationships/hyperlink" Target="mailto:dmc2@mustgo.vn" TargetMode="External"/><Relationship Id="rId145" Type="http://schemas.openxmlformats.org/officeDocument/2006/relationships/hyperlink" Target="mailto:ecommerce-indonesia@reddoorz.com" TargetMode="External"/><Relationship Id="rId166" Type="http://schemas.openxmlformats.org/officeDocument/2006/relationships/hyperlink" Target="mailto:globalproduct@dwidayatravel.com" TargetMode="External"/><Relationship Id="rId187" Type="http://schemas.openxmlformats.org/officeDocument/2006/relationships/hyperlink" Target="mailto:aa_sales_SG@airasia.com" TargetMode="External"/><Relationship Id="rId1" Type="http://schemas.openxmlformats.org/officeDocument/2006/relationships/hyperlink" Target="mailto:simon.yu@huamin.com.hk/1736464190@qq.com" TargetMode="External"/><Relationship Id="rId212" Type="http://schemas.openxmlformats.org/officeDocument/2006/relationships/hyperlink" Target="mailto:sonali.jena@cleartrip.com" TargetMode="External"/><Relationship Id="rId233" Type="http://schemas.openxmlformats.org/officeDocument/2006/relationships/hyperlink" Target="mailto:annysun@candoor.cn" TargetMode="External"/><Relationship Id="rId254" Type="http://schemas.openxmlformats.org/officeDocument/2006/relationships/hyperlink" Target="mailto:1186457624@qq.com" TargetMode="External"/><Relationship Id="rId28" Type="http://schemas.openxmlformats.org/officeDocument/2006/relationships/hyperlink" Target="https://app.hubspot.com/contacts/8914292/record/0-2/37235894408" TargetMode="External"/><Relationship Id="rId49" Type="http://schemas.openxmlformats.org/officeDocument/2006/relationships/hyperlink" Target="mailto:samuel@heytripgo.com" TargetMode="External"/><Relationship Id="rId114" Type="http://schemas.openxmlformats.org/officeDocument/2006/relationships/hyperlink" Target="mailto:hungph.bdd@vietravel.com" TargetMode="External"/><Relationship Id="rId275" Type="http://schemas.microsoft.com/office/2019/04/relationships/documenttask" Target="../documenttasks/documenttask2.xml"/><Relationship Id="rId60" Type="http://schemas.openxmlformats.org/officeDocument/2006/relationships/hyperlink" Target="https://app.hubspot.com/contacts/8914292/record/0-2/17712900277" TargetMode="External"/><Relationship Id="rId81" Type="http://schemas.openxmlformats.org/officeDocument/2006/relationships/hyperlink" Target="https://app.hubspot.com/contacts/8914292/record/0-2/35396102185" TargetMode="External"/><Relationship Id="rId135" Type="http://schemas.openxmlformats.org/officeDocument/2006/relationships/hyperlink" Target="mailto:david@tripaffiliates.com" TargetMode="External"/><Relationship Id="rId156" Type="http://schemas.openxmlformats.org/officeDocument/2006/relationships/hyperlink" Target="mailto:lakshay.s@yutrip.com" TargetMode="External"/><Relationship Id="rId177" Type="http://schemas.openxmlformats.org/officeDocument/2006/relationships/hyperlink" Target="https://www.ottila.com/;%20https:/www.ottila.net/" TargetMode="External"/><Relationship Id="rId198" Type="http://schemas.openxmlformats.org/officeDocument/2006/relationships/hyperlink" Target="https://www.flybycloud.com/" TargetMode="External"/><Relationship Id="rId202" Type="http://schemas.openxmlformats.org/officeDocument/2006/relationships/hyperlink" Target="https://www.tukeshanglv.com/" TargetMode="External"/><Relationship Id="rId223" Type="http://schemas.openxmlformats.org/officeDocument/2006/relationships/hyperlink" Target="mailto:ivan.chetvertkov@happytravel.tech" TargetMode="External"/><Relationship Id="rId244" Type="http://schemas.openxmlformats.org/officeDocument/2006/relationships/hyperlink" Target="https://www.haventrip.global/" TargetMode="External"/><Relationship Id="rId18" Type="http://schemas.openxmlformats.org/officeDocument/2006/relationships/hyperlink" Target="mailto:ariel.ho@accomy.com" TargetMode="External"/><Relationship Id="rId39" Type="http://schemas.openxmlformats.org/officeDocument/2006/relationships/hyperlink" Target="https://www.trustyou.com/" TargetMode="External"/><Relationship Id="rId265" Type="http://schemas.openxmlformats.org/officeDocument/2006/relationships/hyperlink" Target="mailto:lizzy.cai@wildchina.com" TargetMode="External"/><Relationship Id="rId50" Type="http://schemas.openxmlformats.org/officeDocument/2006/relationships/hyperlink" Target="https://www.aichotels.com/" TargetMode="External"/><Relationship Id="rId104" Type="http://schemas.openxmlformats.org/officeDocument/2006/relationships/hyperlink" Target="mailto:sales@profittravel.com.hk" TargetMode="External"/><Relationship Id="rId125" Type="http://schemas.openxmlformats.org/officeDocument/2006/relationships/hyperlink" Target="https://www.fangcang.com/" TargetMode="External"/><Relationship Id="rId146" Type="http://schemas.openxmlformats.org/officeDocument/2006/relationships/hyperlink" Target="mailto:listingteam@reddoorz.com;%20pricingteam@reddoorz.com" TargetMode="External"/><Relationship Id="rId167" Type="http://schemas.openxmlformats.org/officeDocument/2006/relationships/hyperlink" Target="mailto:dwicp@dwidayatravel.com" TargetMode="External"/><Relationship Id="rId188" Type="http://schemas.openxmlformats.org/officeDocument/2006/relationships/hyperlink" Target="mailto:rodolfo.bignone@abreuonline.com" TargetMode="External"/><Relationship Id="rId71" Type="http://schemas.openxmlformats.org/officeDocument/2006/relationships/hyperlink" Target="mailto:bhatt.aashish@ottila.com" TargetMode="External"/><Relationship Id="rId92" Type="http://schemas.openxmlformats.org/officeDocument/2006/relationships/hyperlink" Target="mailto:dlaw.sg@toureast.net//dennis_l.hq@jtbap.com" TargetMode="External"/><Relationship Id="rId213" Type="http://schemas.openxmlformats.org/officeDocument/2006/relationships/hyperlink" Target="mailto:nguyen.nguyen22@mservice.com.vn" TargetMode="External"/><Relationship Id="rId234" Type="http://schemas.openxmlformats.org/officeDocument/2006/relationships/hyperlink" Target="mailto:yujianfu@corp.jl-tour.com" TargetMode="External"/><Relationship Id="rId2" Type="http://schemas.openxmlformats.org/officeDocument/2006/relationships/hyperlink" Target="mailto:vivianlin@liontravel.com" TargetMode="External"/><Relationship Id="rId29" Type="http://schemas.openxmlformats.org/officeDocument/2006/relationships/hyperlink" Target="https://app.hubspot.com/contacts/8914292/record/0-2/17811919491" TargetMode="External"/><Relationship Id="rId255" Type="http://schemas.openxmlformats.org/officeDocument/2006/relationships/hyperlink" Target="https://rezmytrip.com/" TargetMode="External"/><Relationship Id="rId40" Type="http://schemas.openxmlformats.org/officeDocument/2006/relationships/hyperlink" Target="https://www.hoteliers.guru/home" TargetMode="External"/><Relationship Id="rId115" Type="http://schemas.openxmlformats.org/officeDocument/2006/relationships/hyperlink" Target="mailto:hp@mustgo.vn" TargetMode="External"/><Relationship Id="rId136" Type="http://schemas.openxmlformats.org/officeDocument/2006/relationships/hyperlink" Target="mailto:totae.sutha@bestindochina.com" TargetMode="External"/><Relationship Id="rId157" Type="http://schemas.openxmlformats.org/officeDocument/2006/relationships/hyperlink" Target="https://www.yutrp.com/" TargetMode="External"/><Relationship Id="rId178" Type="http://schemas.openxmlformats.org/officeDocument/2006/relationships/hyperlink" Target="mailto:sales@vntrip.vn" TargetMode="External"/><Relationship Id="rId61" Type="http://schemas.openxmlformats.org/officeDocument/2006/relationships/hyperlink" Target="https://app.hubspot.com/contacts/8914292/record/0-2/36800873247" TargetMode="External"/><Relationship Id="rId82" Type="http://schemas.openxmlformats.org/officeDocument/2006/relationships/hyperlink" Target="https://app.hubspot.com/contacts/8914292/record/0-2/41735249743" TargetMode="External"/><Relationship Id="rId199" Type="http://schemas.openxmlformats.org/officeDocument/2006/relationships/hyperlink" Target="https://www.homsom.com/" TargetMode="External"/><Relationship Id="rId203" Type="http://schemas.openxmlformats.org/officeDocument/2006/relationships/hyperlink" Target="https://tripsoho.com/zh/index.html" TargetMode="External"/><Relationship Id="rId19" Type="http://schemas.openxmlformats.org/officeDocument/2006/relationships/hyperlink" Target="https://app.hubspot.com/contacts/8914292/record/0-2/36518083429" TargetMode="External"/><Relationship Id="rId224" Type="http://schemas.openxmlformats.org/officeDocument/2006/relationships/hyperlink" Target="https://happytravel.com/" TargetMode="External"/><Relationship Id="rId245" Type="http://schemas.openxmlformats.org/officeDocument/2006/relationships/hyperlink" Target="mailto:zhangyong@xinyaotrip.com" TargetMode="External"/><Relationship Id="rId266" Type="http://schemas.openxmlformats.org/officeDocument/2006/relationships/hyperlink" Target="mailto:wuxuanjian1@huawei.com" TargetMode="External"/><Relationship Id="rId30" Type="http://schemas.openxmlformats.org/officeDocument/2006/relationships/hyperlink" Target="https://app.hubspot.com/contacts/8914292/record/0-2/35313983887" TargetMode="External"/><Relationship Id="rId105" Type="http://schemas.openxmlformats.org/officeDocument/2006/relationships/hyperlink" Target="mailto:cici.tang@pkfare.com" TargetMode="External"/><Relationship Id="rId126" Type="http://schemas.openxmlformats.org/officeDocument/2006/relationships/hyperlink" Target="http://wx.sugarloud.com/index.html" TargetMode="External"/><Relationship Id="rId147" Type="http://schemas.openxmlformats.org/officeDocument/2006/relationships/hyperlink" Target="mailto:disha.samant@go-mmt.com" TargetMode="External"/><Relationship Id="rId168" Type="http://schemas.openxmlformats.org/officeDocument/2006/relationships/hyperlink" Target="https://www.dwidayatour.co.id/" TargetMode="External"/><Relationship Id="rId51" Type="http://schemas.openxmlformats.org/officeDocument/2006/relationships/hyperlink" Target="mailto:wynnie.xiao@aichotels.com" TargetMode="External"/><Relationship Id="rId72" Type="http://schemas.openxmlformats.org/officeDocument/2006/relationships/hyperlink" Target="mailto:globalcenter.ind@gmail.com" TargetMode="External"/><Relationship Id="rId93" Type="http://schemas.openxmlformats.org/officeDocument/2006/relationships/hyperlink" Target="mailto:angga.primasetya@tiket.com;%20pradita.saputri@tiket.com" TargetMode="External"/><Relationship Id="rId189" Type="http://schemas.openxmlformats.org/officeDocument/2006/relationships/hyperlink" Target="https://www.abreuonline.com/" TargetMode="External"/><Relationship Id="rId3" Type="http://schemas.openxmlformats.org/officeDocument/2006/relationships/hyperlink" Target="mailto:yufen.hsu@colatour.com.tw" TargetMode="External"/><Relationship Id="rId214" Type="http://schemas.openxmlformats.org/officeDocument/2006/relationships/hyperlink" Target="mailto:hoang.dang3@mservice.com.vn" TargetMode="External"/><Relationship Id="rId235" Type="http://schemas.openxmlformats.org/officeDocument/2006/relationships/hyperlink" Target="https://www.jl-tour.com/" TargetMode="External"/><Relationship Id="rId256" Type="http://schemas.openxmlformats.org/officeDocument/2006/relationships/hyperlink" Target="mailto:munjal@rezmytrip.com" TargetMode="External"/><Relationship Id="rId116" Type="http://schemas.openxmlformats.org/officeDocument/2006/relationships/hyperlink" Target="mailto:thuongln.bdd@vietravel.com" TargetMode="External"/><Relationship Id="rId137" Type="http://schemas.openxmlformats.org/officeDocument/2006/relationships/hyperlink" Target="mailto:elsa@fourseastravel.com" TargetMode="External"/><Relationship Id="rId158" Type="http://schemas.openxmlformats.org/officeDocument/2006/relationships/hyperlink" Target="mailto:hariom@dmcwale.com" TargetMode="External"/><Relationship Id="rId20" Type="http://schemas.openxmlformats.org/officeDocument/2006/relationships/hyperlink" Target="https://www.egltours.com/" TargetMode="External"/><Relationship Id="rId41" Type="http://schemas.openxmlformats.org/officeDocument/2006/relationships/hyperlink" Target="https://www.dida.com/" TargetMode="External"/><Relationship Id="rId62" Type="http://schemas.openxmlformats.org/officeDocument/2006/relationships/hyperlink" Target="https://app.hubspot.com/contacts/8914292/record/0-2/36896412475" TargetMode="External"/><Relationship Id="rId83" Type="http://schemas.openxmlformats.org/officeDocument/2006/relationships/hyperlink" Target="mailto:dianeenri@pinoytourism.com" TargetMode="External"/><Relationship Id="rId179" Type="http://schemas.openxmlformats.org/officeDocument/2006/relationships/hyperlink" Target="mailto:c@gotadi.com" TargetMode="External"/><Relationship Id="rId190" Type="http://schemas.openxmlformats.org/officeDocument/2006/relationships/hyperlink" Target="mailto:nanlei@mafengwo.com" TargetMode="External"/><Relationship Id="rId204" Type="http://schemas.openxmlformats.org/officeDocument/2006/relationships/hyperlink" Target="mailto:amigos@fx-port.com" TargetMode="External"/><Relationship Id="rId225" Type="http://schemas.openxmlformats.org/officeDocument/2006/relationships/hyperlink" Target="mailto:Natalya.Khokhlova@r-express.ru" TargetMode="External"/><Relationship Id="rId246" Type="http://schemas.openxmlformats.org/officeDocument/2006/relationships/hyperlink" Target="mailto:imam.merzouk@mygo.pro" TargetMode="External"/><Relationship Id="rId267" Type="http://schemas.openxmlformats.org/officeDocument/2006/relationships/hyperlink" Target="https://www.huawei.com/" TargetMode="External"/><Relationship Id="rId106" Type="http://schemas.openxmlformats.org/officeDocument/2006/relationships/hyperlink" Target="mailto:ben@gettour.com" TargetMode="External"/><Relationship Id="rId127" Type="http://schemas.openxmlformats.org/officeDocument/2006/relationships/hyperlink" Target="mailto:carrie@bingtrip.com" TargetMode="External"/><Relationship Id="rId10" Type="http://schemas.openxmlformats.org/officeDocument/2006/relationships/hyperlink" Target="mailto:catherine.guo@tbo.com" TargetMode="External"/><Relationship Id="rId31" Type="http://schemas.openxmlformats.org/officeDocument/2006/relationships/hyperlink" Target="https://app.hubspot.com/contacts/8914292/record/0-2/17790763281" TargetMode="External"/><Relationship Id="rId52" Type="http://schemas.openxmlformats.org/officeDocument/2006/relationships/hyperlink" Target="mailto:aaa61209@hotmail.com" TargetMode="External"/><Relationship Id="rId73" Type="http://schemas.openxmlformats.org/officeDocument/2006/relationships/hyperlink" Target="mailto:nishant.dixit@30sundays.club" TargetMode="External"/><Relationship Id="rId94" Type="http://schemas.openxmlformats.org/officeDocument/2006/relationships/hyperlink" Target="https://app.hubspot.com/contacts/8914292/record/0-2/32116029271" TargetMode="External"/><Relationship Id="rId148" Type="http://schemas.openxmlformats.org/officeDocument/2006/relationships/hyperlink" Target="mailto:amit.shukla@go-mmt.com" TargetMode="External"/><Relationship Id="rId169" Type="http://schemas.openxmlformats.org/officeDocument/2006/relationships/hyperlink" Target="mailto:inge.chris@smailingtour.co.id" TargetMode="External"/><Relationship Id="rId4" Type="http://schemas.openxmlformats.org/officeDocument/2006/relationships/hyperlink" Target="mailto:yumi.lin@settour.com.tw" TargetMode="External"/><Relationship Id="rId180" Type="http://schemas.openxmlformats.org/officeDocument/2006/relationships/hyperlink" Target="mailto:zita.m@archipelagohotels.com" TargetMode="External"/><Relationship Id="rId215" Type="http://schemas.openxmlformats.org/officeDocument/2006/relationships/hyperlink" Target="https://www.momo.vn/" TargetMode="External"/><Relationship Id="rId236" Type="http://schemas.openxmlformats.org/officeDocument/2006/relationships/hyperlink" Target="mailto:chengyanan@suningtour.cn" TargetMode="External"/><Relationship Id="rId257" Type="http://schemas.openxmlformats.org/officeDocument/2006/relationships/hyperlink" Target="https://safasoft.com/en" TargetMode="External"/><Relationship Id="rId42" Type="http://schemas.openxmlformats.org/officeDocument/2006/relationships/hyperlink" Target="https://www.huizhi-intl.com/" TargetMode="External"/><Relationship Id="rId84" Type="http://schemas.openxmlformats.org/officeDocument/2006/relationships/hyperlink" Target="mailto:vinod@mynztrip.com" TargetMode="External"/><Relationship Id="rId138" Type="http://schemas.openxmlformats.org/officeDocument/2006/relationships/hyperlink" Target="https://travelme.asia/" TargetMode="External"/><Relationship Id="rId191" Type="http://schemas.openxmlformats.org/officeDocument/2006/relationships/hyperlink" Target="mailto:shendong@wanzicloud.com" TargetMode="External"/><Relationship Id="rId205" Type="http://schemas.openxmlformats.org/officeDocument/2006/relationships/hyperlink" Target="https://fx-port.com/vi" TargetMode="External"/><Relationship Id="rId247" Type="http://schemas.openxmlformats.org/officeDocument/2006/relationships/hyperlink" Target="https://www.mygo.co/login" TargetMode="External"/><Relationship Id="rId107" Type="http://schemas.openxmlformats.org/officeDocument/2006/relationships/hyperlink" Target="https://www.gettour.com.tw/" TargetMode="External"/><Relationship Id="rId11" Type="http://schemas.openxmlformats.org/officeDocument/2006/relationships/hyperlink" Target="mailto:hrc@hrclink.com.tw/eunice@hrclink.com.tw" TargetMode="External"/><Relationship Id="rId53" Type="http://schemas.openxmlformats.org/officeDocument/2006/relationships/hyperlink" Target="mailto:guanyuman@gzyuanao.com.cn" TargetMode="External"/><Relationship Id="rId149" Type="http://schemas.openxmlformats.org/officeDocument/2006/relationships/hyperlink" Target="https://www.makemytrip.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ttgasia.com/2026/08/04/malaysian-travellers-rewrite-the-rules-of-outbound-travel/" TargetMode="External"/><Relationship Id="rId2" Type="http://schemas.openxmlformats.org/officeDocument/2006/relationships/hyperlink" Target="https://www.ttgasia.com/2026/08/04/malaysian-travellers-rewrite-the-rules-of-outbound-travel/" TargetMode="External"/><Relationship Id="rId1" Type="http://schemas.openxmlformats.org/officeDocument/2006/relationships/hyperlink" Target="https://roomforless.net/" TargetMode="External"/><Relationship Id="rId4" Type="http://schemas.openxmlformats.org/officeDocument/2006/relationships/hyperlink" Target="https://www.ttgasia.com/2026/08/04/malaysian-travellers-rewrite-the-rules-of-outbound-trav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11DE-7FA8-4ABB-9036-EE2DE066BFE8}">
  <sheetPr>
    <tabColor theme="9" tint="-0.499984740745262"/>
  </sheetPr>
  <dimension ref="A1:T38"/>
  <sheetViews>
    <sheetView workbookViewId="0">
      <pane xSplit="2" ySplit="2" topLeftCell="K14" activePane="bottomRight" state="frozen"/>
      <selection pane="bottomRight" activeCell="P28" sqref="P28"/>
      <selection pane="bottomLeft"/>
      <selection pane="topRight"/>
    </sheetView>
  </sheetViews>
  <sheetFormatPr defaultRowHeight="17.100000000000001"/>
  <cols>
    <col min="1" max="1" width="19" customWidth="1"/>
    <col min="2" max="2" width="20" customWidth="1"/>
    <col min="3" max="20" width="23.875" customWidth="1"/>
  </cols>
  <sheetData>
    <row r="1" spans="1:20" ht="36">
      <c r="A1" s="404" t="s">
        <v>0</v>
      </c>
      <c r="B1" s="404"/>
      <c r="C1" s="404"/>
      <c r="D1" s="404"/>
      <c r="E1" s="404"/>
      <c r="F1" s="404"/>
      <c r="G1" s="404"/>
      <c r="H1" s="184"/>
      <c r="I1" s="184"/>
      <c r="J1" s="184"/>
      <c r="K1" s="184"/>
      <c r="L1" s="184"/>
      <c r="M1" s="184"/>
      <c r="N1" s="185" t="s">
        <v>1</v>
      </c>
      <c r="O1" s="186"/>
    </row>
    <row r="2" spans="1:20" ht="21.75" customHeight="1">
      <c r="A2" s="187" t="s">
        <v>2</v>
      </c>
      <c r="B2" s="187" t="s">
        <v>3</v>
      </c>
      <c r="C2" s="187" t="s">
        <v>4</v>
      </c>
      <c r="D2" s="187" t="s">
        <v>5</v>
      </c>
      <c r="E2" s="187" t="s">
        <v>6</v>
      </c>
      <c r="F2" s="187" t="s">
        <v>7</v>
      </c>
      <c r="G2" s="187" t="s">
        <v>8</v>
      </c>
      <c r="H2" s="188" t="s">
        <v>9</v>
      </c>
      <c r="I2" s="188" t="s">
        <v>10</v>
      </c>
      <c r="J2" s="187" t="s">
        <v>11</v>
      </c>
      <c r="K2" s="187" t="s">
        <v>12</v>
      </c>
      <c r="L2" s="187" t="s">
        <v>13</v>
      </c>
      <c r="M2" s="187" t="s">
        <v>14</v>
      </c>
      <c r="N2" s="187" t="s">
        <v>15</v>
      </c>
      <c r="O2" s="187" t="s">
        <v>16</v>
      </c>
      <c r="P2" s="187" t="s">
        <v>17</v>
      </c>
      <c r="Q2" s="187" t="s">
        <v>18</v>
      </c>
      <c r="R2" s="187" t="s">
        <v>19</v>
      </c>
      <c r="S2" s="187" t="s">
        <v>20</v>
      </c>
      <c r="T2" s="187" t="s">
        <v>21</v>
      </c>
    </row>
    <row r="3" spans="1:20" ht="42">
      <c r="A3" s="405" t="s">
        <v>22</v>
      </c>
      <c r="B3" s="406"/>
      <c r="C3" s="189"/>
      <c r="D3" s="189" t="s">
        <v>23</v>
      </c>
      <c r="E3" s="189" t="s">
        <v>24</v>
      </c>
      <c r="F3" s="189" t="s">
        <v>25</v>
      </c>
      <c r="G3" s="190"/>
      <c r="H3" s="407" t="s">
        <v>26</v>
      </c>
      <c r="I3" s="407"/>
      <c r="J3" s="192" t="s">
        <v>27</v>
      </c>
      <c r="K3" s="189"/>
      <c r="L3" s="189" t="s">
        <v>28</v>
      </c>
      <c r="M3" s="189"/>
      <c r="N3" s="189" t="s">
        <v>29</v>
      </c>
      <c r="O3" s="210"/>
      <c r="P3" s="210"/>
      <c r="Q3" s="210" t="s">
        <v>30</v>
      </c>
      <c r="R3" s="210"/>
      <c r="S3" s="210"/>
      <c r="T3" s="210" t="s">
        <v>31</v>
      </c>
    </row>
    <row r="4" spans="1:20" ht="84.75">
      <c r="A4" s="408" t="s">
        <v>32</v>
      </c>
      <c r="B4" s="409"/>
      <c r="C4" s="189"/>
      <c r="D4" s="410" t="s">
        <v>33</v>
      </c>
      <c r="E4" s="411"/>
      <c r="F4" s="189" t="s">
        <v>34</v>
      </c>
      <c r="G4" s="190" t="s">
        <v>35</v>
      </c>
      <c r="H4" s="193"/>
      <c r="I4" s="193"/>
      <c r="J4" s="193"/>
      <c r="K4" s="194" t="s">
        <v>36</v>
      </c>
      <c r="L4" s="189"/>
      <c r="M4" s="189" t="s">
        <v>37</v>
      </c>
      <c r="N4" s="189"/>
      <c r="O4" s="210"/>
      <c r="P4" s="210" t="s">
        <v>38</v>
      </c>
      <c r="Q4" s="210" t="s">
        <v>39</v>
      </c>
      <c r="R4" s="210" t="s">
        <v>40</v>
      </c>
      <c r="S4" s="210" t="s">
        <v>41</v>
      </c>
      <c r="T4" s="210"/>
    </row>
    <row r="5" spans="1:20" ht="54.75">
      <c r="A5" s="412" t="s">
        <v>42</v>
      </c>
      <c r="B5" s="413"/>
      <c r="C5" s="195" t="s">
        <v>43</v>
      </c>
      <c r="D5" s="196" t="s">
        <v>44</v>
      </c>
      <c r="E5" s="191" t="s">
        <v>45</v>
      </c>
      <c r="F5" s="192" t="s">
        <v>46</v>
      </c>
      <c r="G5" s="196"/>
      <c r="H5" s="191"/>
      <c r="I5" s="191"/>
      <c r="J5" s="191"/>
      <c r="K5" s="192" t="s">
        <v>47</v>
      </c>
      <c r="L5" s="195" t="s">
        <v>48</v>
      </c>
      <c r="M5" s="195" t="s">
        <v>49</v>
      </c>
      <c r="N5" s="195"/>
      <c r="O5" s="211" t="s">
        <v>50</v>
      </c>
      <c r="P5" s="211"/>
      <c r="Q5" s="211" t="s">
        <v>51</v>
      </c>
      <c r="R5" s="211" t="s">
        <v>52</v>
      </c>
      <c r="S5" s="211"/>
      <c r="T5" s="211"/>
    </row>
    <row r="6" spans="1:20" ht="17.25">
      <c r="A6" s="414" t="s">
        <v>53</v>
      </c>
      <c r="B6" s="415"/>
      <c r="C6" s="197" t="s">
        <v>54</v>
      </c>
      <c r="D6" s="197" t="s">
        <v>55</v>
      </c>
      <c r="E6" s="197"/>
      <c r="F6" s="197" t="s">
        <v>56</v>
      </c>
      <c r="G6" s="197" t="s">
        <v>57</v>
      </c>
      <c r="H6" s="197"/>
      <c r="I6" s="197"/>
      <c r="J6" s="197" t="s">
        <v>54</v>
      </c>
      <c r="K6" s="197" t="s">
        <v>58</v>
      </c>
      <c r="L6" s="197"/>
      <c r="M6" s="197"/>
      <c r="N6" s="197" t="s">
        <v>54</v>
      </c>
      <c r="O6" s="374" t="s">
        <v>54</v>
      </c>
      <c r="P6" s="374" t="s">
        <v>59</v>
      </c>
      <c r="Q6" s="374"/>
      <c r="R6" s="374" t="s">
        <v>60</v>
      </c>
      <c r="S6" s="374" t="s">
        <v>61</v>
      </c>
      <c r="T6" s="374"/>
    </row>
    <row r="7" spans="1:20" ht="17.25">
      <c r="A7" s="400" t="s">
        <v>62</v>
      </c>
      <c r="B7" s="401"/>
      <c r="C7" s="197"/>
      <c r="D7" s="197" t="s">
        <v>63</v>
      </c>
      <c r="E7" s="197"/>
      <c r="F7" s="197"/>
      <c r="G7" s="197"/>
      <c r="H7" s="197"/>
      <c r="I7" s="197"/>
      <c r="J7" s="197"/>
      <c r="K7" s="197"/>
      <c r="L7" s="197"/>
      <c r="M7" s="197"/>
      <c r="N7" s="197"/>
      <c r="O7" s="374"/>
      <c r="P7" s="374" t="s">
        <v>64</v>
      </c>
      <c r="Q7" s="374"/>
      <c r="R7" s="374"/>
      <c r="S7" s="374"/>
      <c r="T7" s="374"/>
    </row>
    <row r="8" spans="1:20" ht="17.25">
      <c r="A8" s="402" t="s">
        <v>65</v>
      </c>
      <c r="B8" s="403"/>
      <c r="C8" s="197"/>
      <c r="D8" s="198"/>
      <c r="E8" s="198"/>
      <c r="F8" s="198"/>
      <c r="G8" s="198"/>
      <c r="H8" s="198"/>
      <c r="I8" s="198"/>
      <c r="J8" s="198"/>
      <c r="K8" s="198"/>
      <c r="L8" s="198"/>
      <c r="M8" s="197"/>
      <c r="N8" s="198"/>
      <c r="O8" s="375"/>
      <c r="P8" s="375"/>
      <c r="Q8" s="375"/>
      <c r="R8" s="375"/>
      <c r="S8" s="375"/>
      <c r="T8" s="375"/>
    </row>
    <row r="9" spans="1:20" ht="105.75">
      <c r="A9" s="199" t="s">
        <v>66</v>
      </c>
      <c r="B9" s="199" t="s">
        <v>67</v>
      </c>
      <c r="C9" s="212" t="s">
        <v>68</v>
      </c>
      <c r="D9" s="210" t="s">
        <v>63</v>
      </c>
      <c r="E9" s="221" t="s">
        <v>69</v>
      </c>
      <c r="F9" s="222" t="s">
        <v>70</v>
      </c>
      <c r="G9" s="223" t="s">
        <v>71</v>
      </c>
      <c r="H9" s="224"/>
      <c r="I9" s="225" t="s">
        <v>72</v>
      </c>
      <c r="J9" s="209"/>
      <c r="K9" s="210" t="s">
        <v>73</v>
      </c>
      <c r="L9" s="226" t="s">
        <v>74</v>
      </c>
      <c r="M9" s="227" t="s">
        <v>75</v>
      </c>
      <c r="N9" s="226" t="s">
        <v>76</v>
      </c>
      <c r="O9" s="226"/>
      <c r="P9" s="226" t="s">
        <v>64</v>
      </c>
      <c r="Q9" s="226"/>
      <c r="R9" s="226" t="s">
        <v>77</v>
      </c>
      <c r="S9" s="226" t="s">
        <v>78</v>
      </c>
      <c r="T9" s="226"/>
    </row>
    <row r="10" spans="1:20" ht="67.5">
      <c r="A10" s="199" t="s">
        <v>79</v>
      </c>
      <c r="B10" s="199" t="s">
        <v>80</v>
      </c>
      <c r="C10" s="210"/>
      <c r="D10" s="210"/>
      <c r="E10" s="210"/>
      <c r="F10" s="228"/>
      <c r="G10" s="229" t="s">
        <v>81</v>
      </c>
      <c r="H10" s="230" t="s">
        <v>82</v>
      </c>
      <c r="I10" s="206" t="s">
        <v>83</v>
      </c>
      <c r="J10" s="212" t="s">
        <v>84</v>
      </c>
      <c r="K10" s="210"/>
      <c r="L10" s="216"/>
      <c r="M10" s="231" t="s">
        <v>85</v>
      </c>
      <c r="N10" s="209"/>
      <c r="O10" s="209"/>
      <c r="P10" s="209"/>
      <c r="Q10" s="209"/>
      <c r="R10" s="209"/>
      <c r="S10" s="209" t="s">
        <v>86</v>
      </c>
      <c r="T10" s="209" t="s">
        <v>87</v>
      </c>
    </row>
    <row r="11" spans="1:20" ht="53.25">
      <c r="A11" s="199" t="s">
        <v>88</v>
      </c>
      <c r="B11" s="199" t="s">
        <v>89</v>
      </c>
      <c r="C11" s="210"/>
      <c r="D11" s="203"/>
      <c r="E11" s="210"/>
      <c r="F11" s="210"/>
      <c r="G11" s="210"/>
      <c r="H11" s="211"/>
      <c r="I11" s="210"/>
      <c r="J11" s="213"/>
      <c r="K11" s="234" t="s">
        <v>90</v>
      </c>
      <c r="L11" s="215"/>
      <c r="M11" s="210"/>
      <c r="N11" s="210"/>
      <c r="O11" s="210"/>
      <c r="P11" s="210"/>
      <c r="Q11" s="210"/>
      <c r="R11" s="210"/>
      <c r="S11" s="210"/>
      <c r="T11" s="210"/>
    </row>
    <row r="12" spans="1:20" ht="54.75">
      <c r="A12" s="199" t="s">
        <v>91</v>
      </c>
      <c r="B12" s="199" t="s">
        <v>92</v>
      </c>
      <c r="C12" s="212" t="s">
        <v>93</v>
      </c>
      <c r="D12" s="210"/>
      <c r="E12" s="210"/>
      <c r="F12" s="216"/>
      <c r="G12" s="217" t="s">
        <v>94</v>
      </c>
      <c r="H12" s="218"/>
      <c r="I12" s="219" t="s">
        <v>72</v>
      </c>
      <c r="J12" s="210"/>
      <c r="K12" s="220"/>
      <c r="L12" s="210"/>
      <c r="M12" s="211" t="s">
        <v>95</v>
      </c>
      <c r="N12" s="210"/>
      <c r="O12" s="210"/>
      <c r="P12" s="210"/>
      <c r="Q12" s="210"/>
      <c r="R12" s="210"/>
      <c r="S12" s="210" t="s">
        <v>96</v>
      </c>
      <c r="T12" s="210"/>
    </row>
    <row r="13" spans="1:20" ht="54.75">
      <c r="A13" s="199" t="s">
        <v>97</v>
      </c>
      <c r="B13" s="199" t="s">
        <v>97</v>
      </c>
      <c r="C13" s="212" t="s">
        <v>93</v>
      </c>
      <c r="D13" s="210"/>
      <c r="E13" s="210"/>
      <c r="F13" s="210"/>
      <c r="G13" s="213"/>
      <c r="H13" s="238" t="s">
        <v>98</v>
      </c>
      <c r="I13" s="208" t="s">
        <v>72</v>
      </c>
      <c r="J13" s="210"/>
      <c r="K13" s="212" t="s">
        <v>99</v>
      </c>
      <c r="L13" s="236"/>
      <c r="M13" s="371"/>
      <c r="N13" s="209"/>
      <c r="O13" s="209"/>
      <c r="P13" s="209"/>
      <c r="Q13" s="209"/>
      <c r="R13" s="209"/>
      <c r="S13" s="209"/>
      <c r="T13" s="209" t="s">
        <v>100</v>
      </c>
    </row>
    <row r="14" spans="1:20" ht="67.5">
      <c r="A14" s="199" t="s">
        <v>101</v>
      </c>
      <c r="B14" s="200" t="s">
        <v>102</v>
      </c>
      <c r="C14" s="207" t="s">
        <v>103</v>
      </c>
      <c r="D14" s="208" t="s">
        <v>104</v>
      </c>
      <c r="E14" s="209"/>
      <c r="F14" s="210"/>
      <c r="G14" s="211"/>
      <c r="H14" s="210"/>
      <c r="I14" s="212" t="s">
        <v>105</v>
      </c>
      <c r="J14" s="210"/>
      <c r="K14" s="211"/>
      <c r="L14" s="210"/>
      <c r="M14" s="203"/>
      <c r="N14" s="210"/>
      <c r="O14" s="210" t="s">
        <v>106</v>
      </c>
      <c r="P14" s="210" t="s">
        <v>107</v>
      </c>
      <c r="Q14" s="210"/>
      <c r="R14" s="210"/>
      <c r="S14" s="210"/>
      <c r="T14" s="210"/>
    </row>
    <row r="15" spans="1:20" ht="53.25">
      <c r="A15" s="199" t="s">
        <v>108</v>
      </c>
      <c r="B15" s="199" t="s">
        <v>109</v>
      </c>
      <c r="C15" s="210"/>
      <c r="D15" s="211"/>
      <c r="E15" s="213"/>
      <c r="F15" s="232" t="s">
        <v>110</v>
      </c>
      <c r="G15" s="209"/>
      <c r="H15" s="203"/>
      <c r="I15" s="210"/>
      <c r="J15" s="213"/>
      <c r="K15" s="371"/>
      <c r="L15" s="208" t="s">
        <v>111</v>
      </c>
      <c r="M15" s="206"/>
      <c r="N15" s="210"/>
      <c r="O15" s="210"/>
      <c r="P15" s="210"/>
      <c r="Q15" s="210"/>
      <c r="R15" s="210" t="s">
        <v>112</v>
      </c>
      <c r="S15" s="210"/>
      <c r="T15" s="210"/>
    </row>
    <row r="16" spans="1:20" ht="81.75">
      <c r="A16" s="199" t="s">
        <v>113</v>
      </c>
      <c r="B16" s="200" t="s">
        <v>114</v>
      </c>
      <c r="C16" s="201" t="s">
        <v>115</v>
      </c>
      <c r="D16" s="202"/>
      <c r="E16" s="203" t="s">
        <v>116</v>
      </c>
      <c r="F16" s="203"/>
      <c r="G16" s="203"/>
      <c r="H16" s="203" t="s">
        <v>117</v>
      </c>
      <c r="I16" s="203"/>
      <c r="J16" s="203"/>
      <c r="K16" s="203"/>
      <c r="L16" s="204" t="s">
        <v>118</v>
      </c>
      <c r="M16" s="205"/>
      <c r="N16" s="206"/>
      <c r="O16" s="206" t="s">
        <v>119</v>
      </c>
      <c r="P16" s="206"/>
      <c r="Q16" s="206" t="s">
        <v>120</v>
      </c>
      <c r="R16" s="206"/>
      <c r="S16" s="206"/>
      <c r="T16" s="206" t="s">
        <v>121</v>
      </c>
    </row>
    <row r="17" spans="1:20" ht="42">
      <c r="A17" s="199" t="s">
        <v>122</v>
      </c>
      <c r="B17" s="199" t="s">
        <v>123</v>
      </c>
      <c r="C17" s="210"/>
      <c r="D17" s="213"/>
      <c r="E17" s="241" t="s">
        <v>124</v>
      </c>
      <c r="F17" s="209"/>
      <c r="G17" s="203"/>
      <c r="H17" s="210"/>
      <c r="I17" s="213"/>
      <c r="J17" s="244" t="s">
        <v>125</v>
      </c>
      <c r="K17" s="241" t="s">
        <v>126</v>
      </c>
      <c r="L17" s="209"/>
      <c r="M17" s="210"/>
      <c r="N17" s="210"/>
      <c r="O17" s="210"/>
      <c r="P17" s="210"/>
      <c r="Q17" s="210" t="s">
        <v>127</v>
      </c>
      <c r="R17" s="210"/>
      <c r="S17" s="210"/>
      <c r="T17" s="210"/>
    </row>
    <row r="18" spans="1:20" ht="56.25">
      <c r="A18" s="199" t="s">
        <v>128</v>
      </c>
      <c r="B18" s="199" t="s">
        <v>129</v>
      </c>
      <c r="C18" s="210"/>
      <c r="D18" s="210"/>
      <c r="E18" s="210"/>
      <c r="F18" s="210"/>
      <c r="G18" s="213"/>
      <c r="H18" s="235" t="s">
        <v>130</v>
      </c>
      <c r="I18" s="209"/>
      <c r="J18" s="212" t="s">
        <v>131</v>
      </c>
      <c r="K18" s="236"/>
      <c r="L18" s="237" t="s">
        <v>132</v>
      </c>
      <c r="M18" s="209"/>
      <c r="N18" s="210"/>
      <c r="O18" s="210"/>
      <c r="P18" s="210"/>
      <c r="Q18" s="210"/>
      <c r="R18" s="210"/>
      <c r="S18" s="210"/>
      <c r="T18" s="210" t="s">
        <v>133</v>
      </c>
    </row>
    <row r="19" spans="1:20" ht="81.75">
      <c r="A19" s="199" t="s">
        <v>134</v>
      </c>
      <c r="B19" s="199" t="s">
        <v>135</v>
      </c>
      <c r="C19" s="210"/>
      <c r="D19" s="210"/>
      <c r="E19" s="211"/>
      <c r="F19" s="210"/>
      <c r="G19" s="240" t="s">
        <v>136</v>
      </c>
      <c r="H19" s="241" t="s">
        <v>137</v>
      </c>
      <c r="I19" s="209"/>
      <c r="J19" s="210"/>
      <c r="K19" s="211"/>
      <c r="L19" s="210"/>
      <c r="M19" s="203"/>
      <c r="N19" s="210"/>
      <c r="O19" s="210"/>
      <c r="P19" s="210"/>
      <c r="Q19" s="210"/>
      <c r="R19" s="210"/>
      <c r="S19" s="210"/>
      <c r="T19" s="210" t="s">
        <v>138</v>
      </c>
    </row>
    <row r="20" spans="1:20" ht="95.25">
      <c r="A20" s="199" t="s">
        <v>139</v>
      </c>
      <c r="B20" s="199" t="s">
        <v>140</v>
      </c>
      <c r="C20" s="213" t="s">
        <v>141</v>
      </c>
      <c r="D20" s="232" t="s">
        <v>142</v>
      </c>
      <c r="E20" s="209"/>
      <c r="F20" s="203"/>
      <c r="G20" s="210"/>
      <c r="H20" s="210"/>
      <c r="I20" s="210"/>
      <c r="J20" s="213"/>
      <c r="K20" s="233" t="s">
        <v>143</v>
      </c>
      <c r="L20" s="206" t="s">
        <v>144</v>
      </c>
      <c r="M20" s="210"/>
      <c r="N20" s="210"/>
      <c r="O20" s="210"/>
      <c r="P20" s="210" t="s">
        <v>145</v>
      </c>
      <c r="Q20" s="210"/>
      <c r="R20" s="210"/>
      <c r="S20" s="210"/>
      <c r="T20" s="210"/>
    </row>
    <row r="21" spans="1:20" ht="67.5">
      <c r="A21" s="199" t="s">
        <v>146</v>
      </c>
      <c r="B21" s="199" t="s">
        <v>147</v>
      </c>
      <c r="C21" s="210"/>
      <c r="D21" s="213"/>
      <c r="E21" s="234" t="s">
        <v>148</v>
      </c>
      <c r="F21" s="215"/>
      <c r="G21" s="210"/>
      <c r="H21" s="203"/>
      <c r="I21" s="210"/>
      <c r="J21" s="213"/>
      <c r="K21" s="241" t="s">
        <v>149</v>
      </c>
      <c r="L21" s="209"/>
      <c r="M21" s="210"/>
      <c r="N21" s="210"/>
      <c r="O21" s="210"/>
      <c r="P21" s="210"/>
      <c r="Q21" s="210" t="s">
        <v>150</v>
      </c>
      <c r="R21" s="210"/>
      <c r="S21" s="210"/>
      <c r="T21" s="210"/>
    </row>
    <row r="22" spans="1:20" ht="67.5">
      <c r="A22" s="199" t="s">
        <v>151</v>
      </c>
      <c r="B22" s="199" t="s">
        <v>152</v>
      </c>
      <c r="C22" s="203"/>
      <c r="D22" s="203"/>
      <c r="E22" s="210"/>
      <c r="F22" s="213"/>
      <c r="G22" s="214" t="s">
        <v>153</v>
      </c>
      <c r="H22" s="215"/>
      <c r="I22" s="210"/>
      <c r="J22" s="210"/>
      <c r="K22" s="210"/>
      <c r="L22" s="210"/>
      <c r="M22" s="210"/>
      <c r="N22" s="210"/>
      <c r="O22" s="210"/>
      <c r="P22" s="210"/>
      <c r="Q22" s="210"/>
      <c r="R22" s="210"/>
      <c r="S22" s="210" t="s">
        <v>154</v>
      </c>
      <c r="T22" s="210"/>
    </row>
    <row r="23" spans="1:20" ht="67.5">
      <c r="A23" s="199" t="s">
        <v>155</v>
      </c>
      <c r="B23" s="199" t="s">
        <v>156</v>
      </c>
      <c r="C23" s="203"/>
      <c r="D23" s="213"/>
      <c r="E23" s="241" t="s">
        <v>157</v>
      </c>
      <c r="F23" s="209"/>
      <c r="G23" s="210"/>
      <c r="H23" s="210"/>
      <c r="I23" s="210"/>
      <c r="J23" s="210"/>
      <c r="K23" s="210"/>
      <c r="L23" s="210"/>
      <c r="M23" s="211"/>
      <c r="N23" s="210"/>
      <c r="O23" s="210"/>
      <c r="P23" s="210"/>
      <c r="Q23" s="210" t="s">
        <v>158</v>
      </c>
      <c r="R23" s="210"/>
      <c r="S23" s="210"/>
      <c r="T23" s="210"/>
    </row>
    <row r="24" spans="1:20" ht="69">
      <c r="A24" s="199" t="s">
        <v>159</v>
      </c>
      <c r="B24" s="199" t="s">
        <v>160</v>
      </c>
      <c r="C24" s="211"/>
      <c r="D24" s="213"/>
      <c r="E24" s="242" t="s">
        <v>161</v>
      </c>
      <c r="F24" s="241" t="s">
        <v>162</v>
      </c>
      <c r="G24" s="209"/>
      <c r="H24" s="210"/>
      <c r="I24" s="210"/>
      <c r="J24" s="210"/>
      <c r="K24" s="203"/>
      <c r="L24" s="210"/>
      <c r="M24" s="210"/>
      <c r="N24" s="210"/>
      <c r="O24" s="210"/>
      <c r="P24" s="210"/>
      <c r="Q24" s="210" t="s">
        <v>163</v>
      </c>
      <c r="R24" s="210" t="s">
        <v>164</v>
      </c>
      <c r="S24" s="210"/>
      <c r="T24" s="210"/>
    </row>
    <row r="25" spans="1:20" ht="53.25">
      <c r="A25" s="199" t="s">
        <v>165</v>
      </c>
      <c r="B25" s="199" t="s">
        <v>166</v>
      </c>
      <c r="C25" s="210"/>
      <c r="D25" s="210"/>
      <c r="E25" s="211"/>
      <c r="F25" s="236"/>
      <c r="G25" s="241" t="s">
        <v>167</v>
      </c>
      <c r="H25" s="209"/>
      <c r="I25" s="210"/>
      <c r="J25" s="211"/>
      <c r="K25" s="211"/>
      <c r="L25" s="210" t="s">
        <v>168</v>
      </c>
      <c r="M25" s="210"/>
      <c r="N25" s="210"/>
      <c r="O25" s="210"/>
      <c r="P25" s="210"/>
      <c r="Q25" s="210"/>
      <c r="R25" s="210"/>
      <c r="S25" s="210" t="s">
        <v>169</v>
      </c>
      <c r="T25" s="210"/>
    </row>
    <row r="26" spans="1:20" ht="53.25">
      <c r="A26" s="199" t="s">
        <v>170</v>
      </c>
      <c r="B26" s="199" t="s">
        <v>171</v>
      </c>
      <c r="C26" s="210"/>
      <c r="D26" s="210"/>
      <c r="E26" s="210"/>
      <c r="F26" s="210"/>
      <c r="G26" s="210"/>
      <c r="H26" s="228"/>
      <c r="I26" s="210"/>
      <c r="J26" s="210"/>
      <c r="K26" s="210"/>
      <c r="L26" s="213"/>
      <c r="M26" s="239" t="s">
        <v>172</v>
      </c>
      <c r="N26" s="209"/>
      <c r="O26" s="209"/>
      <c r="P26" s="209"/>
      <c r="Q26" s="209"/>
      <c r="R26" s="209"/>
      <c r="S26" s="209"/>
      <c r="T26" s="209"/>
    </row>
    <row r="27" spans="1:20" ht="68.25" customHeight="1">
      <c r="A27" s="199" t="s">
        <v>173</v>
      </c>
      <c r="B27" s="200" t="s">
        <v>174</v>
      </c>
      <c r="C27" s="234" t="s">
        <v>175</v>
      </c>
      <c r="D27" s="209"/>
      <c r="E27" s="228"/>
      <c r="F27" s="203"/>
      <c r="G27" s="210"/>
      <c r="H27" s="210"/>
      <c r="I27" s="210"/>
      <c r="J27" s="210"/>
      <c r="K27" s="210"/>
      <c r="L27" s="210"/>
      <c r="M27" s="210"/>
      <c r="N27" s="210"/>
      <c r="O27" s="210" t="s">
        <v>176</v>
      </c>
      <c r="P27" s="210"/>
      <c r="Q27" s="210"/>
      <c r="R27" s="210"/>
      <c r="S27" s="210"/>
      <c r="T27" s="210"/>
    </row>
    <row r="28" spans="1:20" ht="67.5">
      <c r="A28" s="199" t="s">
        <v>177</v>
      </c>
      <c r="B28" s="199" t="s">
        <v>178</v>
      </c>
      <c r="C28" s="210" t="s">
        <v>179</v>
      </c>
      <c r="D28" s="210" t="s">
        <v>179</v>
      </c>
      <c r="E28" s="210" t="s">
        <v>179</v>
      </c>
      <c r="F28" s="243" t="s">
        <v>179</v>
      </c>
      <c r="G28" s="241" t="s">
        <v>180</v>
      </c>
      <c r="H28" s="209"/>
      <c r="I28" s="210"/>
      <c r="J28" s="210"/>
      <c r="K28" s="213"/>
      <c r="L28" s="241" t="s">
        <v>181</v>
      </c>
      <c r="M28" s="209"/>
      <c r="N28" s="210"/>
      <c r="O28" s="210" t="s">
        <v>182</v>
      </c>
      <c r="P28" s="210"/>
      <c r="Q28" s="210"/>
      <c r="R28" s="210"/>
      <c r="S28" s="210" t="s">
        <v>183</v>
      </c>
      <c r="T28" s="210"/>
    </row>
    <row r="29" spans="1:20" ht="54.75">
      <c r="A29" s="199" t="s">
        <v>184</v>
      </c>
      <c r="B29" s="199" t="s">
        <v>185</v>
      </c>
      <c r="C29" s="210"/>
      <c r="D29" s="210"/>
      <c r="E29" s="203"/>
      <c r="F29" s="211"/>
      <c r="G29" s="210"/>
      <c r="H29" s="210"/>
      <c r="I29" s="210"/>
      <c r="J29" s="210"/>
      <c r="K29" s="210"/>
      <c r="L29" s="213"/>
      <c r="M29" s="241" t="s">
        <v>186</v>
      </c>
      <c r="N29" s="209"/>
      <c r="O29" s="209"/>
      <c r="P29" s="209"/>
      <c r="Q29" s="209"/>
      <c r="R29" s="209"/>
      <c r="S29" s="209"/>
      <c r="T29" s="209"/>
    </row>
    <row r="30" spans="1:20" ht="57" customHeight="1">
      <c r="A30" s="199" t="s">
        <v>187</v>
      </c>
      <c r="B30" s="199" t="s">
        <v>188</v>
      </c>
      <c r="C30" s="210"/>
      <c r="D30" s="210"/>
      <c r="E30" s="213"/>
      <c r="F30" s="241" t="s">
        <v>189</v>
      </c>
      <c r="G30" s="202"/>
      <c r="H30" s="210"/>
      <c r="I30" s="210"/>
      <c r="J30" s="210"/>
      <c r="K30" s="210"/>
      <c r="L30" s="228"/>
      <c r="M30" s="210"/>
      <c r="N30" s="210"/>
      <c r="O30" s="210"/>
      <c r="P30" s="210"/>
      <c r="Q30" s="210"/>
      <c r="R30" s="210" t="s">
        <v>190</v>
      </c>
      <c r="S30" s="210"/>
      <c r="T30" s="210"/>
    </row>
    <row r="31" spans="1:20" ht="70.5">
      <c r="A31" s="199" t="s">
        <v>191</v>
      </c>
      <c r="B31" s="199" t="s">
        <v>192</v>
      </c>
      <c r="C31" s="210"/>
      <c r="D31" s="210"/>
      <c r="E31" s="213"/>
      <c r="F31" s="372" t="s">
        <v>193</v>
      </c>
      <c r="G31" s="371"/>
      <c r="H31" s="209"/>
      <c r="I31" s="210"/>
      <c r="J31" s="210"/>
      <c r="K31" s="213"/>
      <c r="L31" s="371"/>
      <c r="M31" s="206"/>
      <c r="N31" s="210"/>
      <c r="O31" s="210"/>
      <c r="P31" s="210"/>
      <c r="Q31" s="210"/>
      <c r="R31" s="210" t="s">
        <v>194</v>
      </c>
      <c r="S31" s="210"/>
      <c r="T31" s="210"/>
    </row>
    <row r="32" spans="1:20">
      <c r="A32" s="186"/>
      <c r="B32" s="186"/>
      <c r="C32" s="186"/>
      <c r="D32" s="186"/>
      <c r="E32" s="186"/>
      <c r="F32" s="186"/>
      <c r="G32" s="186"/>
      <c r="H32" s="186"/>
      <c r="I32" s="186"/>
      <c r="J32" s="186"/>
      <c r="K32" s="186"/>
      <c r="L32" s="186"/>
      <c r="M32" s="186"/>
      <c r="N32" s="186"/>
      <c r="O32" s="186"/>
    </row>
    <row r="33" spans="1:3" ht="17.45">
      <c r="A33" s="245" t="s">
        <v>195</v>
      </c>
      <c r="B33" s="262"/>
    </row>
    <row r="34" spans="1:3" ht="48">
      <c r="A34" s="246" t="s">
        <v>196</v>
      </c>
      <c r="B34" s="263" t="s">
        <v>197</v>
      </c>
    </row>
    <row r="35" spans="1:3" ht="32.1">
      <c r="A35" s="247" t="s">
        <v>198</v>
      </c>
      <c r="B35" s="263" t="s">
        <v>199</v>
      </c>
    </row>
    <row r="36" spans="1:3" ht="32.1">
      <c r="A36" s="248" t="s">
        <v>200</v>
      </c>
      <c r="B36" s="263" t="s">
        <v>201</v>
      </c>
    </row>
    <row r="37" spans="1:3" ht="111.95">
      <c r="A37" s="249" t="s">
        <v>202</v>
      </c>
      <c r="B37" s="263" t="s">
        <v>203</v>
      </c>
    </row>
    <row r="38" spans="1:3" ht="16.5">
      <c r="A38" s="373" t="s">
        <v>204</v>
      </c>
      <c r="C38" s="77"/>
    </row>
  </sheetData>
  <mergeCells count="9">
    <mergeCell ref="A7:B7"/>
    <mergeCell ref="A8:B8"/>
    <mergeCell ref="A1:G1"/>
    <mergeCell ref="A3:B3"/>
    <mergeCell ref="H3:I3"/>
    <mergeCell ref="A4:B4"/>
    <mergeCell ref="D4:E4"/>
    <mergeCell ref="A5:B5"/>
    <mergeCell ref="A6:B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5C5C-7A84-4C59-B597-6509A74035B5}">
  <dimension ref="A1:J95"/>
  <sheetViews>
    <sheetView workbookViewId="0">
      <pane ySplit="3" topLeftCell="A53" activePane="bottomLeft" state="frozen"/>
      <selection pane="bottomLeft" activeCell="D58" sqref="D58"/>
    </sheetView>
  </sheetViews>
  <sheetFormatPr defaultRowHeight="17.100000000000001"/>
  <cols>
    <col min="1" max="1" width="12.625" customWidth="1"/>
    <col min="2" max="2" width="10" customWidth="1"/>
    <col min="3" max="3" width="18.125" customWidth="1"/>
    <col min="4" max="4" width="39" customWidth="1"/>
    <col min="5" max="5" width="13.25" customWidth="1"/>
    <col min="6" max="6" width="10.375" customWidth="1"/>
    <col min="7" max="7" width="14.25" customWidth="1"/>
    <col min="8" max="8" width="16.125" customWidth="1"/>
    <col min="9" max="9" width="80" customWidth="1"/>
    <col min="10" max="10" width="26.75" customWidth="1"/>
  </cols>
  <sheetData>
    <row r="1" spans="1:10" ht="25.5">
      <c r="A1" s="251" t="s">
        <v>205</v>
      </c>
      <c r="E1" s="250" t="s">
        <v>206</v>
      </c>
      <c r="F1" s="260" t="str">
        <f>COUNTIF(F4:F95,TRUE)&amp;" / "&amp;COUNTA(D4:D95)</f>
        <v>30 / 92</v>
      </c>
      <c r="G1" s="250" t="s">
        <v>207</v>
      </c>
      <c r="H1" s="261" t="str">
        <f>COUNTIF(G4:G95,TRUE)&amp;" / "&amp;COUNTA(D4:D95)</f>
        <v>20 / 92</v>
      </c>
    </row>
    <row r="3" spans="1:10">
      <c r="A3" s="252" t="s">
        <v>208</v>
      </c>
      <c r="B3" s="253" t="s">
        <v>2</v>
      </c>
      <c r="C3" s="253" t="s">
        <v>3</v>
      </c>
      <c r="D3" s="253" t="s">
        <v>209</v>
      </c>
      <c r="E3" s="253" t="s">
        <v>210</v>
      </c>
      <c r="F3" s="253" t="s">
        <v>206</v>
      </c>
      <c r="G3" s="253" t="s">
        <v>207</v>
      </c>
      <c r="H3" s="253" t="s">
        <v>211</v>
      </c>
      <c r="I3" s="253" t="s">
        <v>212</v>
      </c>
      <c r="J3" s="254" t="s">
        <v>202</v>
      </c>
    </row>
    <row r="4" spans="1:10">
      <c r="A4" s="255" t="str">
        <f>'트래블마트 통합'!C$2</f>
        <v>2026년 1월</v>
      </c>
      <c r="B4" s="256" t="str">
        <f>'트래블마트 통합'!$A9</f>
        <v>중국</v>
      </c>
      <c r="C4" s="256" t="str">
        <f>'트래블마트 통합'!$B9</f>
        <v>광동,화동,화북,내륙</v>
      </c>
      <c r="D4" s="257" t="str">
        <f>IFERROR(LEFT('트래블마트 통합'!C9,FIND(CHAR(10),'트래블마트 통합'!C9)-1),'트래블마트 통합'!C9)</f>
        <v>1차 세일즈콜</v>
      </c>
      <c r="E4" s="256" t="str">
        <f>IF(ISNUMBER(SEARCH("★★★",'트래블마트 통합'!C9)),"★★★",IF(ISNUMBER(SEARCH("★★",'트래블마트 통합'!C9)),"★★",IF(ISNUMBER(SEARCH("★",'트래블마트 통합'!C9)),"★","-")))</f>
        <v>-</v>
      </c>
      <c r="F4" s="258" t="b">
        <v>1</v>
      </c>
      <c r="G4" s="258" t="b">
        <v>1</v>
      </c>
      <c r="H4" s="256" t="str">
        <f t="shared" ref="H4:H35" si="0">IF(AND(F4,G4),"완료",IF(G4,"진행 완료",IF(F4,"참가 예정","미정")))</f>
        <v>완료</v>
      </c>
      <c r="I4" s="257" t="str">
        <f>'트래블마트 통합'!C9</f>
        <v>1차 세일즈콜
광저우, 심천</v>
      </c>
      <c r="J4" s="259"/>
    </row>
    <row r="5" spans="1:10">
      <c r="A5" s="255" t="str">
        <f>'트래블마트 통합'!C$2</f>
        <v>2026년 1월</v>
      </c>
      <c r="B5" s="256" t="str">
        <f>'트래블마트 통합'!$A12</f>
        <v>대만</v>
      </c>
      <c r="C5" s="256" t="str">
        <f>'트래블마트 통합'!$B12</f>
        <v>타이베이</v>
      </c>
      <c r="D5" s="257" t="str">
        <f>IFERROR(LEFT('트래블마트 통합'!C12,FIND(CHAR(10),'트래블마트 통합'!C12)-1),'트래블마트 통합'!C12)</f>
        <v>1차 세일즈 콜</v>
      </c>
      <c r="E5" s="256" t="str">
        <f>IF(ISNUMBER(SEARCH("★★★",'트래블마트 통합'!C12)),"★★★",IF(ISNUMBER(SEARCH("★★",'트래블마트 통합'!C12)),"★★",IF(ISNUMBER(SEARCH("★",'트래블마트 통합'!C12)),"★","-")))</f>
        <v>-</v>
      </c>
      <c r="F5" s="258" t="b">
        <v>1</v>
      </c>
      <c r="G5" s="258" t="b">
        <v>1</v>
      </c>
      <c r="H5" s="256" t="str">
        <f t="shared" si="0"/>
        <v>완료</v>
      </c>
      <c r="I5" s="257" t="str">
        <f>'트래블마트 통합'!C12</f>
        <v>1차 세일즈 콜
대만+홍콩</v>
      </c>
      <c r="J5" s="259"/>
    </row>
    <row r="6" spans="1:10">
      <c r="A6" s="255" t="str">
        <f>'트래블마트 통합'!C$2</f>
        <v>2026년 1월</v>
      </c>
      <c r="B6" s="256" t="str">
        <f>'트래블마트 통합'!$A13</f>
        <v>홍콩</v>
      </c>
      <c r="C6" s="256" t="str">
        <f>'트래블마트 통합'!$B13</f>
        <v>홍콩</v>
      </c>
      <c r="D6" s="257" t="str">
        <f>IFERROR(LEFT('트래블마트 통합'!C13,FIND(CHAR(10),'트래블마트 통합'!C13)-1),'트래블마트 통합'!C13)</f>
        <v>1차 세일즈 콜</v>
      </c>
      <c r="E6" s="256" t="str">
        <f>IF(ISNUMBER(SEARCH("★★★",'트래블마트 통합'!C13)),"★★★",IF(ISNUMBER(SEARCH("★★",'트래블마트 통합'!C13)),"★★",IF(ISNUMBER(SEARCH("★",'트래블마트 통합'!C13)),"★","-")))</f>
        <v>-</v>
      </c>
      <c r="F6" s="258" t="b">
        <v>1</v>
      </c>
      <c r="G6" s="258" t="b">
        <v>1</v>
      </c>
      <c r="H6" s="256" t="str">
        <f t="shared" si="0"/>
        <v>완료</v>
      </c>
      <c r="I6" s="257" t="str">
        <f>'트래블마트 통합'!C13</f>
        <v>1차 세일즈 콜
대만+홍콩</v>
      </c>
      <c r="J6" s="259"/>
    </row>
    <row r="7" spans="1:10">
      <c r="A7" s="255" t="str">
        <f>'트래블마트 통합'!C$2</f>
        <v>2026년 1월</v>
      </c>
      <c r="B7" s="256" t="str">
        <f>'트래블마트 통합'!$A14</f>
        <v>필리핀</v>
      </c>
      <c r="C7" s="256" t="str">
        <f>'트래블마트 통합'!$B14</f>
        <v>세부, 마닐라</v>
      </c>
      <c r="D7" s="257" t="str">
        <f>IFERROR(LEFT('트래블마트 통합'!C14,FIND(CHAR(10),'트래블마트 통합'!C14)-1),'트래블마트 통합'!C14)</f>
        <v>1/28–1/30 – ASEAN Tourism Forum + TRAVEX</v>
      </c>
      <c r="E7" s="256" t="str">
        <f>IF(ISNUMBER(SEARCH("★★★",'트래블마트 통합'!C14)),"★★★",IF(ISNUMBER(SEARCH("★★",'트래블마트 통합'!C14)),"★★",IF(ISNUMBER(SEARCH("★",'트래블마트 통합'!C14)),"★","-")))</f>
        <v>★★</v>
      </c>
      <c r="F7" s="258" t="b">
        <v>1</v>
      </c>
      <c r="G7" s="258" t="b">
        <v>1</v>
      </c>
      <c r="H7" s="256" t="str">
        <f t="shared" si="0"/>
        <v>완료</v>
      </c>
      <c r="I7" s="257" t="str">
        <f>'트래블마트 통합'!C14</f>
        <v>1/28–1/30 – ASEAN Tourism Forum + TRAVEX
[★★ 중간] ASEAN 10개국 공식 B2B, 관광청 네트워크 최강</v>
      </c>
      <c r="J7" s="259"/>
    </row>
    <row r="8" spans="1:10">
      <c r="A8" s="255" t="str">
        <f>'트래블마트 통합'!C$2</f>
        <v>2026년 1월</v>
      </c>
      <c r="B8" s="256" t="str">
        <f>'트래블마트 통합'!$A16</f>
        <v>태국</v>
      </c>
      <c r="C8" s="256" t="str">
        <f>'트래블마트 통합'!$B16</f>
        <v>방콕</v>
      </c>
      <c r="D8" s="257" t="str">
        <f>IFERROR(LEFT('트래블마트 통합'!C16,FIND(CHAR(10),'트래블마트 통합'!C16)-1),'트래블마트 통합'!C16)</f>
        <v>1/22–1/25 – Thai International Travel Fair</v>
      </c>
      <c r="E8" s="256" t="str">
        <f>IF(ISNUMBER(SEARCH("★★★",'트래블마트 통합'!C16)),"★★★",IF(ISNUMBER(SEARCH("★★",'트래블마트 통합'!C16)),"★★",IF(ISNUMBER(SEARCH("★",'트래블마트 통합'!C16)),"★","-")))</f>
        <v>★★★</v>
      </c>
      <c r="F8" s="258" t="b">
        <v>1</v>
      </c>
      <c r="G8" s="258" t="b">
        <v>1</v>
      </c>
      <c r="H8" s="256" t="str">
        <f t="shared" si="0"/>
        <v>완료</v>
      </c>
      <c r="I8" s="257" t="str">
        <f>'트래블마트 통합'!C16</f>
        <v>1/22–1/25 – Thai International Travel Fair
[★★★ 최우선] 태국 최대 B2B+B2C, 태국→한국·일본 outbound 중심</v>
      </c>
      <c r="J8" s="259"/>
    </row>
    <row r="9" spans="1:10">
      <c r="A9" s="255" t="str">
        <f>'트래블마트 통합'!C$2</f>
        <v>2026년 1월</v>
      </c>
      <c r="B9" s="256" t="str">
        <f>'트래블마트 통합'!$A20</f>
        <v>인도</v>
      </c>
      <c r="C9" s="256" t="str">
        <f>'트래블마트 통합'!$B20</f>
        <v>뭄바이
뉴델리</v>
      </c>
      <c r="D9" s="257" t="str">
        <f>IFERROR(LEFT('트래블마트 통합'!C20,FIND(CHAR(10),'트래블마트 통합'!C20)-1),'트래블마트 통합'!C20)</f>
        <v>OTM (Outbound Travel Mart, Mumbai)</v>
      </c>
      <c r="E9" s="256" t="str">
        <f>IF(ISNUMBER(SEARCH("★★★",'트래블마트 통합'!C20)),"★★★",IF(ISNUMBER(SEARCH("★★",'트래블마트 통합'!C20)),"★★",IF(ISNUMBER(SEARCH("★",'트래블마트 통합'!C20)),"★","-")))</f>
        <v>-</v>
      </c>
      <c r="F9" s="258" t="b">
        <v>1</v>
      </c>
      <c r="G9" s="258" t="b">
        <v>1</v>
      </c>
      <c r="H9" s="256" t="str">
        <f t="shared" si="0"/>
        <v>완료</v>
      </c>
      <c r="I9" s="257" t="str">
        <f>'트래블마트 통합'!C20</f>
        <v>OTM (Outbound Travel Mart, Mumbai)
5-7 Feb</v>
      </c>
      <c r="J9" s="259"/>
    </row>
    <row r="10" spans="1:10">
      <c r="A10" s="255" t="str">
        <f>'트래블마트 통합'!C$2</f>
        <v>2026년 1월</v>
      </c>
      <c r="B10" s="256" t="str">
        <f>'트래블마트 통합'!$A27</f>
        <v>스페인</v>
      </c>
      <c r="C10" s="256" t="str">
        <f>'트래블마트 통합'!$B27</f>
        <v>마드리드</v>
      </c>
      <c r="D10" s="257" t="str">
        <f>IFERROR(LEFT('트래블마트 통합'!C27,FIND(CHAR(10),'트래블마트 통합'!C27)-1),'트래블마트 통합'!C27)</f>
        <v>FITUR Madrid 2026</v>
      </c>
      <c r="E10" s="256" t="str">
        <f>IF(ISNUMBER(SEARCH("★★★",'트래블마트 통합'!C27)),"★★★",IF(ISNUMBER(SEARCH("★★",'트래블마트 통합'!C27)),"★★",IF(ISNUMBER(SEARCH("★",'트래블마트 통합'!C27)),"★","-")))</f>
        <v>★★</v>
      </c>
      <c r="F10" s="258" t="b">
        <v>0</v>
      </c>
      <c r="G10" s="258" t="b">
        <v>0</v>
      </c>
      <c r="H10" s="256" t="str">
        <f t="shared" si="0"/>
        <v>미정</v>
      </c>
      <c r="I10" s="257" t="str">
        <f>'트래블마트 통합'!C27</f>
        <v>FITUR Madrid 2026
1월 21일 ~ 25일
[★★ 중간] 세계 3대 관광박람회, 유럽·라틴 시장 핵심 B2B</v>
      </c>
      <c r="J10" s="259"/>
    </row>
    <row r="11" spans="1:10">
      <c r="A11" s="255" t="str">
        <f>'트래블마트 통합'!C$2</f>
        <v>2026년 1월</v>
      </c>
      <c r="B11" s="256" t="str">
        <f>'트래블마트 통합'!$A28</f>
        <v>미국</v>
      </c>
      <c r="C11" s="256" t="str">
        <f>'트래블마트 통합'!$B28</f>
        <v>플로리다주
뉴욕</v>
      </c>
      <c r="D11" s="257" t="str">
        <f>IFERROR(LEFT('트래블마트 통합'!C28,FIND(CHAR(10),'트래블마트 통합'!C28)-1),'트래블마트 통합'!C28)</f>
        <v>NYTTravel Show</v>
      </c>
      <c r="E11" s="256" t="str">
        <f>IF(ISNUMBER(SEARCH("★★★",'트래블마트 통합'!C28)),"★★★",IF(ISNUMBER(SEARCH("★★",'트래블마트 통합'!C28)),"★★",IF(ISNUMBER(SEARCH("★",'트래블마트 통합'!C28)),"★","-")))</f>
        <v>-</v>
      </c>
      <c r="F11" s="258" t="b">
        <v>0</v>
      </c>
      <c r="G11" s="258" t="b">
        <v>0</v>
      </c>
      <c r="H11" s="256" t="str">
        <f t="shared" si="0"/>
        <v>미정</v>
      </c>
      <c r="I11" s="257" t="str">
        <f>'트래블마트 통합'!C28</f>
        <v>NYTTravel Show</v>
      </c>
      <c r="J11" s="259"/>
    </row>
    <row r="12" spans="1:10">
      <c r="A12" s="255" t="str">
        <f>'트래블마트 통합'!D$2</f>
        <v>2026년 2월</v>
      </c>
      <c r="B12" s="256" t="str">
        <f>'트래블마트 통합'!$A9</f>
        <v>중국</v>
      </c>
      <c r="C12" s="256" t="str">
        <f>'트래블마트 통합'!$B9</f>
        <v>광동,화동,화북,내륙</v>
      </c>
      <c r="D12" s="257" t="str">
        <f>IFERROR(LEFT('트래블마트 통합'!D9,FIND(CHAR(10),'트래블마트 통합'!D9)-1),'트래블마트 통합'!D9)</f>
        <v>Chiness New Year</v>
      </c>
      <c r="E12" s="256" t="str">
        <f>IF(ISNUMBER(SEARCH("★★★",'트래블마트 통합'!D9)),"★★★",IF(ISNUMBER(SEARCH("★★",'트래블마트 통합'!D9)),"★★",IF(ISNUMBER(SEARCH("★",'트래블마트 통합'!D9)),"★","-")))</f>
        <v>-</v>
      </c>
      <c r="F12" s="258" t="b">
        <v>1</v>
      </c>
      <c r="G12" s="258" t="b">
        <v>1</v>
      </c>
      <c r="H12" s="256" t="str">
        <f t="shared" si="0"/>
        <v>완료</v>
      </c>
      <c r="I12" s="257" t="str">
        <f>'트래블마트 통합'!D9</f>
        <v>Chiness New Year</v>
      </c>
      <c r="J12" s="259"/>
    </row>
    <row r="13" spans="1:10">
      <c r="A13" s="255" t="str">
        <f>'트래블마트 통합'!D$2</f>
        <v>2026년 2월</v>
      </c>
      <c r="B13" s="256" t="str">
        <f>'트래블마트 통합'!$A14</f>
        <v>필리핀</v>
      </c>
      <c r="C13" s="256" t="str">
        <f>'트래블마트 통합'!$B14</f>
        <v>세부, 마닐라</v>
      </c>
      <c r="D13" s="257" t="str">
        <f>IFERROR(LEFT('트래블마트 통합'!D14,FIND(CHAR(10),'트래블마트 통합'!D14)-1),'트래블마트 통합'!D14)</f>
        <v>2/6–2/8 – PTAA TravelTour Expo</v>
      </c>
      <c r="E13" s="256" t="str">
        <f>IF(ISNUMBER(SEARCH("★★★",'트래블마트 통합'!D14)),"★★★",IF(ISNUMBER(SEARCH("★★",'트래블마트 통합'!D14)),"★★",IF(ISNUMBER(SEARCH("★",'트래블마트 통합'!D14)),"★","-")))</f>
        <v>★★★</v>
      </c>
      <c r="F13" s="258" t="b">
        <v>0</v>
      </c>
      <c r="G13" s="258" t="b">
        <v>0</v>
      </c>
      <c r="H13" s="256" t="str">
        <f t="shared" si="0"/>
        <v>미정</v>
      </c>
      <c r="I13" s="257" t="str">
        <f>'트래블마트 통합'!D14</f>
        <v>2/6–2/8 – PTAA TravelTour Expo
[★★★ 최우선] 필리핀 최대 소비자+B2B, 패키지 판매에 최적</v>
      </c>
      <c r="J13" s="259"/>
    </row>
    <row r="14" spans="1:10">
      <c r="A14" s="255" t="str">
        <f>'트래블마트 통합'!D$2</f>
        <v>2026년 2월</v>
      </c>
      <c r="B14" s="256" t="str">
        <f>'트래블마트 통합'!$A20</f>
        <v>인도</v>
      </c>
      <c r="C14" s="256" t="str">
        <f>'트래블마트 통합'!$B20</f>
        <v>뭄바이
뉴델리</v>
      </c>
      <c r="D14" s="257" t="str">
        <f>IFERROR(LEFT('트래블마트 통합'!D20,FIND(CHAR(10),'트래블마트 통합'!D20)-1),'트래블마트 통합'!D20)</f>
        <v>SATTE 2026</v>
      </c>
      <c r="E14" s="256" t="str">
        <f>IF(ISNUMBER(SEARCH("★★★",'트래블마트 통합'!D20)),"★★★",IF(ISNUMBER(SEARCH("★★",'트래블마트 통합'!D20)),"★★",IF(ISNUMBER(SEARCH("★",'트래블마트 통합'!D20)),"★","-")))</f>
        <v>★★</v>
      </c>
      <c r="F14" s="258" t="b">
        <v>1</v>
      </c>
      <c r="G14" s="258" t="b">
        <v>1</v>
      </c>
      <c r="H14" s="256" t="str">
        <f t="shared" si="0"/>
        <v>완료</v>
      </c>
      <c r="I14" s="257" t="str">
        <f>'트래블마트 통합'!D20</f>
        <v>SATTE 2026
2026.02.25 – 02.27
[★★ 중간] 남아시아 인바운드/아웃바운드</v>
      </c>
      <c r="J14" s="259"/>
    </row>
    <row r="15" spans="1:10">
      <c r="A15" s="255" t="str">
        <f>'트래블마트 통합'!D$2</f>
        <v>2026년 2월</v>
      </c>
      <c r="B15" s="256" t="str">
        <f>'트래블마트 통합'!$A28</f>
        <v>미국</v>
      </c>
      <c r="C15" s="256" t="str">
        <f>'트래블마트 통합'!$B28</f>
        <v>플로리다주
뉴욕</v>
      </c>
      <c r="D15" s="257" t="str">
        <f>IFERROR(LEFT('트래블마트 통합'!D28,FIND(CHAR(10),'트래블마트 통합'!D28)-1),'트래블마트 통합'!D28)</f>
        <v>NYTTravel Show</v>
      </c>
      <c r="E15" s="256" t="str">
        <f>IF(ISNUMBER(SEARCH("★★★",'트래블마트 통합'!D28)),"★★★",IF(ISNUMBER(SEARCH("★★",'트래블마트 통합'!D28)),"★★",IF(ISNUMBER(SEARCH("★",'트래블마트 통합'!D28)),"★","-")))</f>
        <v>-</v>
      </c>
      <c r="F15" s="258" t="b">
        <v>0</v>
      </c>
      <c r="G15" s="258" t="b">
        <v>0</v>
      </c>
      <c r="H15" s="256" t="str">
        <f t="shared" si="0"/>
        <v>미정</v>
      </c>
      <c r="I15" s="257" t="str">
        <f>'트래블마트 통합'!D28</f>
        <v>NYTTravel Show</v>
      </c>
      <c r="J15" s="259"/>
    </row>
    <row r="16" spans="1:10">
      <c r="A16" s="255" t="str">
        <f>'트래블마트 통합'!E$2</f>
        <v>2026년 3월</v>
      </c>
      <c r="B16" s="256" t="str">
        <f>'트래블마트 통합'!$A9</f>
        <v>중국</v>
      </c>
      <c r="C16" s="256" t="str">
        <f>'트래블마트 통합'!$B9</f>
        <v>광동,화동,화북,내륙</v>
      </c>
      <c r="D16" s="257" t="str">
        <f>IFERROR(LEFT('트래블마트 통합'!E9,FIND(CHAR(10),'트래블마트 통합'!E9)-1),'트래블마트 통합'!E9)</f>
        <v>1차 세일즈 콜</v>
      </c>
      <c r="E16" s="256" t="str">
        <f>IF(ISNUMBER(SEARCH("★★★",'트래블마트 통합'!E9)),"★★★",IF(ISNUMBER(SEARCH("★★",'트래블마트 통합'!E9)),"★★",IF(ISNUMBER(SEARCH("★",'트래블마트 통합'!E9)),"★","-")))</f>
        <v>-</v>
      </c>
      <c r="F16" s="258" t="b">
        <v>1</v>
      </c>
      <c r="G16" s="258" t="b">
        <v>1</v>
      </c>
      <c r="H16" s="256" t="str">
        <f t="shared" si="0"/>
        <v>완료</v>
      </c>
      <c r="I16" s="257" t="str">
        <f>'트래블마트 통합'!E9</f>
        <v>1차 세일즈 콜
베이징</v>
      </c>
      <c r="J16" s="259"/>
    </row>
    <row r="17" spans="1:10">
      <c r="A17" s="255" t="str">
        <f>'트래블마트 통합'!E$2</f>
        <v>2026년 3월</v>
      </c>
      <c r="B17" s="256" t="str">
        <f>'트래블마트 통합'!$A16</f>
        <v>태국</v>
      </c>
      <c r="C17" s="256" t="str">
        <f>'트래블마트 통합'!$B16</f>
        <v>방콕</v>
      </c>
      <c r="D17" s="257" t="str">
        <f>IFERROR(LEFT('트래블마트 통합'!E16,FIND(CHAR(10),'트래블마트 통합'!E16)-1),'트래블마트 통합'!E16)</f>
        <v xml:space="preserve">5-8 Mar </v>
      </c>
      <c r="E17" s="256" t="str">
        <f>IF(ISNUMBER(SEARCH("★★★",'트래블마트 통합'!E16)),"★★★",IF(ISNUMBER(SEARCH("★★",'트래블마트 통합'!E16)),"★★",IF(ISNUMBER(SEARCH("★",'트래블마트 통합'!E16)),"★","-")))</f>
        <v>-</v>
      </c>
      <c r="F17" s="258" t="b">
        <v>1</v>
      </c>
      <c r="G17" s="258" t="b">
        <v>1</v>
      </c>
      <c r="H17" s="256" t="str">
        <f t="shared" si="0"/>
        <v>완료</v>
      </c>
      <c r="I17" s="257" t="str">
        <f>'트래블마트 통합'!E16</f>
        <v>5-8 Mar 
Thai Teaw Thai (77th Edition)
B2C</v>
      </c>
      <c r="J17" s="259"/>
    </row>
    <row r="18" spans="1:10">
      <c r="A18" s="255" t="str">
        <f>'트래블마트 통합'!E$2</f>
        <v>2026년 3월</v>
      </c>
      <c r="B18" s="256" t="str">
        <f>'트래블마트 통합'!$A17</f>
        <v>말레이시아</v>
      </c>
      <c r="C18" s="256" t="str">
        <f>'트래블마트 통합'!$B17</f>
        <v>쿠알라룸프르, 쿠칭</v>
      </c>
      <c r="D18" s="257" t="str">
        <f>IFERROR(LEFT('트래블마트 통합'!E17,FIND(CHAR(10),'트래블마트 통합'!E17)-1),'트래블마트 통합'!E17)</f>
        <v>MATTA Fair</v>
      </c>
      <c r="E18" s="256" t="str">
        <f>IF(ISNUMBER(SEARCH("★★★",'트래블마트 통합'!E17)),"★★★",IF(ISNUMBER(SEARCH("★★",'트래블마트 통합'!E17)),"★★",IF(ISNUMBER(SEARCH("★",'트래블마트 통합'!E17)),"★","-")))</f>
        <v>★</v>
      </c>
      <c r="F18" s="258" t="b">
        <v>0</v>
      </c>
      <c r="G18" s="258" t="b">
        <v>0</v>
      </c>
      <c r="H18" s="256" t="str">
        <f t="shared" si="0"/>
        <v>미정</v>
      </c>
      <c r="I18" s="257" t="str">
        <f>'트래블마트 통합'!E17</f>
        <v>MATTA Fair
3 - 5 April 2026
[★ 선택] 말레이시아 최대 B2C</v>
      </c>
      <c r="J18" s="259"/>
    </row>
    <row r="19" spans="1:10">
      <c r="A19" s="255" t="str">
        <f>'트래블마트 통합'!E$2</f>
        <v>2026년 3월</v>
      </c>
      <c r="B19" s="256" t="str">
        <f>'트래블마트 통합'!$A21</f>
        <v>러시아</v>
      </c>
      <c r="C19" s="256" t="str">
        <f>'트래블마트 통합'!$B21</f>
        <v>모스크바</v>
      </c>
      <c r="D19" s="257" t="str">
        <f>IFERROR(LEFT('트래블마트 통합'!E21,FIND(CHAR(10),'트래블마트 통합'!E21)-1),'트래블마트 통합'!E21)</f>
        <v>MITT 2026</v>
      </c>
      <c r="E19" s="256" t="str">
        <f>IF(ISNUMBER(SEARCH("★★★",'트래블마트 통합'!E21)),"★★★",IF(ISNUMBER(SEARCH("★★",'트래블마트 통합'!E21)),"★★",IF(ISNUMBER(SEARCH("★",'트래블마트 통합'!E21)),"★","-")))</f>
        <v>★★</v>
      </c>
      <c r="F19" s="258" t="b">
        <v>0</v>
      </c>
      <c r="G19" s="258" t="b">
        <v>0</v>
      </c>
      <c r="H19" s="256" t="str">
        <f t="shared" si="0"/>
        <v>미정</v>
      </c>
      <c r="I19" s="257" t="str">
        <f>'트래블마트 통합'!E21</f>
        <v>MITT 2026
2026년 3월 11일 ~ 3월 13일
[★★ 중간] 러시아·CIS 최대, 러시아 outbound 핵심</v>
      </c>
      <c r="J19" s="259"/>
    </row>
    <row r="20" spans="1:10">
      <c r="A20" s="255" t="str">
        <f>'트래블마트 통합'!E$2</f>
        <v>2026년 3월</v>
      </c>
      <c r="B20" s="256" t="str">
        <f>'트래블마트 통합'!$A23</f>
        <v>Qatar</v>
      </c>
      <c r="C20" s="256" t="str">
        <f>'트래블마트 통합'!$B23</f>
        <v>Doha</v>
      </c>
      <c r="D20" s="257" t="str">
        <f>IFERROR(LEFT('트래블마트 통합'!E23,FIND(CHAR(10),'트래블마트 통합'!E23)-1),'트래블마트 통합'!E23)</f>
        <v>Connections Luxury Middle East 2026</v>
      </c>
      <c r="E20" s="256" t="str">
        <f>IF(ISNUMBER(SEARCH("★★★",'트래블마트 통합'!E23)),"★★★",IF(ISNUMBER(SEARCH("★★",'트래블마트 통합'!E23)),"★★",IF(ISNUMBER(SEARCH("★",'트래블마트 통합'!E23)),"★","-")))</f>
        <v>★</v>
      </c>
      <c r="F20" s="258" t="b">
        <v>0</v>
      </c>
      <c r="G20" s="258" t="b">
        <v>0</v>
      </c>
      <c r="H20" s="256" t="str">
        <f t="shared" si="0"/>
        <v>미정</v>
      </c>
      <c r="I20" s="257" t="str">
        <f>'트래블마트 통합'!E23</f>
        <v>Connections Luxury Middle East 2026
2026년 3월 29일 ~ 4월 1일
[★ 선택] 초럭셔리 바이어 행사, 하이엔드 전략용</v>
      </c>
      <c r="J20" s="259"/>
    </row>
    <row r="21" spans="1:10">
      <c r="A21" s="255" t="str">
        <f>'트래블마트 통합'!E$2</f>
        <v>2026년 3월</v>
      </c>
      <c r="B21" s="256" t="str">
        <f>'트래블마트 통합'!$A24</f>
        <v>독일</v>
      </c>
      <c r="C21" s="256" t="str">
        <f>'트래블마트 통합'!$B24</f>
        <v>베를린
오버하우젠</v>
      </c>
      <c r="D21" s="257" t="str">
        <f>IFERROR(LEFT('트래블마트 통합'!E24,FIND(CHAR(10),'트래블마트 통합'!E24)-1),'트래블마트 통합'!E24)</f>
        <v>ITB Berlin 2026</v>
      </c>
      <c r="E21" s="256" t="str">
        <f>IF(ISNUMBER(SEARCH("★★★",'트래블마트 통합'!E24)),"★★★",IF(ISNUMBER(SEARCH("★★",'트래블마트 통합'!E24)),"★★",IF(ISNUMBER(SEARCH("★",'트래블마트 통합'!E24)),"★","-")))</f>
        <v>★★★</v>
      </c>
      <c r="F21" s="258" t="b">
        <v>0</v>
      </c>
      <c r="G21" s="258" t="b">
        <v>0</v>
      </c>
      <c r="H21" s="256" t="str">
        <f t="shared" si="0"/>
        <v>미정</v>
      </c>
      <c r="I21" s="257" t="str">
        <f>'트래블마트 통합'!E24</f>
        <v>ITB Berlin 2026
2026년 3월 3일(화) ~ 3월 5일(목)
[★★★ 최우선] 세계 1위 여행 B2B, 글로벌 파트너 확장 필수</v>
      </c>
      <c r="J21" s="259"/>
    </row>
    <row r="22" spans="1:10">
      <c r="A22" s="255" t="str">
        <f>'트래블마트 통합'!E$2</f>
        <v>2026년 3월</v>
      </c>
      <c r="B22" s="256" t="str">
        <f>'트래블마트 통합'!$A28</f>
        <v>미국</v>
      </c>
      <c r="C22" s="256" t="str">
        <f>'트래블마트 통합'!$B28</f>
        <v>플로리다주
뉴욕</v>
      </c>
      <c r="D22" s="257" t="str">
        <f>IFERROR(LEFT('트래블마트 통합'!E28,FIND(CHAR(10),'트래블마트 통합'!E28)-1),'트래블마트 통합'!E28)</f>
        <v>NYTTravel Show</v>
      </c>
      <c r="E22" s="256" t="str">
        <f>IF(ISNUMBER(SEARCH("★★★",'트래블마트 통합'!E28)),"★★★",IF(ISNUMBER(SEARCH("★★",'트래블마트 통합'!E28)),"★★",IF(ISNUMBER(SEARCH("★",'트래블마트 통합'!E28)),"★","-")))</f>
        <v>-</v>
      </c>
      <c r="F22" s="258" t="b">
        <v>0</v>
      </c>
      <c r="G22" s="258" t="b">
        <v>0</v>
      </c>
      <c r="H22" s="256" t="str">
        <f t="shared" si="0"/>
        <v>미정</v>
      </c>
      <c r="I22" s="257" t="str">
        <f>'트래블마트 통합'!E28</f>
        <v>NYTTravel Show</v>
      </c>
      <c r="J22" s="259"/>
    </row>
    <row r="23" spans="1:10">
      <c r="A23" s="255" t="str">
        <f>'트래블마트 통합'!F$2</f>
        <v>2026년 4월</v>
      </c>
      <c r="B23" s="256" t="str">
        <f>'트래블마트 통합'!$A9</f>
        <v>중국</v>
      </c>
      <c r="C23" s="256" t="str">
        <f>'트래블마트 통합'!$B9</f>
        <v>광동,화동,화북,내륙</v>
      </c>
      <c r="D23" s="257" t="str">
        <f>IFERROR(LEFT('트래블마트 통합'!F9,FIND(CHAR(10),'트래블마트 통합'!F9)-1),'트래블마트 통합'!F9)</f>
        <v>1차 세일즈 콜</v>
      </c>
      <c r="E23" s="256" t="str">
        <f>IF(ISNUMBER(SEARCH("★★★",'트래블마트 통합'!F9)),"★★★",IF(ISNUMBER(SEARCH("★★",'트래블마트 통합'!F9)),"★★",IF(ISNUMBER(SEARCH("★",'트래블마트 통합'!F9)),"★","-")))</f>
        <v>★★★</v>
      </c>
      <c r="F23" s="258" t="b">
        <v>1</v>
      </c>
      <c r="G23" s="258" t="b">
        <v>1</v>
      </c>
      <c r="H23" s="256" t="str">
        <f t="shared" si="0"/>
        <v>완료</v>
      </c>
      <c r="I23" s="257" t="str">
        <f>'트래블마트 통합'!F9</f>
        <v>1차 세일즈 콜
청두, 시안, 중경
COTTM Beijing (보통 4월)
[★★★ 최우선] 중국 outbound 전문 B2B</v>
      </c>
      <c r="J23" s="259"/>
    </row>
    <row r="24" spans="1:10">
      <c r="A24" s="255" t="str">
        <f>'트래블마트 통합'!F$2</f>
        <v>2026년 4월</v>
      </c>
      <c r="B24" s="256" t="str">
        <f>'트래블마트 통합'!$A15</f>
        <v>베트남</v>
      </c>
      <c r="C24" s="256" t="str">
        <f>'트래블마트 통합'!$B15</f>
        <v>호치민
하노이</v>
      </c>
      <c r="D24" s="257" t="str">
        <f>IFERROR(LEFT('트래블마트 통합'!F15,FIND(CHAR(10),'트래블마트 통합'!F15)-1),'트래블마트 통합'!F15)</f>
        <v>Vietnam International Travel Mart HANOI</v>
      </c>
      <c r="E24" s="256" t="str">
        <f>IF(ISNUMBER(SEARCH("★★★",'트래블마트 통합'!F15)),"★★★",IF(ISNUMBER(SEARCH("★★",'트래블마트 통합'!F15)),"★★",IF(ISNUMBER(SEARCH("★",'트래블마트 통합'!F15)),"★","-")))</f>
        <v>★★</v>
      </c>
      <c r="F24" s="258" t="b">
        <v>0</v>
      </c>
      <c r="G24" s="258" t="b">
        <v>0</v>
      </c>
      <c r="H24" s="256" t="str">
        <f t="shared" si="0"/>
        <v>미정</v>
      </c>
      <c r="I24" s="257" t="str">
        <f>'트래블마트 통합'!F15</f>
        <v>Vietnam International Travel Mart HANOI
[★★ 중간] 북베트남 B2B+B2C</v>
      </c>
      <c r="J24" s="259"/>
    </row>
    <row r="25" spans="1:10">
      <c r="A25" s="255" t="str">
        <f>'트래블마트 통합'!F$2</f>
        <v>2026년 4월</v>
      </c>
      <c r="B25" s="256" t="str">
        <f>'트래블마트 통합'!$A24</f>
        <v>독일</v>
      </c>
      <c r="C25" s="256" t="str">
        <f>'트래블마트 통합'!$B24</f>
        <v>베를린
오버하우젠</v>
      </c>
      <c r="D25" s="257" t="str">
        <f>IFERROR(LEFT('트래블마트 통합'!F24,FIND(CHAR(10),'트래블마트 통합'!F24)-1),'트래블마트 통합'!F24)</f>
        <v>Germany Travel Mart (GTM) 2026</v>
      </c>
      <c r="E25" s="256" t="str">
        <f>IF(ISNUMBER(SEARCH("★★★",'트래블마트 통합'!F24)),"★★★",IF(ISNUMBER(SEARCH("★★",'트래블마트 통합'!F24)),"★★",IF(ISNUMBER(SEARCH("★",'트래블마트 통합'!F24)),"★","-")))</f>
        <v>★</v>
      </c>
      <c r="F25" s="258" t="b">
        <v>0</v>
      </c>
      <c r="G25" s="258" t="b">
        <v>0</v>
      </c>
      <c r="H25" s="256" t="str">
        <f t="shared" si="0"/>
        <v>미정</v>
      </c>
      <c r="I25" s="257" t="str">
        <f>'트래블마트 통합'!F24</f>
        <v>Germany Travel Mart (GTM) 2026
2026년 4월 19일 ~ 21일
[★ 선택] 독일 관광청 주최, 유럽 인바운드 중심</v>
      </c>
      <c r="J25" s="259"/>
    </row>
    <row r="26" spans="1:10">
      <c r="A26" s="255" t="str">
        <f>'트래블마트 통합'!F$2</f>
        <v>2026년 4월</v>
      </c>
      <c r="B26" s="256" t="str">
        <f>'트래블마트 통합'!$A28</f>
        <v>미국</v>
      </c>
      <c r="C26" s="256" t="str">
        <f>'트래블마트 통합'!$B28</f>
        <v>플로리다주
뉴욕</v>
      </c>
      <c r="D26" s="257" t="str">
        <f>IFERROR(LEFT('트래블마트 통합'!F28,FIND(CHAR(10),'트래블마트 통합'!F28)-1),'트래블마트 통합'!F28)</f>
        <v>NYTTravel Show</v>
      </c>
      <c r="E26" s="256" t="str">
        <f>IF(ISNUMBER(SEARCH("★★★",'트래블마트 통합'!F28)),"★★★",IF(ISNUMBER(SEARCH("★★",'트래블마트 통합'!F28)),"★★",IF(ISNUMBER(SEARCH("★",'트래블마트 통합'!F28)),"★","-")))</f>
        <v>-</v>
      </c>
      <c r="F26" s="258" t="b">
        <v>0</v>
      </c>
      <c r="G26" s="258" t="b">
        <v>0</v>
      </c>
      <c r="H26" s="256" t="str">
        <f t="shared" si="0"/>
        <v>미정</v>
      </c>
      <c r="I26" s="257" t="str">
        <f>'트래블마트 통합'!F28</f>
        <v>NYTTravel Show</v>
      </c>
      <c r="J26" s="259"/>
    </row>
    <row r="27" spans="1:10">
      <c r="A27" s="255" t="str">
        <f>'트래블마트 통합'!F$2</f>
        <v>2026년 4월</v>
      </c>
      <c r="B27" s="256" t="str">
        <f>'트래블마트 통합'!$A30</f>
        <v>South Africa</v>
      </c>
      <c r="C27" s="256" t="str">
        <f>'트래블마트 통합'!$B30</f>
        <v>Cape Town</v>
      </c>
      <c r="D27" s="257" t="str">
        <f>IFERROR(LEFT('트래블마트 통합'!F30,FIND(CHAR(10),'트래블마트 통합'!F30)-1),'트래블마트 통합'!F30)</f>
        <v>WTM Africa 2026</v>
      </c>
      <c r="E27" s="256" t="str">
        <f>IF(ISNUMBER(SEARCH("★★★",'트래블마트 통합'!F30)),"★★★",IF(ISNUMBER(SEARCH("★★",'트래블마트 통합'!F30)),"★★",IF(ISNUMBER(SEARCH("★",'트래블마트 통합'!F30)),"★","-")))</f>
        <v>★</v>
      </c>
      <c r="F27" s="258" t="b">
        <v>0</v>
      </c>
      <c r="G27" s="258" t="b">
        <v>0</v>
      </c>
      <c r="H27" s="256" t="str">
        <f t="shared" si="0"/>
        <v>미정</v>
      </c>
      <c r="I27" s="257" t="str">
        <f>'트래블마트 통합'!F30</f>
        <v>WTM Africa 2026
[★ 선택] 아프리카 시장 접근</v>
      </c>
      <c r="J27" s="259"/>
    </row>
    <row r="28" spans="1:10">
      <c r="A28" s="255" t="str">
        <f>'트래블마트 통합'!F$2</f>
        <v>2026년 4월</v>
      </c>
      <c r="B28" s="256" t="str">
        <f>'트래블마트 통합'!$A31</f>
        <v>브라질</v>
      </c>
      <c r="C28" s="256" t="str">
        <f>'트래블마트 통합'!$B31</f>
        <v>상파울루</v>
      </c>
      <c r="D28" s="257" t="str">
        <f>IFERROR(LEFT('트래블마트 통합'!F31,FIND(CHAR(10),'트래블마트 통합'!F31)-1),'트래블마트 통합'!F31)</f>
        <v>WTM Latin America 2026</v>
      </c>
      <c r="E28" s="256" t="str">
        <f>IF(ISNUMBER(SEARCH("★★★",'트래블마트 통합'!F31)),"★★★",IF(ISNUMBER(SEARCH("★★",'트래블마트 통합'!F31)),"★★",IF(ISNUMBER(SEARCH("★",'트래블마트 통합'!F31)),"★","-")))</f>
        <v>★</v>
      </c>
      <c r="F28" s="258" t="b">
        <v>0</v>
      </c>
      <c r="G28" s="258" t="b">
        <v>0</v>
      </c>
      <c r="H28" s="256" t="str">
        <f t="shared" si="0"/>
        <v>미정</v>
      </c>
      <c r="I28" s="257" t="str">
        <f>'트래블마트 통합'!F31</f>
        <v>WTM Latin America 2026
2026년 4월 14-16일
[★ 선택] 남미 최대 B2B, 라틴 바이어 네트워크</v>
      </c>
      <c r="J28" s="259"/>
    </row>
    <row r="29" spans="1:10">
      <c r="A29" s="255" t="str">
        <f>'트래블마트 통합'!G$2</f>
        <v>2026년 5월</v>
      </c>
      <c r="B29" s="256" t="str">
        <f>'트래블마트 통합'!$A9</f>
        <v>중국</v>
      </c>
      <c r="C29" s="256" t="str">
        <f>'트래블마트 통합'!$B9</f>
        <v>광동,화동,화북,내륙</v>
      </c>
      <c r="D29" s="257" t="str">
        <f>IFERROR(LEFT('트래블마트 통합'!G9,FIND(CHAR(10),'트래블마트 통합'!G9)-1),'트래블마트 통합'!G9)</f>
        <v>5/26–5/28 – ITB China</v>
      </c>
      <c r="E29" s="256" t="str">
        <f>IF(ISNUMBER(SEARCH("★★★",'트래블마트 통합'!G9)),"★★★",IF(ISNUMBER(SEARCH("★★",'트래블마트 통합'!G9)),"★★",IF(ISNUMBER(SEARCH("★",'트래블마트 통합'!G9)),"★","-")))</f>
        <v>★★★</v>
      </c>
      <c r="F29" s="258" t="b">
        <v>1</v>
      </c>
      <c r="G29" s="258" t="b">
        <v>1</v>
      </c>
      <c r="H29" s="256" t="str">
        <f t="shared" si="0"/>
        <v>완료</v>
      </c>
      <c r="I29" s="257" t="str">
        <f>'트래블마트 통합'!G9</f>
        <v>5/26–5/28 – ITB China
1차 Shanghai
GITF (Guangzhou International Travel Fair) 5/21–23
[★★★ 최우선] 중국 outbound 최상위 B2B</v>
      </c>
      <c r="J29" s="259"/>
    </row>
    <row r="30" spans="1:10">
      <c r="A30" s="255" t="str">
        <f>'트래블마트 통합'!G$2</f>
        <v>2026년 5월</v>
      </c>
      <c r="B30" s="256" t="str">
        <f>'트래블마트 통합'!$A10</f>
        <v>한국</v>
      </c>
      <c r="C30" s="256" t="str">
        <f>'트래블마트 통합'!$B10</f>
        <v>서울</v>
      </c>
      <c r="D30" s="257" t="str">
        <f>IFERROR(LEFT('트래블마트 통합'!G10,FIND(CHAR(10),'트래블마트 통합'!G10)-1),'트래블마트 통합'!G10)</f>
        <v>일산 트래블마트</v>
      </c>
      <c r="E30" s="256" t="str">
        <f>IF(ISNUMBER(SEARCH("★★★",'트래블마트 통합'!G10)),"★★★",IF(ISNUMBER(SEARCH("★★",'트래블마트 통합'!G10)),"★★",IF(ISNUMBER(SEARCH("★",'트래블마트 통합'!G10)),"★","-")))</f>
        <v>-</v>
      </c>
      <c r="F30" s="258" t="b">
        <v>1</v>
      </c>
      <c r="G30" s="258" t="b">
        <v>1</v>
      </c>
      <c r="H30" s="256" t="str">
        <f t="shared" si="0"/>
        <v>완료</v>
      </c>
      <c r="I30" s="257" t="str">
        <f>'트래블마트 통합'!G10</f>
        <v>일산 트래블마트
5월 14~17일</v>
      </c>
      <c r="J30" s="259"/>
    </row>
    <row r="31" spans="1:10">
      <c r="A31" s="255" t="str">
        <f>'트래블마트 통합'!G$2</f>
        <v>2026년 5월</v>
      </c>
      <c r="B31" s="256" t="str">
        <f>'트래블마트 통합'!$A12</f>
        <v>대만</v>
      </c>
      <c r="C31" s="256" t="str">
        <f>'트래블마트 통합'!$B12</f>
        <v>타이베이</v>
      </c>
      <c r="D31" s="257" t="str">
        <f>IFERROR(LEFT('트래블마트 통합'!G12,FIND(CHAR(10),'트래블마트 통합'!G12)-1),'트래블마트 통합'!G12)</f>
        <v>5/22–5/25 – Taipei Tourism Expo (TTE)</v>
      </c>
      <c r="E31" s="256" t="str">
        <f>IF(ISNUMBER(SEARCH("★★★",'트래블마트 통합'!G12)),"★★★",IF(ISNUMBER(SEARCH("★★",'트래블마트 통합'!G12)),"★★",IF(ISNUMBER(SEARCH("★",'트래블마트 통합'!G12)),"★","-")))</f>
        <v>★</v>
      </c>
      <c r="F31" s="258" t="b">
        <v>0</v>
      </c>
      <c r="G31" s="258" t="b">
        <v>0</v>
      </c>
      <c r="H31" s="256" t="str">
        <f t="shared" si="0"/>
        <v>미정</v>
      </c>
      <c r="I31" s="257" t="str">
        <f>'트래블마트 통합'!G12</f>
        <v>5/22–5/25 – Taipei Tourism Expo (TTE)
[★ 선택] 대만 최대 B2C, FIT 시장 강함</v>
      </c>
      <c r="J31" s="259"/>
    </row>
    <row r="32" spans="1:10">
      <c r="A32" s="255" t="str">
        <f>'트래블마트 통합'!G$2</f>
        <v>2026년 5월</v>
      </c>
      <c r="B32" s="256" t="str">
        <f>'트래블마트 통합'!$A19</f>
        <v>인도네시아</v>
      </c>
      <c r="C32" s="256" t="str">
        <f>'트래블마트 통합'!$B19</f>
        <v>자카르타</v>
      </c>
      <c r="D32" s="257" t="str">
        <f>IFERROR(LEFT('트래블마트 통합'!G19,FIND(CHAR(10),'트래블마트 통합'!G19)-1),'트래블마트 통합'!G19)</f>
        <v>BBTF (Bali &amp; Beyond Travel Fair) 2026</v>
      </c>
      <c r="E32" s="256" t="str">
        <f>IF(ISNUMBER(SEARCH("★★★",'트래블마트 통합'!G19)),"★★★",IF(ISNUMBER(SEARCH("★★",'트래블마트 통합'!G19)),"★★",IF(ISNUMBER(SEARCH("★",'트래블마트 통합'!G19)),"★","-")))</f>
        <v>-</v>
      </c>
      <c r="F32" s="258" t="b">
        <v>0</v>
      </c>
      <c r="G32" s="258" t="b">
        <v>0</v>
      </c>
      <c r="H32" s="256" t="str">
        <f t="shared" si="0"/>
        <v>미정</v>
      </c>
      <c r="I32" s="257" t="str">
        <f>'트래블마트 통합'!G19</f>
        <v>BBTF (Bali &amp; Beyond Travel Fair) 2026
날짜: 2026년 5월 28일(목) ~ 5월 30일(토)
특징: 상반기 동남아시아 일정 중 호텔 소싱에 가장 중요한 행사</v>
      </c>
      <c r="J32" s="259"/>
    </row>
    <row r="33" spans="1:10">
      <c r="A33" s="255" t="str">
        <f>'트래블마트 통합'!G$2</f>
        <v>2026년 5월</v>
      </c>
      <c r="B33" s="256" t="str">
        <f>'트래블마트 통합'!$A22</f>
        <v>UAE</v>
      </c>
      <c r="C33" s="256" t="str">
        <f>'트래블마트 통합'!$B22</f>
        <v>Dubai</v>
      </c>
      <c r="D33" s="257" t="str">
        <f>IFERROR(LEFT('트래블마트 통합'!G22,FIND(CHAR(10),'트래블마트 통합'!G22)-1),'트래블마트 통합'!G22)</f>
        <v>Arabian Travel Market (ATM) 2026</v>
      </c>
      <c r="E33" s="256" t="str">
        <f>IF(ISNUMBER(SEARCH("★★★",'트래블마트 통합'!G22)),"★★★",IF(ISNUMBER(SEARCH("★★",'트래블마트 통합'!G22)),"★★",IF(ISNUMBER(SEARCH("★",'트래블마트 통합'!G22)),"★","-")))</f>
        <v>★★★</v>
      </c>
      <c r="F33" s="258" t="b">
        <v>1</v>
      </c>
      <c r="G33" s="258" t="b">
        <v>0</v>
      </c>
      <c r="H33" s="256" t="str">
        <f t="shared" si="0"/>
        <v>참가 예정</v>
      </c>
      <c r="I33" s="257" t="str">
        <f>'트래블마트 통합'!G22</f>
        <v>Arabian Travel Market (ATM) 2026
2026년 5월 4일 ~ 5월 7일
[★★★ 최우선] 중동 최대 여행 B2B, GCC 바이어 중심</v>
      </c>
      <c r="J33" s="259"/>
    </row>
    <row r="34" spans="1:10">
      <c r="A34" s="255" t="str">
        <f>'트래블마트 통합'!G$2</f>
        <v>2026년 5월</v>
      </c>
      <c r="B34" s="256" t="str">
        <f>'트래블마트 통합'!$A25</f>
        <v>호주</v>
      </c>
      <c r="C34" s="256" t="str">
        <f>'트래블마트 통합'!$B25</f>
        <v>시드니, 애들레이드</v>
      </c>
      <c r="D34" s="257" t="str">
        <f>IFERROR(LEFT('트래블마트 통합'!G25,FIND(CHAR(10),'트래블마트 통합'!G25)-1),'트래블마트 통합'!G25)</f>
        <v>5/10–5/14 – Australian Tourism Exchange (ATE)</v>
      </c>
      <c r="E34" s="256" t="str">
        <f>IF(ISNUMBER(SEARCH("★★★",'트래블마트 통합'!G25)),"★★★",IF(ISNUMBER(SEARCH("★★",'트래블마트 통합'!G25)),"★★",IF(ISNUMBER(SEARCH("★",'트래블마트 통합'!G25)),"★","-")))</f>
        <v>★</v>
      </c>
      <c r="F34" s="258" t="b">
        <v>0</v>
      </c>
      <c r="G34" s="258" t="b">
        <v>0</v>
      </c>
      <c r="H34" s="256" t="str">
        <f t="shared" si="0"/>
        <v>미정</v>
      </c>
      <c r="I34" s="257" t="str">
        <f>'트래블마트 통합'!G25</f>
        <v>5/10–5/14 – Australian Tourism Exchange (ATE)
[★ 선택] 오세아니아 최대 B2B</v>
      </c>
      <c r="J34" s="259"/>
    </row>
    <row r="35" spans="1:10">
      <c r="A35" s="255" t="str">
        <f>'트래블마트 통합'!G$2</f>
        <v>2026년 5월</v>
      </c>
      <c r="B35" s="256" t="str">
        <f>'트래블마트 통합'!$A28</f>
        <v>미국</v>
      </c>
      <c r="C35" s="256" t="str">
        <f>'트래블마트 통합'!$B28</f>
        <v>플로리다주
뉴욕</v>
      </c>
      <c r="D35" s="257" t="str">
        <f>IFERROR(LEFT('트래블마트 통합'!G28,FIND(CHAR(10),'트래블마트 통합'!G28)-1),'트래블마트 통합'!G28)</f>
        <v>IPW 2026</v>
      </c>
      <c r="E35" s="256" t="str">
        <f>IF(ISNUMBER(SEARCH("★★★",'트래블마트 통합'!G28)),"★★★",IF(ISNUMBER(SEARCH("★★",'트래블마트 통합'!G28)),"★★",IF(ISNUMBER(SEARCH("★",'트래블마트 통합'!G28)),"★","-")))</f>
        <v>★</v>
      </c>
      <c r="F35" s="258" t="b">
        <v>0</v>
      </c>
      <c r="G35" s="258" t="b">
        <v>0</v>
      </c>
      <c r="H35" s="256" t="str">
        <f t="shared" si="0"/>
        <v>미정</v>
      </c>
      <c r="I35" s="257" t="str">
        <f>'트래블마트 통합'!G28</f>
        <v>IPW 2026
2026년 5월 17-21일
[★ 선택] 미국 인바운드 최대 B2B 행사</v>
      </c>
      <c r="J35" s="259"/>
    </row>
    <row r="36" spans="1:10">
      <c r="A36" s="255" t="str">
        <f>'트래블마트 통합'!H$2</f>
        <v>2026년 6월</v>
      </c>
      <c r="B36" s="256" t="str">
        <f>'트래블마트 통합'!$A10</f>
        <v>한국</v>
      </c>
      <c r="C36" s="256" t="str">
        <f>'트래블마트 통합'!$B10</f>
        <v>서울</v>
      </c>
      <c r="D36" s="257" t="str">
        <f>IFERROR(LEFT('트래블마트 통합'!H10,FIND(CHAR(10),'트래블마트 통합'!H10)-1),'트래블마트 통합'!H10)</f>
        <v>6/4–6/7 – Seoul International Travel Fair (SITF)</v>
      </c>
      <c r="E36" s="256" t="str">
        <f>IF(ISNUMBER(SEARCH("★★★",'트래블마트 통합'!H10)),"★★★",IF(ISNUMBER(SEARCH("★★",'트래블마트 통합'!H10)),"★★",IF(ISNUMBER(SEARCH("★",'트래블마트 통합'!H10)),"★","-")))</f>
        <v>★</v>
      </c>
      <c r="F36" s="258" t="b">
        <v>0</v>
      </c>
      <c r="G36" s="258" t="b">
        <v>0</v>
      </c>
      <c r="H36" s="256" t="str">
        <f t="shared" ref="H36:H68" si="1">IF(AND(F36,G36),"완료",IF(G36,"진행 완료",IF(F36,"참가 예정","미정")))</f>
        <v>미정</v>
      </c>
      <c r="I36" s="257" t="str">
        <f>'트래블마트 통합'!H10</f>
        <v>6/4–6/7 – Seoul International Travel Fair (SITF)
[★ 선택] 한국 최대 여행박람회</v>
      </c>
      <c r="J36" s="259"/>
    </row>
    <row r="37" spans="1:10">
      <c r="A37" s="255" t="str">
        <f>'트래블마트 통합'!H$2</f>
        <v>2026년 6월</v>
      </c>
      <c r="B37" s="256" t="str">
        <f>'트래블마트 통합'!$A13</f>
        <v>홍콩</v>
      </c>
      <c r="C37" s="256" t="str">
        <f>'트래블마트 통합'!$B13</f>
        <v>홍콩</v>
      </c>
      <c r="D37" s="257" t="str">
        <f>IFERROR(LEFT('트래블마트 통합'!H13,FIND(CHAR(10),'트래블마트 통합'!H13)-1),'트래블마트 통합'!H13)</f>
        <v>ITE Hong Kong</v>
      </c>
      <c r="E37" s="256" t="str">
        <f>IF(ISNUMBER(SEARCH("★★★",'트래블마트 통합'!H13)),"★★★",IF(ISNUMBER(SEARCH("★★",'트래블마트 통합'!H13)),"★★",IF(ISNUMBER(SEARCH("★",'트래블마트 통합'!H13)),"★","-")))</f>
        <v>★★</v>
      </c>
      <c r="F37" s="258" t="b">
        <v>0</v>
      </c>
      <c r="G37" s="258" t="b">
        <v>0</v>
      </c>
      <c r="H37" s="256" t="str">
        <f t="shared" si="1"/>
        <v>미정</v>
      </c>
      <c r="I37" s="257" t="str">
        <f>'트래블마트 통합'!H13</f>
        <v>ITE Hong Kong
6월 11~14일 전후
[★★ 중간] 홍콩–광둥 outbound 중심</v>
      </c>
      <c r="J37" s="259"/>
    </row>
    <row r="38" spans="1:10">
      <c r="A38" s="255" t="str">
        <f>'트래블마트 통합'!H$2</f>
        <v>2026년 6월</v>
      </c>
      <c r="B38" s="256" t="str">
        <f>'트래블마트 통합'!$A16</f>
        <v>태국</v>
      </c>
      <c r="C38" s="256" t="str">
        <f>'트래블마트 통합'!$B16</f>
        <v>방콕</v>
      </c>
      <c r="D38" s="257" t="str">
        <f>IFERROR(LEFT('트래블마트 통합'!H16,FIND(CHAR(10),'트래블마트 통합'!H16)-1),'트래블마트 통합'!H16)</f>
        <v>TTM+ (Thailand Travel Mart Plus) 2026</v>
      </c>
      <c r="E38" s="256" t="str">
        <f>IF(ISNUMBER(SEARCH("★★★",'트래블마트 통합'!H16)),"★★★",IF(ISNUMBER(SEARCH("★★",'트래블마트 통합'!H16)),"★★",IF(ISNUMBER(SEARCH("★",'트래블마트 통합'!H16)),"★","-")))</f>
        <v>-</v>
      </c>
      <c r="F38" s="258" t="b">
        <v>0</v>
      </c>
      <c r="G38" s="258" t="b">
        <v>0</v>
      </c>
      <c r="H38" s="256" t="str">
        <f t="shared" si="1"/>
        <v>미정</v>
      </c>
      <c r="I38" s="257" t="str">
        <f>'트래블마트 통합'!H16</f>
        <v>TTM+ (Thailand Travel Mart Plus) 2026
예상 날짜: 2026년 6월 중 (보통 6월 둘째 주)
장소: 미정
특징: 태국 관광청(TAT) 주관 행사</v>
      </c>
      <c r="J38" s="259"/>
    </row>
    <row r="39" spans="1:10">
      <c r="A39" s="255" t="str">
        <f>'트래블마트 통합'!H$2</f>
        <v>2026년 6월</v>
      </c>
      <c r="B39" s="256" t="str">
        <f>'트래블마트 통합'!$A18</f>
        <v>싱가포르</v>
      </c>
      <c r="C39" s="256" t="str">
        <f>'트래블마트 통합'!$B18</f>
        <v>마리나베이</v>
      </c>
      <c r="D39" s="257" t="str">
        <f>IFERROR(LEFT('트래블마트 통합'!H18,FIND(CHAR(10),'트래블마트 통합'!H18)-1),'트래블마트 통합'!H18)</f>
        <v>ILTM Asia Pacific 2026</v>
      </c>
      <c r="E39" s="256" t="str">
        <f>IF(ISNUMBER(SEARCH("★★★",'트래블마트 통합'!H18)),"★★★",IF(ISNUMBER(SEARCH("★★",'트래블마트 통합'!H18)),"★★",IF(ISNUMBER(SEARCH("★",'트래블마트 통합'!H18)),"★","-")))</f>
        <v>★</v>
      </c>
      <c r="F39" s="258" t="b">
        <v>0</v>
      </c>
      <c r="G39" s="258" t="b">
        <v>0</v>
      </c>
      <c r="H39" s="256" t="str">
        <f t="shared" si="1"/>
        <v>미정</v>
      </c>
      <c r="I39" s="257" t="str">
        <f>'트래블마트 통합'!H18</f>
        <v>ILTM Asia Pacific 2026
2026년 6월 29일 ~ 7월 2일
[★ 선택] 아시아 럭셔리 여행 최상위 행사</v>
      </c>
      <c r="J39" s="259"/>
    </row>
    <row r="40" spans="1:10">
      <c r="A40" s="255" t="str">
        <f>'트래블마트 통합'!H$2</f>
        <v>2026년 6월</v>
      </c>
      <c r="B40" s="256" t="str">
        <f>'트래블마트 통합'!$A19</f>
        <v>인도네시아</v>
      </c>
      <c r="C40" s="256" t="str">
        <f>'트래블마트 통합'!$B19</f>
        <v>자카르타</v>
      </c>
      <c r="D40" s="257" t="str">
        <f>IFERROR(LEFT('트래블마트 통합'!H19,FIND(CHAR(10),'트래블마트 통합'!H19)-1),'트래블마트 통합'!H19)</f>
        <v>Travel Meet Asia 2026</v>
      </c>
      <c r="E40" s="256" t="str">
        <f>IF(ISNUMBER(SEARCH("★★★",'트래블마트 통합'!H19)),"★★★",IF(ISNUMBER(SEARCH("★★",'트래블마트 통합'!H19)),"★★",IF(ISNUMBER(SEARCH("★",'트래블마트 통합'!H19)),"★","-")))</f>
        <v>★</v>
      </c>
      <c r="F40" s="258" t="b">
        <v>1</v>
      </c>
      <c r="G40" s="258" t="b">
        <v>1</v>
      </c>
      <c r="H40" s="256" t="str">
        <f t="shared" si="1"/>
        <v>완료</v>
      </c>
      <c r="I40" s="257" t="str">
        <f>'트래블마트 통합'!H19</f>
        <v>Travel Meet Asia 2026
2026년 6월 23-24일
[★ 선택] 아세안 B2B 네트워크 허브</v>
      </c>
      <c r="J40" s="259"/>
    </row>
    <row r="41" spans="1:10">
      <c r="A41" s="255" t="str">
        <f>'트래블마트 통합'!I$2</f>
        <v>2026년 7월</v>
      </c>
      <c r="B41" s="256" t="str">
        <f>'트래블마트 통합'!$A9</f>
        <v>중국</v>
      </c>
      <c r="C41" s="256" t="str">
        <f>'트래블마트 통합'!$B9</f>
        <v>광동,화동,화북,내륙</v>
      </c>
      <c r="D41" s="257" t="str">
        <f>IFERROR(LEFT('트래블마트 통합'!I9,FIND(CHAR(10),'트래블마트 통합'!I9)-1),'트래블마트 통합'!I9)</f>
        <v>2차 세일즈 콜</v>
      </c>
      <c r="E41" s="256" t="str">
        <f>IF(ISNUMBER(SEARCH("★★★",'트래블마트 통합'!I9)),"★★★",IF(ISNUMBER(SEARCH("★★",'트래블마트 통합'!I9)),"★★",IF(ISNUMBER(SEARCH("★",'트래블마트 통합'!I9)),"★","-")))</f>
        <v>-</v>
      </c>
      <c r="F41" s="258" t="b">
        <v>1</v>
      </c>
      <c r="G41" s="258" t="b">
        <v>1</v>
      </c>
      <c r="H41" s="256" t="str">
        <f t="shared" si="1"/>
        <v>완료</v>
      </c>
      <c r="I41" s="257" t="str">
        <f>'트래블마트 통합'!I9</f>
        <v>2차 세일즈 콜
심천+대만+홍콩</v>
      </c>
      <c r="J41" s="259"/>
    </row>
    <row r="42" spans="1:10">
      <c r="A42" s="255" t="str">
        <f>'트래블마트 통합'!I$2</f>
        <v>2026년 7월</v>
      </c>
      <c r="B42" s="256" t="str">
        <f>'트래블마트 통합'!$A10</f>
        <v>한국</v>
      </c>
      <c r="C42" s="256" t="str">
        <f>'트래블마트 통합'!$B10</f>
        <v>서울</v>
      </c>
      <c r="D42" s="257" t="str">
        <f>IFERROR(LEFT('트래블마트 통합'!I10,FIND(CHAR(10),'트래블마트 통합'!I10)-1),'트래블마트 통합'!I10)</f>
        <v>6/30~7/1</v>
      </c>
      <c r="E42" s="256" t="str">
        <f>IF(ISNUMBER(SEARCH("★★★",'트래블마트 통합'!I10)),"★★★",IF(ISNUMBER(SEARCH("★★",'트래블마트 통합'!I10)),"★★",IF(ISNUMBER(SEARCH("★",'트래블마트 통합'!I10)),"★","-")))</f>
        <v>-</v>
      </c>
      <c r="F42" s="258" t="b">
        <v>0</v>
      </c>
      <c r="G42" s="258" t="b">
        <v>0</v>
      </c>
      <c r="H42" s="256" t="str">
        <f t="shared" si="1"/>
        <v>미정</v>
      </c>
      <c r="I42" s="257" t="str">
        <f>'트래블마트 통합'!I10</f>
        <v>6/30~7/1
SITM</v>
      </c>
      <c r="J42" s="259"/>
    </row>
    <row r="43" spans="1:10">
      <c r="A43" s="255" t="str">
        <f>'트래블마트 통합'!I$2</f>
        <v>2026년 7월</v>
      </c>
      <c r="B43" s="256" t="str">
        <f>'트래블마트 통합'!$A12</f>
        <v>대만</v>
      </c>
      <c r="C43" s="256" t="str">
        <f>'트래블마트 통합'!$B12</f>
        <v>타이베이</v>
      </c>
      <c r="D43" s="257" t="str">
        <f>IFERROR(LEFT('트래블마트 통합'!I12,FIND(CHAR(10),'트래블마트 통합'!I12)-1),'트래블마트 통합'!I12)</f>
        <v>2차 세일즈 콜</v>
      </c>
      <c r="E43" s="256" t="str">
        <f>IF(ISNUMBER(SEARCH("★★★",'트래블마트 통합'!I12)),"★★★",IF(ISNUMBER(SEARCH("★★",'트래블마트 통합'!I12)),"★★",IF(ISNUMBER(SEARCH("★",'트래블마트 통합'!I12)),"★","-")))</f>
        <v>-</v>
      </c>
      <c r="F43" s="258" t="b">
        <v>1</v>
      </c>
      <c r="G43" s="258" t="b">
        <v>1</v>
      </c>
      <c r="H43" s="256" t="str">
        <f t="shared" si="1"/>
        <v>완료</v>
      </c>
      <c r="I43" s="257" t="str">
        <f>'트래블마트 통합'!I12</f>
        <v>2차 세일즈 콜
심천+대만+홍콩</v>
      </c>
      <c r="J43" s="259"/>
    </row>
    <row r="44" spans="1:10">
      <c r="A44" s="255" t="str">
        <f>'트래블마트 통합'!I$2</f>
        <v>2026년 7월</v>
      </c>
      <c r="B44" s="256" t="str">
        <f>'트래블마트 통합'!$A13</f>
        <v>홍콩</v>
      </c>
      <c r="C44" s="256" t="str">
        <f>'트래블마트 통합'!$B13</f>
        <v>홍콩</v>
      </c>
      <c r="D44" s="257" t="str">
        <f>IFERROR(LEFT('트래블마트 통합'!I13,FIND(CHAR(10),'트래블마트 통합'!I13)-1),'트래블마트 통합'!I13)</f>
        <v>2차 세일즈 콜</v>
      </c>
      <c r="E44" s="256" t="str">
        <f>IF(ISNUMBER(SEARCH("★★★",'트래블마트 통합'!I13)),"★★★",IF(ISNUMBER(SEARCH("★★",'트래블마트 통합'!I13)),"★★",IF(ISNUMBER(SEARCH("★",'트래블마트 통합'!I13)),"★","-")))</f>
        <v>-</v>
      </c>
      <c r="F44" s="258" t="b">
        <v>1</v>
      </c>
      <c r="G44" s="258" t="b">
        <v>1</v>
      </c>
      <c r="H44" s="256" t="str">
        <f t="shared" si="1"/>
        <v>완료</v>
      </c>
      <c r="I44" s="257" t="str">
        <f>'트래블마트 통합'!I13</f>
        <v>2차 세일즈 콜
심천+대만+홍콩</v>
      </c>
      <c r="J44" s="259"/>
    </row>
    <row r="45" spans="1:10">
      <c r="A45" s="255" t="str">
        <f>'트래블마트 통합'!I$2</f>
        <v>2026년 7월</v>
      </c>
      <c r="B45" s="256" t="str">
        <f>'트래블마트 통합'!$A14</f>
        <v>필리핀</v>
      </c>
      <c r="C45" s="256" t="str">
        <f>'트래블마트 통합'!$B14</f>
        <v>세부, 마닐라</v>
      </c>
      <c r="D45" s="257" t="str">
        <f>IFERROR(LEFT('트래블마트 통합'!I14,FIND(CHAR(10),'트래블마트 통합'!I14)-1),'트래블마트 통합'!I14)</f>
        <v>Travel Madness Expo 2026</v>
      </c>
      <c r="E45" s="256" t="str">
        <f>IF(ISNUMBER(SEARCH("★★★",'트래블마트 통합'!I14)),"★★★",IF(ISNUMBER(SEARCH("★★",'트래블마트 통합'!I14)),"★★",IF(ISNUMBER(SEARCH("★",'트래블마트 통합'!I14)),"★","-")))</f>
        <v>-</v>
      </c>
      <c r="F45" s="258" t="b">
        <v>1</v>
      </c>
      <c r="G45" s="258" t="b">
        <v>1</v>
      </c>
      <c r="H45" s="256" t="str">
        <f t="shared" si="1"/>
        <v>완료</v>
      </c>
      <c r="I45" s="257" t="str">
        <f>'트래블마트 통합'!I14</f>
        <v>Travel Madness Expo 2026
July 10 to 12, 2026</v>
      </c>
      <c r="J45" s="259"/>
    </row>
    <row r="46" spans="1:10">
      <c r="A46" s="255" t="str">
        <f>'트래블마트 통합'!J$2</f>
        <v>2026년 8월</v>
      </c>
      <c r="B46" s="256" t="str">
        <f>'트래블마트 통합'!$A10</f>
        <v>한국</v>
      </c>
      <c r="C46" s="256" t="str">
        <f>'트래블마트 통합'!$B10</f>
        <v>서울</v>
      </c>
      <c r="D46" s="257" t="str">
        <f>IFERROR(LEFT('트래블마트 통합'!J10,FIND(CHAR(10),'트래블마트 통합'!J10)-1),'트래블마트 통합'!J10)</f>
        <v>한국 세일즈콜</v>
      </c>
      <c r="E46" s="256" t="str">
        <f>IF(ISNUMBER(SEARCH("★★★",'트래블마트 통합'!J10)),"★★★",IF(ISNUMBER(SEARCH("★★",'트래블마트 통합'!J10)),"★★",IF(ISNUMBER(SEARCH("★",'트래블마트 통합'!J10)),"★","-")))</f>
        <v>-</v>
      </c>
      <c r="F46" s="258" t="b">
        <v>1</v>
      </c>
      <c r="G46" s="258" t="b">
        <v>1</v>
      </c>
      <c r="H46" s="256" t="str">
        <f t="shared" si="1"/>
        <v>완료</v>
      </c>
      <c r="I46" s="257" t="str">
        <f>'트래블마트 통합'!J10</f>
        <v>한국 세일즈콜
8월3~7일</v>
      </c>
      <c r="J46" s="259"/>
    </row>
    <row r="47" spans="1:10">
      <c r="A47" s="255" t="str">
        <f>'트래블마트 통합'!J$2</f>
        <v>2026년 8월</v>
      </c>
      <c r="B47" s="256" t="str">
        <f>'트래블마트 통합'!$A17</f>
        <v>말레이시아</v>
      </c>
      <c r="C47" s="256" t="str">
        <f>'트래블마트 통합'!$B17</f>
        <v>쿠알라룸프르, 쿠칭</v>
      </c>
      <c r="D47" s="257" t="str">
        <f>IFERROR(LEFT('트래블마트 통합'!J17,FIND(CHAR(10),'트래블마트 통합'!J17)-1),'트래블마트 통합'!J17)</f>
        <v>8/18–8/20 – PATA Travel Mart</v>
      </c>
      <c r="E47" s="256" t="str">
        <f>IF(ISNUMBER(SEARCH("★★★",'트래블마트 통합'!J17)),"★★★",IF(ISNUMBER(SEARCH("★★",'트래블마트 통합'!J17)),"★★",IF(ISNUMBER(SEARCH("★",'트래블마트 통합'!J17)),"★","-")))</f>
        <v>★★</v>
      </c>
      <c r="F47" s="258" t="b">
        <v>0</v>
      </c>
      <c r="G47" s="258" t="b">
        <v>0</v>
      </c>
      <c r="H47" s="256" t="str">
        <f t="shared" si="1"/>
        <v>미정</v>
      </c>
      <c r="I47" s="257" t="str">
        <f>'트래블마트 통합'!J17</f>
        <v>8/18–8/20 – PATA Travel Mart
[★★ 중간] 아시아·태평양 대표 B2B</v>
      </c>
      <c r="J47" s="259"/>
    </row>
    <row r="48" spans="1:10" ht="16.5">
      <c r="A48" s="255" t="str">
        <f>'트래블마트 통합'!J$2</f>
        <v>2026년 8월</v>
      </c>
      <c r="B48" s="256" t="str">
        <f>'트래블마트 통합'!$A18</f>
        <v>싱가포르</v>
      </c>
      <c r="C48" s="256" t="s">
        <v>128</v>
      </c>
      <c r="D48" s="257" t="str">
        <f>IFERROR(LEFT('트래블마트 통합'!J18,FIND(CHAR(10),'트래블마트 통합'!J18)-1),'트래블마트 통합'!J18)</f>
        <v>NATAS (2026년 8월 21~23일)</v>
      </c>
      <c r="E48" s="256" t="str">
        <f>IF(ISNUMBER(SEARCH("★★★",'트래블마트 통합'!J18)),"★★★",IF(ISNUMBER(SEARCH("★★",'트래블마트 통합'!J18)),"★★",IF(ISNUMBER(SEARCH("★",'트래블마트 통합'!J18)),"★","-")))</f>
        <v>-</v>
      </c>
      <c r="F48" s="258" t="b">
        <v>1</v>
      </c>
      <c r="G48" s="258" t="b">
        <v>0</v>
      </c>
      <c r="H48" s="256" t="str">
        <f>IF(AND(F48,G48),"완료",IF(G48,"진행 완료",IF(F48,"참가 예정","미정")))</f>
        <v>참가 예정</v>
      </c>
      <c r="I48" s="257" t="str">
        <f>'트래블마트 통합'!J18</f>
        <v>NATAS (2026년 8월 21~23일)</v>
      </c>
      <c r="J48" s="259"/>
    </row>
    <row r="49" spans="1:10">
      <c r="A49" s="255" t="str">
        <f>'트래블마트 통합'!K$2</f>
        <v>2026년 9월</v>
      </c>
      <c r="B49" s="256" t="str">
        <f>'트래블마트 통합'!$A9</f>
        <v>중국</v>
      </c>
      <c r="C49" s="256" t="str">
        <f>'트래블마트 통합'!$B9</f>
        <v>광동,화동,화북,내륙</v>
      </c>
      <c r="D49" s="257" t="str">
        <f>IFERROR(LEFT('트래블마트 통합'!K9,FIND(CHAR(10),'트래블마트 통합'!K9)-1),'트래블마트 통합'!K9)</f>
        <v>2차 광저우, 심천</v>
      </c>
      <c r="E49" s="256" t="str">
        <f>IF(ISNUMBER(SEARCH("★★★",'트래블마트 통합'!K9)),"★★★",IF(ISNUMBER(SEARCH("★★",'트래블마트 통합'!K9)),"★★",IF(ISNUMBER(SEARCH("★",'트래블마트 통합'!K9)),"★","-")))</f>
        <v>-</v>
      </c>
      <c r="F49" s="258" t="b">
        <v>0</v>
      </c>
      <c r="G49" s="258" t="b">
        <v>0</v>
      </c>
      <c r="H49" s="256" t="str">
        <f t="shared" si="1"/>
        <v>미정</v>
      </c>
      <c r="I49" s="257" t="str">
        <f>'트래블마트 통합'!K9</f>
        <v>2차 광저우, 심천</v>
      </c>
      <c r="J49" s="259"/>
    </row>
    <row r="50" spans="1:10">
      <c r="A50" s="255" t="str">
        <f>'트래블마트 통합'!K$2</f>
        <v>2026년 9월</v>
      </c>
      <c r="B50" s="256" t="str">
        <f>'트래블마트 통합'!$A11</f>
        <v>일본</v>
      </c>
      <c r="C50" s="256" t="str">
        <f>'트래블마트 통합'!$B11</f>
        <v>(순환개최)</v>
      </c>
      <c r="D50" s="257" t="str">
        <f>IFERROR(LEFT('트래블마트 통합'!K11,FIND(CHAR(10),'트래블마트 통합'!K11)-1),'트래블마트 통합'!K11)</f>
        <v>9/24–9/27 – Tourism EXPO Japan (TEJ)</v>
      </c>
      <c r="E50" s="256" t="str">
        <f>IF(ISNUMBER(SEARCH("★★★",'트래블마트 통합'!K11)),"★★★",IF(ISNUMBER(SEARCH("★★",'트래블마트 통합'!K11)),"★★",IF(ISNUMBER(SEARCH("★",'트래블마트 통합'!K11)),"★","-")))</f>
        <v>★★</v>
      </c>
      <c r="F50" s="258" t="b">
        <v>0</v>
      </c>
      <c r="G50" s="258" t="b">
        <v>0</v>
      </c>
      <c r="H50" s="256" t="str">
        <f t="shared" si="1"/>
        <v>미정</v>
      </c>
      <c r="I50" s="257" t="str">
        <f>'트래블마트 통합'!K11</f>
        <v>9/24–9/27 – Tourism EXPO Japan (TEJ)
[★★ 중간] 일본 최대 종합 트래블쇼</v>
      </c>
      <c r="J50" s="259"/>
    </row>
    <row r="51" spans="1:10">
      <c r="A51" s="255" t="str">
        <f>'트래블마트 통합'!K$2</f>
        <v>2026년 9월</v>
      </c>
      <c r="B51" s="256" t="str">
        <f>'트래블마트 통합'!$A13</f>
        <v>홍콩</v>
      </c>
      <c r="C51" s="256" t="str">
        <f>'트래블마트 통합'!$B13</f>
        <v>홍콩</v>
      </c>
      <c r="D51" s="257" t="str">
        <f>IFERROR(LEFT('트래블마트 통합'!K13,FIND(CHAR(10),'트래블마트 통합'!K13)-1),'트래블마트 통합'!K13)</f>
        <v>2차 세일즈 콜</v>
      </c>
      <c r="E51" s="256" t="str">
        <f>IF(ISNUMBER(SEARCH("★★★",'트래블마트 통합'!K13)),"★★★",IF(ISNUMBER(SEARCH("★★",'트래블마트 통합'!K13)),"★★",IF(ISNUMBER(SEARCH("★",'트래블마트 통합'!K13)),"★","-")))</f>
        <v>-</v>
      </c>
      <c r="F51" s="258" t="b">
        <v>0</v>
      </c>
      <c r="G51" s="258" t="b">
        <v>0</v>
      </c>
      <c r="H51" s="256" t="str">
        <f t="shared" si="1"/>
        <v>미정</v>
      </c>
      <c r="I51" s="257" t="str">
        <f>'트래블마트 통합'!K13</f>
        <v>2차 세일즈 콜
대만+홍콩</v>
      </c>
      <c r="J51" s="259"/>
    </row>
    <row r="52" spans="1:10">
      <c r="A52" s="255" t="str">
        <f>'트래블마트 통합'!K$2</f>
        <v>2026년 9월</v>
      </c>
      <c r="B52" s="256" t="str">
        <f>'트래블마트 통합'!$A17</f>
        <v>말레이시아</v>
      </c>
      <c r="C52" s="256" t="str">
        <f>'트래블마트 통합'!$B17</f>
        <v>쿠알라룸프르, 쿠칭</v>
      </c>
      <c r="D52" s="257" t="str">
        <f>IFERROR(LEFT('트래블마트 통합'!K17,FIND(CHAR(10),'트래블마트 통합'!K17)-1),'트래블마트 통합'!K17)</f>
        <v>MATTA Fair</v>
      </c>
      <c r="E52" s="256" t="str">
        <f>IF(ISNUMBER(SEARCH("★★★",'트래블마트 통합'!K17)),"★★★",IF(ISNUMBER(SEARCH("★★",'트래블마트 통합'!K17)),"★★",IF(ISNUMBER(SEARCH("★",'트래블마트 통합'!K17)),"★","-")))</f>
        <v>★</v>
      </c>
      <c r="F52" s="258" t="b">
        <v>0</v>
      </c>
      <c r="G52" s="258" t="b">
        <v>0</v>
      </c>
      <c r="H52" s="256" t="str">
        <f t="shared" si="1"/>
        <v>미정</v>
      </c>
      <c r="I52" s="257" t="str">
        <f>'트래블마트 통합'!K17</f>
        <v>MATTA Fair
[★ 선택] 말레이시아 최대 B2C</v>
      </c>
      <c r="J52" s="259"/>
    </row>
    <row r="53" spans="1:10">
      <c r="A53" s="255" t="str">
        <f>'트래블마트 통합'!K$2</f>
        <v>2026년 9월</v>
      </c>
      <c r="B53" s="256" t="str">
        <f>'트래블마트 통합'!$A20</f>
        <v>인도</v>
      </c>
      <c r="C53" s="256" t="str">
        <f>'트래블마트 통합'!$B20</f>
        <v>뭄바이
뉴델리</v>
      </c>
      <c r="D53" s="257" t="str">
        <f>IFERROR(LEFT('트래블마트 통합'!K20,FIND(CHAR(10),'트래블마트 통합'!K20)-1),'트래블마트 통합'!K20)</f>
        <v>9/2–9/4 – ITB India</v>
      </c>
      <c r="E53" s="256" t="str">
        <f>IF(ISNUMBER(SEARCH("★★★",'트래블마트 통합'!K20)),"★★★",IF(ISNUMBER(SEARCH("★★",'트래블마트 통합'!K20)),"★★",IF(ISNUMBER(SEARCH("★",'트래블마트 통합'!K20)),"★","-")))</f>
        <v>★★★</v>
      </c>
      <c r="F53" s="258" t="b">
        <v>1</v>
      </c>
      <c r="G53" s="258" t="b">
        <v>1</v>
      </c>
      <c r="H53" s="256" t="str">
        <f t="shared" si="1"/>
        <v>완료</v>
      </c>
      <c r="I53" s="257" t="str">
        <f>'트래블마트 통합'!K20</f>
        <v>9/2–9/4 – ITB India
[★★★ 최우선] 인도 outbound 핵심</v>
      </c>
      <c r="J53" s="259"/>
    </row>
    <row r="54" spans="1:10">
      <c r="A54" s="255" t="str">
        <f>'트래블마트 통합'!K$2</f>
        <v>2026년 9월</v>
      </c>
      <c r="B54" s="256" t="str">
        <f>'트래블마트 통합'!$A21</f>
        <v>러시아</v>
      </c>
      <c r="C54" s="256" t="str">
        <f>'트래블마트 통합'!$B21</f>
        <v>모스크바</v>
      </c>
      <c r="D54" s="257" t="str">
        <f>IFERROR(LEFT('트래블마트 통합'!K21,FIND(CHAR(10),'트래블마트 통합'!K21)-1),'트래블마트 통합'!K21)</f>
        <v>OTDYKH Leisure Travel Market 2026</v>
      </c>
      <c r="E54" s="256" t="str">
        <f>IF(ISNUMBER(SEARCH("★★★",'트래블마트 통합'!K21)),"★★★",IF(ISNUMBER(SEARCH("★★",'트래블마트 통합'!K21)),"★★",IF(ISNUMBER(SEARCH("★",'트래블마트 통합'!K21)),"★","-")))</f>
        <v>★</v>
      </c>
      <c r="F54" s="258" t="b">
        <v>0</v>
      </c>
      <c r="G54" s="258" t="b">
        <v>0</v>
      </c>
      <c r="H54" s="256" t="str">
        <f t="shared" si="1"/>
        <v>미정</v>
      </c>
      <c r="I54" s="257" t="str">
        <f>'트래블마트 통합'!K21</f>
        <v>OTDYKH Leisure Travel Market 2026
2026년 9월 10일 ~ 9월 12일
[★ 선택] 러시아 인바운드·아웃바운드 모두 강함</v>
      </c>
      <c r="J54" s="259"/>
    </row>
    <row r="55" spans="1:10">
      <c r="A55" s="255" t="str">
        <f>'트래블마트 통합'!L$2</f>
        <v>2026년 10월</v>
      </c>
      <c r="B55" s="256" t="str">
        <f>'트래블마트 통합'!$A9</f>
        <v>중국</v>
      </c>
      <c r="C55" s="256" t="str">
        <f>'트래블마트 통합'!$B9</f>
        <v>광동,화동,화북,내륙</v>
      </c>
      <c r="D55" s="257" t="str">
        <f>IFERROR(LEFT('트래블마트 통합'!L9,FIND(CHAR(10),'트래블마트 통합'!L9)-1),'트래블마트 통합'!L9)</f>
        <v>1차 세일즈 콜</v>
      </c>
      <c r="E55" s="256" t="str">
        <f>IF(ISNUMBER(SEARCH("★★★",'트래블마트 통합'!L9)),"★★★",IF(ISNUMBER(SEARCH("★★",'트래블마트 통합'!L9)),"★★",IF(ISNUMBER(SEARCH("★",'트래블마트 통합'!L9)),"★","-")))</f>
        <v>-</v>
      </c>
      <c r="F55" s="258" t="b">
        <v>0</v>
      </c>
      <c r="G55" s="258" t="b">
        <v>0</v>
      </c>
      <c r="H55" s="256" t="str">
        <f t="shared" si="1"/>
        <v>미정</v>
      </c>
      <c r="I55" s="257" t="str">
        <f>'트래블마트 통합'!L9</f>
        <v>1차 세일즈 콜
청두, 시안, 무한
CITIE Tourism Expo 2026 Guangzhou China (September 11-13)
2026 CHINA OUTBOUND &amp; INBOUND TRAVEL MARKET 10/14–16 (베이징)</v>
      </c>
      <c r="J55" s="259"/>
    </row>
    <row r="56" spans="1:10">
      <c r="A56" s="255" t="str">
        <f>'트래블마트 통합'!L$2</f>
        <v>2026년 10월</v>
      </c>
      <c r="B56" s="256" t="str">
        <f>'트래블마트 통합'!$A15</f>
        <v>베트남</v>
      </c>
      <c r="C56" s="256" t="str">
        <f>'트래블마트 통합'!$B15</f>
        <v>호치민
하노이</v>
      </c>
      <c r="D56" s="257" t="str">
        <f>IFERROR(LEFT('트래블마트 통합'!L15,FIND(CHAR(10),'트래블마트 통합'!L15)-1),'트래블마트 통합'!L15)</f>
        <v>ITE HCMC</v>
      </c>
      <c r="E56" s="256" t="str">
        <f>IF(ISNUMBER(SEARCH("★★★",'트래블마트 통합'!L15)),"★★★",IF(ISNUMBER(SEARCH("★★",'트래블마트 통합'!L15)),"★★",IF(ISNUMBER(SEARCH("★",'트래블마트 통합'!L15)),"★","-")))</f>
        <v>★★</v>
      </c>
      <c r="F56" s="258" t="b">
        <v>1</v>
      </c>
      <c r="G56" s="258" t="b">
        <v>0</v>
      </c>
      <c r="H56" s="256" t="str">
        <f t="shared" si="1"/>
        <v>참가 예정</v>
      </c>
      <c r="I56" s="257" t="str">
        <f>'트래블마트 통합'!L15</f>
        <v>ITE HCMC
16~18 Oct
[★★ 중간] 메콩 최대 B2B+B2C (Calendar 기준 9/3–9/5)</v>
      </c>
      <c r="J56" s="259"/>
    </row>
    <row r="57" spans="1:10">
      <c r="A57" s="379" t="str">
        <f>'트래블마트 통합'!L$2</f>
        <v>2026년 10월</v>
      </c>
      <c r="B57" s="380" t="str">
        <f>'트래블마트 통합'!$A16</f>
        <v>태국</v>
      </c>
      <c r="C57" s="380" t="str">
        <f>'트래블마트 통합'!$B16</f>
        <v>방콕</v>
      </c>
      <c r="D57" s="381" t="str">
        <f>IFERROR(LEFT('트래블마트 통합'!L16,FIND(CHAR(10),'트래블마트 통합'!L16)-1),'트래블마트 통합'!L16)</f>
        <v>Visit Japan FIT Fair #17</v>
      </c>
      <c r="E57" s="256" t="str">
        <f>IF(ISNUMBER(SEARCH("★★★",'트래블마트 통합'!L17)),"★★★",IF(ISNUMBER(SEARCH("★★",'트래블마트 통합'!L17)),"★★",IF(ISNUMBER(SEARCH("★",'트래블마트 통합'!L17)),"★","-")))</f>
        <v>-</v>
      </c>
      <c r="F57" s="258" t="b">
        <v>1</v>
      </c>
      <c r="G57" s="258" t="b">
        <v>0</v>
      </c>
      <c r="H57" s="256" t="str">
        <f t="shared" si="1"/>
        <v>참가 예정</v>
      </c>
      <c r="I57" s="257" t="str">
        <f>'트래블마트 통합'!L16</f>
        <v>Visit Japan FIT Fair #17
올해 10월16~18일 개최</v>
      </c>
      <c r="J57" s="259"/>
    </row>
    <row r="58" spans="1:10">
      <c r="A58" s="255" t="str">
        <f>'트래블마트 통합'!L$2</f>
        <v>2026년 10월</v>
      </c>
      <c r="B58" s="256" t="str">
        <f>'트래블마트 통합'!$A18</f>
        <v>싱가포르</v>
      </c>
      <c r="C58" s="256" t="str">
        <f>'트래블마트 통합'!$B18</f>
        <v>마리나베이</v>
      </c>
      <c r="D58" s="257" t="str">
        <f>IFERROR(LEFT('트래블마트 통합'!L18,FIND(CHAR(10),'트래블마트 통합'!L18)-1),'트래블마트 통합'!L18)</f>
        <v>10/21–10/23 – ITB Asia</v>
      </c>
      <c r="E58" s="256" t="str">
        <f>IF(ISNUMBER(SEARCH("★★★",'트래블마트 통합'!L18)),"★★★",IF(ISNUMBER(SEARCH("★★",'트래블마트 통합'!L18)),"★★",IF(ISNUMBER(SEARCH("★",'트래블마트 통합'!L18)),"★","-")))</f>
        <v>★★★</v>
      </c>
      <c r="F58" s="258" t="b">
        <v>1</v>
      </c>
      <c r="G58" s="258" t="b">
        <v>0</v>
      </c>
      <c r="H58" s="256" t="str">
        <f t="shared" si="1"/>
        <v>참가 예정</v>
      </c>
      <c r="I58" s="257" t="str">
        <f>'트래블마트 통합'!L18</f>
        <v>10/21–10/23 – ITB Asia
[★★★ 최우선] 아시아 No.1 B2B 허브</v>
      </c>
      <c r="J58" s="259"/>
    </row>
    <row r="59" spans="1:10">
      <c r="A59" s="255" t="str">
        <f>'트래블마트 통합'!L$2</f>
        <v>2026년 10월</v>
      </c>
      <c r="B59" s="256" t="str">
        <f>'트래블마트 통합'!$A20</f>
        <v>인도</v>
      </c>
      <c r="C59" s="256" t="str">
        <f>'트래블마트 통합'!$B20</f>
        <v>뭄바이
뉴델리</v>
      </c>
      <c r="D59" s="257" t="str">
        <f>IFERROR(LEFT('트래블마트 통합'!L20,FIND(CHAR(10),'트래블마트 통합'!L20)-1),'트래블마트 통합'!L20)</f>
        <v>South Asia Travel &amp; Tourism Exchange</v>
      </c>
      <c r="E59" s="256" t="str">
        <f>IF(ISNUMBER(SEARCH("★★★",'트래블마트 통합'!L20)),"★★★",IF(ISNUMBER(SEARCH("★★",'트래블마트 통합'!L20)),"★★",IF(ISNUMBER(SEARCH("★",'트래블마트 통합'!L20)),"★","-")))</f>
        <v>-</v>
      </c>
      <c r="F59" s="258" t="b">
        <v>0</v>
      </c>
      <c r="G59" s="258" t="b">
        <v>0</v>
      </c>
      <c r="H59" s="256" t="str">
        <f t="shared" si="1"/>
        <v>미정</v>
      </c>
      <c r="I59" s="257" t="str">
        <f>'트래블마트 통합'!L20</f>
        <v>South Asia Travel &amp; Tourism Exchange</v>
      </c>
      <c r="J59" s="259"/>
    </row>
    <row r="60" spans="1:10">
      <c r="A60" s="255" t="str">
        <f>'트래블마트 통합'!L$2</f>
        <v>2026년 10월</v>
      </c>
      <c r="B60" s="256" t="str">
        <f>'트래블마트 통합'!$A25</f>
        <v>호주</v>
      </c>
      <c r="C60" s="256" t="str">
        <f>'트래블마트 통합'!$B25</f>
        <v>시드니, 애들레이드</v>
      </c>
      <c r="D60" s="257" t="str">
        <f>IFERROR(LEFT('트래블마트 통합'!L25,FIND(CHAR(10),'트래블마트 통합'!L25)-1),'트래블마트 통합'!L25)</f>
        <v>Luxperience</v>
      </c>
      <c r="E60" s="256" t="str">
        <f>IF(ISNUMBER(SEARCH("★★★",'트래블마트 통합'!L25)),"★★★",IF(ISNUMBER(SEARCH("★★",'트래블마트 통합'!L25)),"★★",IF(ISNUMBER(SEARCH("★",'트래블마트 통합'!L25)),"★","-")))</f>
        <v>-</v>
      </c>
      <c r="F60" s="258" t="b">
        <v>0</v>
      </c>
      <c r="G60" s="258" t="b">
        <v>0</v>
      </c>
      <c r="H60" s="256" t="str">
        <f t="shared" si="1"/>
        <v>미정</v>
      </c>
      <c r="I60" s="257" t="str">
        <f>'트래블마트 통합'!L25</f>
        <v>Luxperience</v>
      </c>
      <c r="J60" s="259"/>
    </row>
    <row r="61" spans="1:10">
      <c r="A61" s="255" t="str">
        <f>'트래블마트 통합'!L$2</f>
        <v>2026년 10월</v>
      </c>
      <c r="B61" s="256" t="str">
        <f>'트래블마트 통합'!$A28</f>
        <v>미국</v>
      </c>
      <c r="C61" s="256" t="str">
        <f>'트래블마트 통합'!$B28</f>
        <v>플로리다주
뉴욕</v>
      </c>
      <c r="D61" s="257" t="str">
        <f>IFERROR(LEFT('트래블마트 통합'!L28,FIND(CHAR(10),'트래블마트 통합'!L28)-1),'트래블마트 통합'!L28)</f>
        <v>Business Travel Show America 2026</v>
      </c>
      <c r="E61" s="256" t="str">
        <f>IF(ISNUMBER(SEARCH("★★★",'트래블마트 통합'!L28)),"★★★",IF(ISNUMBER(SEARCH("★★",'트래블마트 통합'!L28)),"★★",IF(ISNUMBER(SEARCH("★",'트래블마트 통합'!L28)),"★","-")))</f>
        <v>★</v>
      </c>
      <c r="F61" s="258" t="b">
        <v>0</v>
      </c>
      <c r="G61" s="258" t="b">
        <v>0</v>
      </c>
      <c r="H61" s="256" t="str">
        <f t="shared" si="1"/>
        <v>미정</v>
      </c>
      <c r="I61" s="257" t="str">
        <f>'트래블마트 통합'!L28</f>
        <v>Business Travel Show America 2026
2026년 10월 14-15일
[★ 선택] 북미 코퍼레이트 트래블 대표 행사</v>
      </c>
      <c r="J61" s="259"/>
    </row>
    <row r="62" spans="1:10">
      <c r="A62" s="255" t="str">
        <f>'트래블마트 통합'!M$2</f>
        <v>2026년 11월</v>
      </c>
      <c r="B62" s="256" t="str">
        <f>'트래블마트 통합'!$A9</f>
        <v>중국</v>
      </c>
      <c r="C62" s="256" t="str">
        <f>'트래블마트 통합'!$B9</f>
        <v>광동,화동,화북,내륙</v>
      </c>
      <c r="D62" s="257" t="str">
        <f>IFERROR(LEFT('트래블마트 통합'!M9,FIND(CHAR(10),'트래블마트 통합'!M9)-1),'트래블마트 통합'!M9)</f>
        <v>2차 베이징</v>
      </c>
      <c r="E62" s="256" t="str">
        <f>IF(ISNUMBER(SEARCH("★★★",'트래블마트 통합'!M9)),"★★★",IF(ISNUMBER(SEARCH("★★",'트래블마트 통합'!M9)),"★★",IF(ISNUMBER(SEARCH("★",'트래블마트 통합'!M9)),"★","-")))</f>
        <v>-</v>
      </c>
      <c r="F62" s="258" t="b">
        <v>0</v>
      </c>
      <c r="G62" s="258" t="b">
        <v>0</v>
      </c>
      <c r="H62" s="256" t="str">
        <f t="shared" si="1"/>
        <v>미정</v>
      </c>
      <c r="I62" s="257" t="str">
        <f>'트래블마트 통합'!M9</f>
        <v>2차 베이징
국경절 1~7일
 COITM from 14-16 October in Beijing</v>
      </c>
      <c r="J62" s="259"/>
    </row>
    <row r="63" spans="1:10">
      <c r="A63" s="255" t="str">
        <f>'트래블마트 통합'!M$2</f>
        <v>2026년 11월</v>
      </c>
      <c r="B63" s="256" t="str">
        <f>'트래블마트 통합'!$A10</f>
        <v>한국</v>
      </c>
      <c r="C63" s="256" t="str">
        <f>'트래블마트 통합'!$B10</f>
        <v>서울</v>
      </c>
      <c r="D63" s="257" t="str">
        <f>IFERROR(LEFT('트래블마트 통합'!M10,FIND(CHAR(10),'트래블마트 통합'!M10)-1),'트래블마트 통합'!M10)</f>
        <v>Travel Show</v>
      </c>
      <c r="E63" s="256" t="str">
        <f>IF(ISNUMBER(SEARCH("★★★",'트래블마트 통합'!M10)),"★★★",IF(ISNUMBER(SEARCH("★★",'트래블마트 통합'!M10)),"★★",IF(ISNUMBER(SEARCH("★",'트래블마트 통합'!M10)),"★","-")))</f>
        <v>★</v>
      </c>
      <c r="F63" s="258" t="b">
        <v>1</v>
      </c>
      <c r="G63" s="258" t="b">
        <v>0</v>
      </c>
      <c r="H63" s="256" t="str">
        <f t="shared" si="1"/>
        <v>참가 예정</v>
      </c>
      <c r="I63" s="257" t="str">
        <f>'트래블마트 통합'!M10</f>
        <v>Travel Show
11월 12~15일
Korea MICE Expo (KME) 11/18–11/20
[★ 선택] 한국 MICE 대표 행사</v>
      </c>
      <c r="J63" s="259"/>
    </row>
    <row r="64" spans="1:10">
      <c r="A64" s="255" t="str">
        <f>'트래블마트 통합'!M$2</f>
        <v>2026년 11월</v>
      </c>
      <c r="B64" s="256" t="str">
        <f>'트래블마트 통합'!$A12</f>
        <v>대만</v>
      </c>
      <c r="C64" s="256" t="str">
        <f>'트래블마트 통합'!$B12</f>
        <v>타이베이</v>
      </c>
      <c r="D64" s="257" t="str">
        <f>IFERROR(LEFT('트래블마트 통합'!M12,FIND(CHAR(10),'트래블마트 통합'!M12)-1),'트래블마트 통합'!M12)</f>
        <v>ITF Taiwan International Travel Fair (ITF) 11월 6일 (금) ~ 11월 9일(월)</v>
      </c>
      <c r="E64" s="256" t="str">
        <f>IF(ISNUMBER(SEARCH("★★★",'트래블마트 통합'!M12)),"★★★",IF(ISNUMBER(SEARCH("★★",'트래블마트 통합'!M12)),"★★",IF(ISNUMBER(SEARCH("★",'트래블마트 통합'!M12)),"★","-")))</f>
        <v>-</v>
      </c>
      <c r="F64" s="258" t="b">
        <v>0</v>
      </c>
      <c r="G64" s="258" t="b">
        <v>0</v>
      </c>
      <c r="H64" s="256" t="str">
        <f t="shared" si="1"/>
        <v>미정</v>
      </c>
      <c r="I64" s="257" t="str">
        <f>'트래블마트 통합'!M12</f>
        <v>ITF Taiwan International Travel Fair (ITF) 11월 6일 (금) ~ 11월 9일(월)</v>
      </c>
      <c r="J64" s="259"/>
    </row>
    <row r="65" spans="1:10">
      <c r="A65" s="255" t="str">
        <f>'트래블마트 통합'!M$2</f>
        <v>2026년 11월</v>
      </c>
      <c r="B65" s="256" t="str">
        <f>'트래블마트 통합'!$A26</f>
        <v>영국</v>
      </c>
      <c r="C65" s="256" t="str">
        <f>'트래블마트 통합'!$B26</f>
        <v>런던</v>
      </c>
      <c r="D65" s="257" t="str">
        <f>IFERROR(LEFT('트래블마트 통합'!M26,FIND(CHAR(10),'트래블마트 통합'!M26)-1),'트래블마트 통합'!M26)</f>
        <v>WTM London 2026</v>
      </c>
      <c r="E65" s="256" t="str">
        <f>IF(ISNUMBER(SEARCH("★★★",'트래블마트 통합'!M26)),"★★★",IF(ISNUMBER(SEARCH("★★",'트래블마트 통합'!M26)),"★★",IF(ISNUMBER(SEARCH("★",'트래블마트 통합'!M26)),"★","-")))</f>
        <v>★★★</v>
      </c>
      <c r="F65" s="258" t="b">
        <v>0</v>
      </c>
      <c r="G65" s="258" t="b">
        <v>0</v>
      </c>
      <c r="H65" s="256" t="str">
        <f t="shared" si="1"/>
        <v>미정</v>
      </c>
      <c r="I65" s="257" t="str">
        <f>'트래블마트 통합'!M26</f>
        <v>WTM London 2026
2026.11.04 – 11.06
[★★★ 최우선] 글로벌 레저, 기술, 지속가능성</v>
      </c>
      <c r="J65" s="259"/>
    </row>
    <row r="66" spans="1:10">
      <c r="A66" s="255" t="str">
        <f>'트래블마트 통합'!M$2</f>
        <v>2026년 11월</v>
      </c>
      <c r="B66" s="256" t="str">
        <f>'트래블마트 통합'!$A29</f>
        <v>멕시코</v>
      </c>
      <c r="C66" s="256" t="str">
        <f>'트래블마트 통합'!$B29</f>
        <v>과달라하라</v>
      </c>
      <c r="D66" s="257" t="str">
        <f>IFERROR(LEFT('트래블마트 통합'!M29,FIND(CHAR(10),'트래블마트 통합'!M29)-1),'트래블마트 통합'!M29)</f>
        <v>ITB Americas 2026</v>
      </c>
      <c r="E66" s="256" t="str">
        <f>IF(ISNUMBER(SEARCH("★★★",'트래블마트 통합'!M29)),"★★★",IF(ISNUMBER(SEARCH("★★",'트래블마트 통합'!M29)),"★★",IF(ISNUMBER(SEARCH("★",'트래블마트 통합'!M29)),"★","-")))</f>
        <v>★</v>
      </c>
      <c r="F66" s="258" t="b">
        <v>0</v>
      </c>
      <c r="G66" s="258" t="b">
        <v>0</v>
      </c>
      <c r="H66" s="256" t="str">
        <f t="shared" si="1"/>
        <v>미정</v>
      </c>
      <c r="I66" s="257" t="str">
        <f>'트래블마트 통합'!M29</f>
        <v>ITB Americas 2026
2026년 11월 10-12일
[★ 선택] 미주 전역 바이어 연결 허브</v>
      </c>
      <c r="J66" s="259"/>
    </row>
    <row r="67" spans="1:10">
      <c r="A67" s="255" t="str">
        <f>'트래블마트 통합'!N$2</f>
        <v>2026년 12월</v>
      </c>
      <c r="B67" s="256" t="str">
        <f>'트래블마트 통합'!$A9</f>
        <v>중국</v>
      </c>
      <c r="C67" s="256" t="str">
        <f>'트래블마트 통합'!$B9</f>
        <v>광동,화동,화북,내륙</v>
      </c>
      <c r="D67" s="257" t="str">
        <f>IFERROR(LEFT('트래블마트 통합'!N9,FIND(CHAR(10),'트래블마트 통합'!N9)-1),'트래블마트 통합'!N9)</f>
        <v>2차 상하이</v>
      </c>
      <c r="E67" s="256" t="str">
        <f>IF(ISNUMBER(SEARCH("★★★",'트래블마트 통합'!N9)),"★★★",IF(ISNUMBER(SEARCH("★★",'트래블마트 통합'!N9)),"★★",IF(ISNUMBER(SEARCH("★",'트래블마트 통합'!N9)),"★","-")))</f>
        <v>-</v>
      </c>
      <c r="F67" s="258" t="b">
        <v>0</v>
      </c>
      <c r="G67" s="258" t="b">
        <v>0</v>
      </c>
      <c r="H67" s="256" t="str">
        <f t="shared" si="1"/>
        <v>미정</v>
      </c>
      <c r="I67" s="257" t="str">
        <f>'트래블마트 통합'!N9</f>
        <v>2차 상하이</v>
      </c>
      <c r="J67" s="259"/>
    </row>
    <row r="68" spans="1:10" ht="16.5">
      <c r="A68" s="255" t="str">
        <f>'트래블마트 통합'!O$2</f>
        <v>2027년 1월</v>
      </c>
      <c r="B68" s="256" t="str">
        <f>'트래블마트 통합'!$A14</f>
        <v>필리핀</v>
      </c>
      <c r="C68" s="256" t="str">
        <f>'트래블마트 통합'!$B14</f>
        <v>세부, 마닐라</v>
      </c>
      <c r="D68" s="257" t="str">
        <f>IFERROR(LEFT('트래블마트 통합'!O14,FIND(CHAR(10),'트래블마트 통합'!O14)-1),'트래블마트 통합'!O14)</f>
        <v>ASEAN Tourism Forum + TRAVEX 2027</v>
      </c>
      <c r="E68" s="256" t="str">
        <f>IF(ISNUMBER(SEARCH("★★★",'트래블마트 통합'!O14)),"★★★",IF(ISNUMBER(SEARCH("★★",'트래블마트 통합'!O14)),"★★",IF(ISNUMBER(SEARCH("★",'트래블마트 통합'!O14)),"★","-")))</f>
        <v>★★</v>
      </c>
      <c r="F68" s="258" t="b">
        <v>0</v>
      </c>
      <c r="G68" s="258" t="b">
        <v>0</v>
      </c>
      <c r="H68" s="256" t="str">
        <f>IF(AND(F68,G68),"완료",IF(G68,"진행 완료",IF(F68,"참가 예정","미정")))</f>
        <v>미정</v>
      </c>
      <c r="I68" s="257" t="str">
        <f>'트래블마트 통합'!O14</f>
        <v>ASEAN Tourism Forum + TRAVEX 2027
1월 하순 (예상, 개최국 순회)
[★★ 중간] ASEAN 10개국 공식 B2B, 관광청 네트워킹</v>
      </c>
      <c r="J68" s="259"/>
    </row>
    <row r="69" spans="1:10" ht="16.5">
      <c r="A69" s="376" t="str">
        <f>'트래블마트 통합'!O$2</f>
        <v>2027년 1월</v>
      </c>
      <c r="B69" s="377" t="str">
        <f>'트래블마트 통합'!$A16</f>
        <v>태국</v>
      </c>
      <c r="C69" s="377" t="str">
        <f>'트래블마트 통합'!$B16</f>
        <v>방콕</v>
      </c>
      <c r="D69" s="378" t="str">
        <f>IFERROR(LEFT('트래블마트 통합'!O16,FIND(CHAR(10),'트래블마트 통합'!O16)-1),'트래블마트 통합'!O16)</f>
        <v>Thai International Travel Fair 2027</v>
      </c>
      <c r="E69" s="377" t="str">
        <f>IF(ISNUMBER(SEARCH("★★★",'트래블마트 통합'!O16)),"★★★",IF(ISNUMBER(SEARCH("★★",'트래블마트 통합'!O16)),"★★",IF(ISNUMBER(SEARCH("★",'트래블마트 통합'!O16)),"★","-")))</f>
        <v>★★★</v>
      </c>
      <c r="F69" s="258" t="b">
        <v>0</v>
      </c>
      <c r="G69" s="258" t="b">
        <v>0</v>
      </c>
      <c r="H69" s="256" t="str">
        <f>IF(AND(F69,G69),"완료",IF(G69,"진행 완료",IF(F69,"참가 예정","미정")))</f>
        <v>미정</v>
      </c>
      <c r="I69" s="257" t="str">
        <f>'트래블마트 통합'!O16</f>
        <v>Thai International Travel Fair 2027
1월 하순 (예상)
[★★★ 최우선] 태국 최대 B2B+B2C</v>
      </c>
      <c r="J69" s="259"/>
    </row>
    <row r="70" spans="1:10" ht="16.5">
      <c r="A70" s="255" t="str">
        <f>'트래블마트 통합'!O$2</f>
        <v>2027년 1월</v>
      </c>
      <c r="B70" s="256" t="str">
        <f>'트래블마트 통합'!$A27</f>
        <v>스페인</v>
      </c>
      <c r="C70" s="256" t="str">
        <f>'트래블마트 통합'!$B27</f>
        <v>마드리드</v>
      </c>
      <c r="D70" s="257" t="str">
        <f>IFERROR(LEFT('트래블마트 통합'!O27,FIND(CHAR(10),'트래블마트 통합'!O27)-1),'트래블마트 통합'!O27)</f>
        <v>FITUR Madrid 2027</v>
      </c>
      <c r="E70" s="256" t="str">
        <f>IF(ISNUMBER(SEARCH("★★★",'트래블마트 통합'!O27)),"★★★",IF(ISNUMBER(SEARCH("★★",'트래블마트 통합'!O27)),"★★",IF(ISNUMBER(SEARCH("★",'트래블마트 통합'!O27)),"★","-")))</f>
        <v>★★</v>
      </c>
      <c r="F70" s="258" t="b">
        <v>1</v>
      </c>
      <c r="G70" s="258" t="b">
        <v>0</v>
      </c>
      <c r="H70" s="256" t="str">
        <f>IF(AND(F70,G70),"완료",IF(G70,"진행 완료",IF(F70,"참가 예정","미정")))</f>
        <v>참가 예정</v>
      </c>
      <c r="I70" s="257" t="str">
        <f>'트래블마트 통합'!O27</f>
        <v>FITUR Madrid 2027
1월 하순 (예상, 통상 1/20~1/24)
[★★ 중간] 세계 3대 관광박람회, 유럽·라틴 핵심</v>
      </c>
      <c r="J70" s="259"/>
    </row>
    <row r="71" spans="1:10" ht="16.5">
      <c r="A71" s="255" t="str">
        <f>'트래블마트 통합'!O$2</f>
        <v>2027년 1월</v>
      </c>
      <c r="B71" s="256" t="str">
        <f>'트래블마트 통합'!$A28</f>
        <v>미국</v>
      </c>
      <c r="C71" s="256" t="str">
        <f>'트래블마트 통합'!$B28</f>
        <v>플로리다주
뉴욕</v>
      </c>
      <c r="D71" s="257" t="str">
        <f>IFERROR(LEFT('트래블마트 통합'!O28,FIND(CHAR(10),'트래블마트 통합'!O28)-1),'트래블마트 통합'!O28)</f>
        <v>New York Times Travel Show 2027</v>
      </c>
      <c r="E71" s="256" t="str">
        <f>IF(ISNUMBER(SEARCH("★★★",'트래블마트 통합'!O28)),"★★★",IF(ISNUMBER(SEARCH("★★",'트래블마트 통합'!O28)),"★★",IF(ISNUMBER(SEARCH("★",'트래블마트 통합'!O28)),"★","-")))</f>
        <v>-</v>
      </c>
      <c r="F71" s="258" t="b">
        <v>0</v>
      </c>
      <c r="G71" s="258" t="b">
        <v>0</v>
      </c>
      <c r="H71" s="256" t="str">
        <f>IF(AND(F71,G71),"완료",IF(G71,"진행 완료",IF(F71,"참가 예정","미정")))</f>
        <v>미정</v>
      </c>
      <c r="I71" s="257" t="str">
        <f>'트래블마트 통합'!O28</f>
        <v>New York Times Travel Show 2027
1월 하순 (예상)</v>
      </c>
      <c r="J71" s="259"/>
    </row>
    <row r="72" spans="1:10" ht="16.5">
      <c r="A72" s="255" t="str">
        <f>'트래블마트 통합'!P$2</f>
        <v>2027년 2월</v>
      </c>
      <c r="B72" s="256" t="str">
        <f>'트래블마트 통합'!$A9</f>
        <v>중국</v>
      </c>
      <c r="C72" s="256" t="str">
        <f>'트래블마트 통합'!$B9</f>
        <v>광동,화동,화북,내륙</v>
      </c>
      <c r="D72" s="257" t="str">
        <f>IFERROR(LEFT('트래블마트 통합'!P9,FIND(CHAR(10),'트래블마트 통합'!P9)-1),'트래블마트 통합'!P9)</f>
        <v>Chinese New Year (2/6)</v>
      </c>
      <c r="E72" s="256" t="str">
        <f>IF(ISNUMBER(SEARCH("★★★",'트래블마트 통합'!P9)),"★★★",IF(ISNUMBER(SEARCH("★★",'트래블마트 통합'!P9)),"★★",IF(ISNUMBER(SEARCH("★",'트래블마트 통합'!P9)),"★","-")))</f>
        <v>-</v>
      </c>
      <c r="F72" s="258" t="b">
        <v>0</v>
      </c>
      <c r="G72" s="258" t="b">
        <v>0</v>
      </c>
      <c r="H72" s="256" t="str">
        <f>IF(AND(F72,G72),"완료",IF(G72,"진행 완료",IF(F72,"참가 예정","미정")))</f>
        <v>미정</v>
      </c>
      <c r="I72" s="257" t="str">
        <f>'트래블마트 통합'!P9</f>
        <v>Chinese New Year (2/6)</v>
      </c>
      <c r="J72" s="259"/>
    </row>
    <row r="73" spans="1:10" ht="16.5">
      <c r="A73" s="376" t="str">
        <f>'트래블마트 통합'!P$2</f>
        <v>2027년 2월</v>
      </c>
      <c r="B73" s="377" t="str">
        <f>'트래블마트 통합'!$A14</f>
        <v>필리핀</v>
      </c>
      <c r="C73" s="377" t="str">
        <f>'트래블마트 통합'!$B14</f>
        <v>세부, 마닐라</v>
      </c>
      <c r="D73" s="378" t="str">
        <f>IFERROR(LEFT('트래블마트 통합'!P14,FIND(CHAR(10),'트래블마트 통합'!P14)-1),'트래블마트 통합'!P14)</f>
        <v>PTAA TravelTour Expo 2027</v>
      </c>
      <c r="E73" s="377" t="str">
        <f>IF(ISNUMBER(SEARCH("★★★",'트래블마트 통합'!P14)),"★★★",IF(ISNUMBER(SEARCH("★★",'트래블마트 통합'!P14)),"★★",IF(ISNUMBER(SEARCH("★",'트래블마트 통합'!P14)),"★","-")))</f>
        <v>★★★</v>
      </c>
      <c r="F73" s="258" t="b">
        <v>0</v>
      </c>
      <c r="G73" s="258" t="b">
        <v>0</v>
      </c>
      <c r="H73" s="256" t="str">
        <f>IF(AND(F73,G73),"완료",IF(G73,"진행 완료",IF(F73,"참가 예정","미정")))</f>
        <v>미정</v>
      </c>
      <c r="I73" s="257" t="str">
        <f>'트래블마트 통합'!P14</f>
        <v>PTAA TravelTour Expo 2027
2월 중 (예상)
[★★★ 최우선] 필리핀 최대 소비자+B2B, 패키지 판매에 최적</v>
      </c>
      <c r="J73" s="259"/>
    </row>
    <row r="74" spans="1:10" ht="16.5">
      <c r="A74" s="255" t="str">
        <f>'트래블마트 통합'!P$2</f>
        <v>2027년 2월</v>
      </c>
      <c r="B74" s="256" t="str">
        <f>'트래블마트 통합'!$A20</f>
        <v>인도</v>
      </c>
      <c r="C74" s="256" t="str">
        <f>'트래블마트 통합'!$B20</f>
        <v>뭄바이
뉴델리</v>
      </c>
      <c r="D74" s="257" t="str">
        <f>IFERROR(LEFT('트래블마트 통합'!P20,FIND(CHAR(10),'트래블마트 통합'!P20)-1),'트래블마트 통합'!P20)</f>
        <v>OTM Mumbai 2027 (Outbound Travel Mart)</v>
      </c>
      <c r="E74" s="256" t="str">
        <f>IF(ISNUMBER(SEARCH("★★★",'트래블마트 통합'!P20)),"★★★",IF(ISNUMBER(SEARCH("★★",'트래블마트 통합'!P20)),"★★",IF(ISNUMBER(SEARCH("★",'트래블마트 통합'!P20)),"★","-")))</f>
        <v>★★</v>
      </c>
      <c r="F74" s="258" t="b">
        <v>0</v>
      </c>
      <c r="G74" s="258" t="b">
        <v>0</v>
      </c>
      <c r="H74" s="256" t="str">
        <f>IF(AND(F74,G74),"완료",IF(G74,"진행 완료",IF(F74,"참가 예정","미정")))</f>
        <v>미정</v>
      </c>
      <c r="I74" s="257" t="str">
        <f>'트래블마트 통합'!P20</f>
        <v>OTM Mumbai 2027 (Outbound Travel Mart)
2월 상순 (예상)
SATTE 2027 (뉴델리) 2월 하순 (예상)
[★★ 중간] 인도 아웃바운드 핵심</v>
      </c>
      <c r="J74" s="259"/>
    </row>
    <row r="75" spans="1:10" ht="16.5">
      <c r="A75" s="255" t="str">
        <f>'트래블마트 통합'!Q$2</f>
        <v>2027년 3월</v>
      </c>
      <c r="B75" s="256" t="str">
        <f>'트래블마트 통합'!$A16</f>
        <v>태국</v>
      </c>
      <c r="C75" s="256" t="str">
        <f>'트래블마트 통합'!$B16</f>
        <v>방콕</v>
      </c>
      <c r="D75" s="257" t="str">
        <f>IFERROR(LEFT('트래블마트 통합'!Q16,FIND(CHAR(10),'트래블마트 통합'!Q16)-1),'트래블마트 통합'!Q16)</f>
        <v>Thai Teaw Thai (B2C)</v>
      </c>
      <c r="E75" s="256" t="str">
        <f>IF(ISNUMBER(SEARCH("★★★",'트래블마트 통합'!Q16)),"★★★",IF(ISNUMBER(SEARCH("★★",'트래블마트 통합'!Q16)),"★★",IF(ISNUMBER(SEARCH("★",'트래블마트 통합'!Q16)),"★","-")))</f>
        <v>-</v>
      </c>
      <c r="F75" s="258" t="b">
        <v>0</v>
      </c>
      <c r="G75" s="258" t="b">
        <v>0</v>
      </c>
      <c r="H75" s="256" t="str">
        <f>IF(AND(F75,G75),"완료",IF(G75,"진행 완료",IF(F75,"참가 예정","미정")))</f>
        <v>미정</v>
      </c>
      <c r="I75" s="257" t="str">
        <f>'트래블마트 통합'!Q16</f>
        <v>Thai Teaw Thai (B2C)
3월 상순 (예상)</v>
      </c>
      <c r="J75" s="259"/>
    </row>
    <row r="76" spans="1:10" ht="16.5">
      <c r="A76" s="255" t="str">
        <f>'트래블마트 통합'!Q$2</f>
        <v>2027년 3월</v>
      </c>
      <c r="B76" s="256" t="str">
        <f>'트래블마트 통합'!$A17</f>
        <v>말레이시아</v>
      </c>
      <c r="C76" s="256" t="str">
        <f>'트래블마트 통합'!$B17</f>
        <v>쿠알라룸프르, 쿠칭</v>
      </c>
      <c r="D76" s="257" t="str">
        <f>IFERROR(LEFT('트래블마트 통합'!Q17,FIND(CHAR(10),'트래블마트 통합'!Q17)-1),'트래블마트 통합'!Q17)</f>
        <v>MATTA Fair 2027 (상반기)</v>
      </c>
      <c r="E76" s="256" t="str">
        <f>IF(ISNUMBER(SEARCH("★★★",'트래블마트 통합'!Q17)),"★★★",IF(ISNUMBER(SEARCH("★★",'트래블마트 통합'!Q17)),"★★",IF(ISNUMBER(SEARCH("★",'트래블마트 통합'!Q17)),"★","-")))</f>
        <v>★</v>
      </c>
      <c r="F76" s="258" t="b">
        <v>0</v>
      </c>
      <c r="G76" s="258" t="b">
        <v>0</v>
      </c>
      <c r="H76" s="256" t="str">
        <f>IF(AND(F76,G76),"완료",IF(G76,"진행 완료",IF(F76,"참가 예정","미정")))</f>
        <v>미정</v>
      </c>
      <c r="I76" s="257" t="str">
        <f>'트래블마트 통합'!Q17</f>
        <v>MATTA Fair 2027 (상반기)
3월 말~4월 초 (예상)
[★ 선택] 말레이시아 최대 B2C</v>
      </c>
      <c r="J76" s="259"/>
    </row>
    <row r="77" spans="1:10" ht="16.5">
      <c r="A77" s="255" t="str">
        <f>'트래블마트 통합'!Q$2</f>
        <v>2027년 3월</v>
      </c>
      <c r="B77" s="256" t="str">
        <f>'트래블마트 통합'!$A21</f>
        <v>러시아</v>
      </c>
      <c r="C77" s="256" t="str">
        <f>'트래블마트 통합'!$B21</f>
        <v>모스크바</v>
      </c>
      <c r="D77" s="257" t="str">
        <f>IFERROR(LEFT('트래블마트 통합'!Q21,FIND(CHAR(10),'트래블마트 통합'!Q21)-1),'트래블마트 통합'!Q21)</f>
        <v>MITT Moscow 2027</v>
      </c>
      <c r="E77" s="256" t="str">
        <f>IF(ISNUMBER(SEARCH("★★★",'트래블마트 통합'!Q21)),"★★★",IF(ISNUMBER(SEARCH("★★",'트래블마트 통합'!Q21)),"★★",IF(ISNUMBER(SEARCH("★",'트래블마트 통합'!Q21)),"★","-")))</f>
        <v>★★</v>
      </c>
      <c r="F77" s="258" t="b">
        <v>0</v>
      </c>
      <c r="G77" s="258" t="b">
        <v>0</v>
      </c>
      <c r="H77" s="256" t="str">
        <f>IF(AND(F77,G77),"완료",IF(G77,"진행 완료",IF(F77,"참가 예정","미정")))</f>
        <v>미정</v>
      </c>
      <c r="I77" s="257" t="str">
        <f>'트래블마트 통합'!Q21</f>
        <v>MITT Moscow 2027
3월 중 (예상)
[★★ 중간] 러시아·CIS 최대, 러시아 outbound 핵심</v>
      </c>
      <c r="J77" s="259"/>
    </row>
    <row r="78" spans="1:10" ht="16.5">
      <c r="A78" s="255" t="str">
        <f>'트래블마트 통합'!Q$2</f>
        <v>2027년 3월</v>
      </c>
      <c r="B78" s="256" t="str">
        <f>'트래블마트 통합'!$A23</f>
        <v>Qatar</v>
      </c>
      <c r="C78" s="256" t="str">
        <f>'트래블마트 통합'!$B23</f>
        <v>Doha</v>
      </c>
      <c r="D78" s="257" t="str">
        <f>IFERROR(LEFT('트래블마트 통합'!Q23,FIND(CHAR(10),'트래블마트 통합'!Q23)-1),'트래블마트 통합'!Q23)</f>
        <v>Connections Luxury Middle East 2027</v>
      </c>
      <c r="E78" s="256" t="str">
        <f>IF(ISNUMBER(SEARCH("★★★",'트래블마트 통합'!Q23)),"★★★",IF(ISNUMBER(SEARCH("★★",'트래블마트 통합'!Q23)),"★★",IF(ISNUMBER(SEARCH("★",'트래블마트 통합'!Q23)),"★","-")))</f>
        <v>★</v>
      </c>
      <c r="F78" s="258" t="b">
        <v>0</v>
      </c>
      <c r="G78" s="258" t="b">
        <v>0</v>
      </c>
      <c r="H78" s="256" t="str">
        <f>IF(AND(F78,G78),"완료",IF(G78,"진행 완료",IF(F78,"참가 예정","미정")))</f>
        <v>미정</v>
      </c>
      <c r="I78" s="257" t="str">
        <f>'트래블마트 통합'!Q23</f>
        <v>Connections Luxury Middle East 2027
3월 말~4월 초 (예상)
[★ 선택] 초럭셔리 바이어 행사</v>
      </c>
      <c r="J78" s="259"/>
    </row>
    <row r="79" spans="1:10" ht="16.5">
      <c r="A79" s="376" t="str">
        <f>'트래블마트 통합'!Q$2</f>
        <v>2027년 3월</v>
      </c>
      <c r="B79" s="377" t="str">
        <f>'트래블마트 통합'!$A24</f>
        <v>독일</v>
      </c>
      <c r="C79" s="377" t="str">
        <f>'트래블마트 통합'!$B24</f>
        <v>베를린
오버하우젠</v>
      </c>
      <c r="D79" s="378" t="str">
        <f>IFERROR(LEFT('트래블마트 통합'!Q24,FIND(CHAR(10),'트래블마트 통합'!Q24)-1),'트래블마트 통합'!Q24)</f>
        <v>ITB Berlin 2027</v>
      </c>
      <c r="E79" s="377" t="str">
        <f>IF(ISNUMBER(SEARCH("★★★",'트래블마트 통합'!Q24)),"★★★",IF(ISNUMBER(SEARCH("★★",'트래블마트 통합'!Q24)),"★★",IF(ISNUMBER(SEARCH("★",'트래블마트 통합'!Q24)),"★","-")))</f>
        <v>★★★</v>
      </c>
      <c r="F79" s="258" t="b">
        <v>1</v>
      </c>
      <c r="G79" s="258" t="b">
        <v>0</v>
      </c>
      <c r="H79" s="256" t="str">
        <f>IF(AND(F79,G79),"완료",IF(G79,"진행 완료",IF(F79,"참가 예정","미정")))</f>
        <v>참가 예정</v>
      </c>
      <c r="I79" s="257" t="str">
        <f>'트래블마트 통합'!Q24</f>
        <v>ITB Berlin 2027
3월 상순 (예상, 통상 첫째 주 화~목)
[★★★ 최우선] 세계 1위 여행 B2B, 글로벌 파트너 확장 필수</v>
      </c>
      <c r="J79" s="259"/>
    </row>
    <row r="80" spans="1:10" ht="16.5">
      <c r="A80" s="376" t="str">
        <f>'트래블마트 통합'!R$2</f>
        <v>2027년 4월</v>
      </c>
      <c r="B80" s="377" t="str">
        <f>'트래블마트 통합'!$A9</f>
        <v>중국</v>
      </c>
      <c r="C80" s="377" t="str">
        <f>'트래블마트 통합'!$B9</f>
        <v>광동,화동,화북,내륙</v>
      </c>
      <c r="D80" s="378" t="str">
        <f>IFERROR(LEFT('트래블마트 통합'!R9,FIND(CHAR(10),'트래블마트 통합'!R9)-1),'트래블마트 통합'!R9)</f>
        <v>COTTM Beijing 2027</v>
      </c>
      <c r="E80" s="377" t="str">
        <f>IF(ISNUMBER(SEARCH("★★★",'트래블마트 통합'!R9)),"★★★",IF(ISNUMBER(SEARCH("★★",'트래블마트 통합'!R9)),"★★",IF(ISNUMBER(SEARCH("★",'트래블마트 통합'!R9)),"★","-")))</f>
        <v>★★★</v>
      </c>
      <c r="F80" s="258" t="b">
        <v>0</v>
      </c>
      <c r="G80" s="258" t="b">
        <v>0</v>
      </c>
      <c r="H80" s="256" t="str">
        <f>IF(AND(F80,G80),"완료",IF(G80,"진행 완료",IF(F80,"참가 예정","미정")))</f>
        <v>미정</v>
      </c>
      <c r="I80" s="257" t="str">
        <f>'트래블마트 통합'!R9</f>
        <v>COTTM Beijing 2027
4월 중 (예상)
[★★★ 최우선] 중국 outbound 전문 B2B</v>
      </c>
      <c r="J80" s="259"/>
    </row>
    <row r="81" spans="1:10" ht="16.5">
      <c r="A81" s="255" t="str">
        <f>'트래블마트 통합'!R$2</f>
        <v>2027년 4월</v>
      </c>
      <c r="B81" s="256" t="str">
        <f>'트래블마트 통합'!$A15</f>
        <v>베트남</v>
      </c>
      <c r="C81" s="256" t="str">
        <f>'트래블마트 통합'!$B15</f>
        <v>호치민
하노이</v>
      </c>
      <c r="D81" s="257" t="str">
        <f>IFERROR(LEFT('트래블마트 통합'!R15,FIND(CHAR(10),'트래블마트 통합'!R15)-1),'트래블마트 통합'!R15)</f>
        <v>VITM Hanoi 2027 (Vietnam Int'l Travel Mart)</v>
      </c>
      <c r="E81" s="256" t="str">
        <f>IF(ISNUMBER(SEARCH("★★★",'트래블마트 통합'!R15)),"★★★",IF(ISNUMBER(SEARCH("★★",'트래블마트 통합'!R15)),"★★",IF(ISNUMBER(SEARCH("★",'트래블마트 통합'!R15)),"★","-")))</f>
        <v>★★</v>
      </c>
      <c r="F81" s="258" t="b">
        <v>0</v>
      </c>
      <c r="G81" s="258" t="b">
        <v>0</v>
      </c>
      <c r="H81" s="256" t="str">
        <f>IF(AND(F81,G81),"완료",IF(G81,"진행 완료",IF(F81,"참가 예정","미정")))</f>
        <v>미정</v>
      </c>
      <c r="I81" s="257" t="str">
        <f>'트래블마트 통합'!R15</f>
        <v>VITM Hanoi 2027 (Vietnam Int'l Travel Mart)
4월 상순 (예상)
[★★ 중간] 북베트남 B2B+B2C</v>
      </c>
      <c r="J81" s="259"/>
    </row>
    <row r="82" spans="1:10" ht="16.5">
      <c r="A82" s="255" t="str">
        <f>'트래블마트 통합'!R$2</f>
        <v>2027년 4월</v>
      </c>
      <c r="B82" s="256" t="str">
        <f>'트래블마트 통합'!$A24</f>
        <v>독일</v>
      </c>
      <c r="C82" s="256" t="str">
        <f>'트래블마트 통합'!$B24</f>
        <v>베를린
오버하우젠</v>
      </c>
      <c r="D82" s="257" t="str">
        <f>IFERROR(LEFT('트래블마트 통합'!R24,FIND(CHAR(10),'트래블마트 통합'!R24)-1),'트래블마트 통합'!R24)</f>
        <v>Germany Travel Mart (GTM) 2027</v>
      </c>
      <c r="E82" s="256" t="str">
        <f>IF(ISNUMBER(SEARCH("★★★",'트래블마트 통합'!R24)),"★★★",IF(ISNUMBER(SEARCH("★★",'트래블마트 통합'!R24)),"★★",IF(ISNUMBER(SEARCH("★",'트래블마트 통합'!R24)),"★","-")))</f>
        <v>★</v>
      </c>
      <c r="F82" s="258" t="b">
        <v>0</v>
      </c>
      <c r="G82" s="258" t="b">
        <v>0</v>
      </c>
      <c r="H82" s="256" t="str">
        <f>IF(AND(F82,G82),"완료",IF(G82,"진행 완료",IF(F82,"참가 예정","미정")))</f>
        <v>미정</v>
      </c>
      <c r="I82" s="257" t="str">
        <f>'트래블마트 통합'!R24</f>
        <v>Germany Travel Mart (GTM) 2027
4월 중 (예상)
[★ 선택] 독일 관광청 주최, 유럽 인바운드 중심</v>
      </c>
      <c r="J82" s="259"/>
    </row>
    <row r="83" spans="1:10" ht="16.5">
      <c r="A83" s="255" t="str">
        <f>'트래블마트 통합'!R$2</f>
        <v>2027년 4월</v>
      </c>
      <c r="B83" s="256" t="str">
        <f>'트래블마트 통합'!$A30</f>
        <v>South Africa</v>
      </c>
      <c r="C83" s="256" t="str">
        <f>'트래블마트 통합'!$B30</f>
        <v>Cape Town</v>
      </c>
      <c r="D83" s="257" t="str">
        <f>IFERROR(LEFT('트래블마트 통합'!R30,FIND(CHAR(10),'트래블마트 통합'!R30)-1),'트래블마트 통합'!R30)</f>
        <v>WTM Africa 2027 (Cape Town)</v>
      </c>
      <c r="E83" s="256" t="str">
        <f>IF(ISNUMBER(SEARCH("★★★",'트래블마트 통합'!R30)),"★★★",IF(ISNUMBER(SEARCH("★★",'트래블마트 통합'!R30)),"★★",IF(ISNUMBER(SEARCH("★",'트래블마트 통합'!R30)),"★","-")))</f>
        <v>★</v>
      </c>
      <c r="F83" s="258" t="b">
        <v>0</v>
      </c>
      <c r="G83" s="258" t="b">
        <v>0</v>
      </c>
      <c r="H83" s="256" t="str">
        <f>IF(AND(F83,G83),"완료",IF(G83,"진행 완료",IF(F83,"참가 예정","미정")))</f>
        <v>미정</v>
      </c>
      <c r="I83" s="257" t="str">
        <f>'트래블마트 통합'!R30</f>
        <v>WTM Africa 2027 (Cape Town)
4월 중 (예상)
[★ 선택] 아프리카 시장 접근</v>
      </c>
      <c r="J83" s="259"/>
    </row>
    <row r="84" spans="1:10" ht="16.5">
      <c r="A84" s="255" t="str">
        <f>'트래블마트 통합'!R$2</f>
        <v>2027년 4월</v>
      </c>
      <c r="B84" s="256" t="str">
        <f>'트래블마트 통합'!$A31</f>
        <v>브라질</v>
      </c>
      <c r="C84" s="256" t="str">
        <f>'트래블마트 통합'!$B31</f>
        <v>상파울루</v>
      </c>
      <c r="D84" s="257" t="str">
        <f>IFERROR(LEFT('트래블마트 통합'!R31,FIND(CHAR(10),'트래블마트 통합'!R31)-1),'트래블마트 통합'!R31)</f>
        <v>WTM Latin America 2027 (상파울루)</v>
      </c>
      <c r="E84" s="256" t="str">
        <f>IF(ISNUMBER(SEARCH("★★★",'트래블마트 통합'!R31)),"★★★",IF(ISNUMBER(SEARCH("★★",'트래블마트 통합'!R31)),"★★",IF(ISNUMBER(SEARCH("★",'트래블마트 통합'!R31)),"★","-")))</f>
        <v>★</v>
      </c>
      <c r="F84" s="258" t="b">
        <v>0</v>
      </c>
      <c r="G84" s="258" t="b">
        <v>0</v>
      </c>
      <c r="H84" s="256" t="str">
        <f>IF(AND(F84,G84),"완료",IF(G84,"진행 완료",IF(F84,"참가 예정","미정")))</f>
        <v>미정</v>
      </c>
      <c r="I84" s="257" t="str">
        <f>'트래블마트 통합'!R31</f>
        <v>WTM Latin America 2027 (상파울루)
4월 중 (예상)
[★ 선택] 남미 최대 B2B, 라틴 바이어 네트워크</v>
      </c>
      <c r="J84" s="259"/>
    </row>
    <row r="85" spans="1:10" ht="16.5">
      <c r="A85" s="376" t="str">
        <f>'트래블마트 통합'!S$2</f>
        <v>2027년 5월</v>
      </c>
      <c r="B85" s="377" t="str">
        <f>'트래블마트 통합'!$A9</f>
        <v>중국</v>
      </c>
      <c r="C85" s="377" t="str">
        <f>'트래블마트 통합'!$B9</f>
        <v>광동,화동,화북,내륙</v>
      </c>
      <c r="D85" s="378" t="str">
        <f>IFERROR(LEFT('트래블마트 통합'!S9,FIND(CHAR(10),'트래블마트 통합'!S9)-1),'트래블마트 통합'!S9)</f>
        <v>ITB China 2027 (상하이) 5월 중 (예상)</v>
      </c>
      <c r="E85" s="377" t="str">
        <f>IF(ISNUMBER(SEARCH("★★★",'트래블마트 통합'!S9)),"★★★",IF(ISNUMBER(SEARCH("★★",'트래블마트 통합'!S9)),"★★",IF(ISNUMBER(SEARCH("★",'트래블마트 통합'!S9)),"★","-")))</f>
        <v>★★★</v>
      </c>
      <c r="F85" s="258" t="b">
        <v>0</v>
      </c>
      <c r="G85" s="258" t="b">
        <v>0</v>
      </c>
      <c r="H85" s="256" t="str">
        <f>IF(AND(F85,G85),"완료",IF(G85,"진행 완료",IF(F85,"참가 예정","미정")))</f>
        <v>미정</v>
      </c>
      <c r="I85" s="257" t="str">
        <f>'트래블마트 통합'!S9</f>
        <v>ITB China 2027 (상하이) 5월 중 (예상)
GITF Guangzhou 5월 하순 (예상)
[★★★ 최우선] 중국 outbound 최상위 B2B</v>
      </c>
      <c r="J85" s="259"/>
    </row>
    <row r="86" spans="1:10" ht="16.5">
      <c r="A86" s="255" t="str">
        <f>'트래블마트 통합'!S$2</f>
        <v>2027년 5월</v>
      </c>
      <c r="B86" s="256" t="str">
        <f>'트래블마트 통합'!$A10</f>
        <v>한국</v>
      </c>
      <c r="C86" s="256" t="str">
        <f>'트래블마트 통합'!$B10</f>
        <v>서울</v>
      </c>
      <c r="D86" s="257" t="str">
        <f>IFERROR(LEFT('트래블마트 통합'!S10,FIND(CHAR(10),'트래블마트 통합'!S10)-1),'트래블마트 통합'!S10)</f>
        <v>일산 트래블마트 2027</v>
      </c>
      <c r="E86" s="256" t="str">
        <f>IF(ISNUMBER(SEARCH("★★★",'트래블마트 통합'!S10)),"★★★",IF(ISNUMBER(SEARCH("★★",'트래블마트 통합'!S10)),"★★",IF(ISNUMBER(SEARCH("★",'트래블마트 통합'!S10)),"★","-")))</f>
        <v>-</v>
      </c>
      <c r="F86" s="258" t="b">
        <v>1</v>
      </c>
      <c r="G86" s="258" t="b">
        <v>0</v>
      </c>
      <c r="H86" s="256" t="str">
        <f>IF(AND(F86,G86),"완료",IF(G86,"진행 완료",IF(F86,"참가 예정","미정")))</f>
        <v>참가 예정</v>
      </c>
      <c r="I86" s="257" t="str">
        <f>'트래블마트 통합'!S10</f>
        <v>일산 트래블마트 2027
5월 중 (예상)</v>
      </c>
      <c r="J86" s="259"/>
    </row>
    <row r="87" spans="1:10" ht="16.5">
      <c r="A87" s="255" t="str">
        <f>'트래블마트 통합'!S$2</f>
        <v>2027년 5월</v>
      </c>
      <c r="B87" s="256" t="str">
        <f>'트래블마트 통합'!$A12</f>
        <v>대만</v>
      </c>
      <c r="C87" s="256" t="str">
        <f>'트래블마트 통합'!$B12</f>
        <v>타이베이</v>
      </c>
      <c r="D87" s="257" t="str">
        <f>IFERROR(LEFT('트래블마트 통합'!S12,FIND(CHAR(10),'트래블마트 통합'!S12)-1),'트래블마트 통합'!S12)</f>
        <v>Taipei Tourism Expo (TTE) 2027</v>
      </c>
      <c r="E87" s="256" t="str">
        <f>IF(ISNUMBER(SEARCH("★★★",'트래블마트 통합'!S12)),"★★★",IF(ISNUMBER(SEARCH("★★",'트래블마트 통합'!S12)),"★★",IF(ISNUMBER(SEARCH("★",'트래블마트 통합'!S12)),"★","-")))</f>
        <v>★</v>
      </c>
      <c r="F87" s="258" t="b">
        <v>0</v>
      </c>
      <c r="G87" s="258" t="b">
        <v>0</v>
      </c>
      <c r="H87" s="256" t="str">
        <f>IF(AND(F87,G87),"완료",IF(G87,"진행 완료",IF(F87,"참가 예정","미정")))</f>
        <v>미정</v>
      </c>
      <c r="I87" s="257" t="str">
        <f>'트래블마트 통합'!S12</f>
        <v>Taipei Tourism Expo (TTE) 2027
5월 하순 (예상)
[★ 선택] 대만 최대 B2C, FIT 시장 강함</v>
      </c>
      <c r="J87" s="259"/>
    </row>
    <row r="88" spans="1:10" ht="16.5">
      <c r="A88" s="376" t="str">
        <f>'트래블마트 통합'!S$2</f>
        <v>2027년 5월</v>
      </c>
      <c r="B88" s="377" t="str">
        <f>'트래블마트 통합'!$A22</f>
        <v>UAE</v>
      </c>
      <c r="C88" s="377" t="str">
        <f>'트래블마트 통합'!$B22</f>
        <v>Dubai</v>
      </c>
      <c r="D88" s="378" t="str">
        <f>IFERROR(LEFT('트래블마트 통합'!S22,FIND(CHAR(10),'트래블마트 통합'!S22)-1),'트래블마트 통합'!S22)</f>
        <v>Arabian Travel Market (ATM) 2027 (Dubai)</v>
      </c>
      <c r="E88" s="377" t="str">
        <f>IF(ISNUMBER(SEARCH("★★★",'트래블마트 통합'!S22)),"★★★",IF(ISNUMBER(SEARCH("★★",'트래블마트 통합'!S22)),"★★",IF(ISNUMBER(SEARCH("★",'트래블마트 통합'!S22)),"★","-")))</f>
        <v>★★★</v>
      </c>
      <c r="F88" s="258" t="b">
        <v>1</v>
      </c>
      <c r="G88" s="258" t="b">
        <v>0</v>
      </c>
      <c r="H88" s="256" t="str">
        <f>IF(AND(F88,G88),"완료",IF(G88,"진행 완료",IF(F88,"참가 예정","미정")))</f>
        <v>참가 예정</v>
      </c>
      <c r="I88" s="257" t="str">
        <f>'트래블마트 통합'!S22</f>
        <v>Arabian Travel Market (ATM) 2027 (Dubai)
5월 상순 (예상)
[★★★ 최우선] 중동 최대 여행 B2B, GCC 바이어 중심</v>
      </c>
      <c r="J88" s="259"/>
    </row>
    <row r="89" spans="1:10" ht="16.5">
      <c r="A89" s="255" t="str">
        <f>'트래블마트 통합'!S$2</f>
        <v>2027년 5월</v>
      </c>
      <c r="B89" s="256" t="str">
        <f>'트래블마트 통합'!$A25</f>
        <v>호주</v>
      </c>
      <c r="C89" s="256" t="str">
        <f>'트래블마트 통합'!$B25</f>
        <v>시드니, 애들레이드</v>
      </c>
      <c r="D89" s="257" t="str">
        <f>IFERROR(LEFT('트래블마트 통합'!S25,FIND(CHAR(10),'트래블마트 통합'!S25)-1),'트래블마트 통합'!S25)</f>
        <v>Australian Tourism Exchange (ATE) 2027</v>
      </c>
      <c r="E89" s="256" t="str">
        <f>IF(ISNUMBER(SEARCH("★★★",'트래블마트 통합'!S25)),"★★★",IF(ISNUMBER(SEARCH("★★",'트래블마트 통합'!S25)),"★★",IF(ISNUMBER(SEARCH("★",'트래블마트 통합'!S25)),"★","-")))</f>
        <v>★</v>
      </c>
      <c r="F89" s="258" t="b">
        <v>0</v>
      </c>
      <c r="G89" s="258" t="b">
        <v>0</v>
      </c>
      <c r="H89" s="256" t="str">
        <f>IF(AND(F89,G89),"완료",IF(G89,"진행 완료",IF(F89,"참가 예정","미정")))</f>
        <v>미정</v>
      </c>
      <c r="I89" s="257" t="str">
        <f>'트래블마트 통합'!S25</f>
        <v>Australian Tourism Exchange (ATE) 2027
5월 중 (예상)
[★ 선택] 오세아니아 최대 B2B</v>
      </c>
      <c r="J89" s="259"/>
    </row>
    <row r="90" spans="1:10" ht="16.5">
      <c r="A90" s="255" t="str">
        <f>'트래블마트 통합'!S$2</f>
        <v>2027년 5월</v>
      </c>
      <c r="B90" s="256" t="str">
        <f>'트래블마트 통합'!$A28</f>
        <v>미국</v>
      </c>
      <c r="C90" s="256" t="str">
        <f>'트래블마트 통합'!$B28</f>
        <v>플로리다주
뉴욕</v>
      </c>
      <c r="D90" s="257" t="str">
        <f>IFERROR(LEFT('트래블마트 통합'!S28,FIND(CHAR(10),'트래블마트 통합'!S28)-1),'트래블마트 통합'!S28)</f>
        <v>IPW 2027 (U.S. Travel Association)</v>
      </c>
      <c r="E90" s="256" t="str">
        <f>IF(ISNUMBER(SEARCH("★★★",'트래블마트 통합'!S28)),"★★★",IF(ISNUMBER(SEARCH("★★",'트래블마트 통합'!S28)),"★★",IF(ISNUMBER(SEARCH("★",'트래블마트 통합'!S28)),"★","-")))</f>
        <v>★</v>
      </c>
      <c r="F90" s="258" t="b">
        <v>0</v>
      </c>
      <c r="G90" s="258" t="b">
        <v>0</v>
      </c>
      <c r="H90" s="256" t="str">
        <f>IF(AND(F90,G90),"완료",IF(G90,"진행 완료",IF(F90,"참가 예정","미정")))</f>
        <v>미정</v>
      </c>
      <c r="I90" s="257" t="str">
        <f>'트래블마트 통합'!S28</f>
        <v>IPW 2027 (U.S. Travel Association)
5월 하순 (예상)
[★ 선택] 미국 인바운드 최대 B2B</v>
      </c>
      <c r="J90" s="259"/>
    </row>
    <row r="91" spans="1:10" ht="16.5">
      <c r="A91" s="255" t="str">
        <f>'트래블마트 통합'!T$2</f>
        <v>2027년 6월</v>
      </c>
      <c r="B91" s="256" t="str">
        <f>'트래블마트 통합'!$A10</f>
        <v>한국</v>
      </c>
      <c r="C91" s="256" t="str">
        <f>'트래블마트 통합'!$B10</f>
        <v>서울</v>
      </c>
      <c r="D91" s="257" t="str">
        <f>IFERROR(LEFT('트래블마트 통합'!T10,FIND(CHAR(10),'트래블마트 통합'!T10)-1),'트래블마트 통합'!T10)</f>
        <v>Seoul International Travel Fair (SITF) 2027</v>
      </c>
      <c r="E91" s="256" t="str">
        <f>IF(ISNUMBER(SEARCH("★★★",'트래블마트 통합'!T10)),"★★★",IF(ISNUMBER(SEARCH("★★",'트래블마트 통합'!T10)),"★★",IF(ISNUMBER(SEARCH("★",'트래블마트 통합'!T10)),"★","-")))</f>
        <v>★</v>
      </c>
      <c r="F91" s="258" t="b">
        <v>0</v>
      </c>
      <c r="G91" s="258" t="b">
        <v>0</v>
      </c>
      <c r="H91" s="256" t="str">
        <f>IF(AND(F91,G91),"완료",IF(G91,"진행 완료",IF(F91,"참가 예정","미정")))</f>
        <v>미정</v>
      </c>
      <c r="I91" s="257" t="str">
        <f>'트래블마트 통합'!T10</f>
        <v>Seoul International Travel Fair (SITF) 2027
6월 상순 (예상)
SITM 6월 말~7월 초 (예상)
[★ 선택] 한국 최대 여행박람회</v>
      </c>
      <c r="J91" s="259"/>
    </row>
    <row r="92" spans="1:10" ht="16.5">
      <c r="A92" s="255" t="str">
        <f>'트래블마트 통합'!T$2</f>
        <v>2027년 6월</v>
      </c>
      <c r="B92" s="256" t="str">
        <f>'트래블마트 통합'!$A13</f>
        <v>홍콩</v>
      </c>
      <c r="C92" s="256" t="str">
        <f>'트래블마트 통합'!$B13</f>
        <v>홍콩</v>
      </c>
      <c r="D92" s="257" t="str">
        <f>IFERROR(LEFT('트래블마트 통합'!T13,FIND(CHAR(10),'트래블마트 통합'!T13)-1),'트래블마트 통합'!T13)</f>
        <v>ITE Hong Kong 2027</v>
      </c>
      <c r="E92" s="256" t="str">
        <f>IF(ISNUMBER(SEARCH("★★★",'트래블마트 통합'!T13)),"★★★",IF(ISNUMBER(SEARCH("★★",'트래블마트 통합'!T13)),"★★",IF(ISNUMBER(SEARCH("★",'트래블마트 통합'!T13)),"★","-")))</f>
        <v>★★</v>
      </c>
      <c r="F92" s="258" t="b">
        <v>0</v>
      </c>
      <c r="G92" s="258" t="b">
        <v>0</v>
      </c>
      <c r="H92" s="256" t="str">
        <f>IF(AND(F92,G92),"완료",IF(G92,"진행 완료",IF(F92,"참가 예정","미정")))</f>
        <v>미정</v>
      </c>
      <c r="I92" s="257" t="str">
        <f>'트래블마트 통합'!T13</f>
        <v>ITE Hong Kong 2027
6월 중순 (예상)
[★★ 중간] 홍콩–광둥 outbound 중심</v>
      </c>
      <c r="J92" s="259"/>
    </row>
    <row r="93" spans="1:10" ht="16.5">
      <c r="A93" s="255" t="str">
        <f>'트래블마트 통합'!T$2</f>
        <v>2027년 6월</v>
      </c>
      <c r="B93" s="256" t="str">
        <f>'트래블마트 통합'!$A16</f>
        <v>태국</v>
      </c>
      <c r="C93" s="256" t="str">
        <f>'트래블마트 통합'!$B16</f>
        <v>방콕</v>
      </c>
      <c r="D93" s="257" t="str">
        <f>IFERROR(LEFT('트래블마트 통합'!T16,FIND(CHAR(10),'트래블마트 통합'!T16)-1),'트래블마트 통합'!T16)</f>
        <v>TTM+ (Thailand Travel Mart Plus) 2027</v>
      </c>
      <c r="E93" s="256" t="str">
        <f>IF(ISNUMBER(SEARCH("★★★",'트래블마트 통합'!T16)),"★★★",IF(ISNUMBER(SEARCH("★★",'트래블마트 통합'!T16)),"★★",IF(ISNUMBER(SEARCH("★",'트래블마트 통합'!T16)),"★","-")))</f>
        <v>-</v>
      </c>
      <c r="F93" s="258" t="b">
        <v>0</v>
      </c>
      <c r="G93" s="258" t="b">
        <v>0</v>
      </c>
      <c r="H93" s="256" t="str">
        <f>IF(AND(F93,G93),"완료",IF(G93,"진행 완료",IF(F93,"참가 예정","미정")))</f>
        <v>미정</v>
      </c>
      <c r="I93" s="257" t="str">
        <f>'트래블마트 통합'!T16</f>
        <v>TTM+ (Thailand Travel Mart Plus) 2027
6월 둘째 주 (예상)
태국 관광청(TAT) 주관</v>
      </c>
      <c r="J93" s="259"/>
    </row>
    <row r="94" spans="1:10" ht="16.5">
      <c r="A94" s="255" t="str">
        <f>'트래블마트 통합'!T$2</f>
        <v>2027년 6월</v>
      </c>
      <c r="B94" s="256" t="str">
        <f>'트래블마트 통합'!$A18</f>
        <v>싱가포르</v>
      </c>
      <c r="C94" s="256" t="str">
        <f>'트래블마트 통합'!$B18</f>
        <v>마리나베이</v>
      </c>
      <c r="D94" s="257" t="str">
        <f>IFERROR(LEFT('트래블마트 통합'!T18,FIND(CHAR(10),'트래블마트 통합'!T18)-1),'트래블마트 통합'!T18)</f>
        <v>ILTM Asia Pacific 2027 (싱가포르)</v>
      </c>
      <c r="E94" s="256" t="str">
        <f>IF(ISNUMBER(SEARCH("★★★",'트래블마트 통합'!T18)),"★★★",IF(ISNUMBER(SEARCH("★★",'트래블마트 통합'!T18)),"★★",IF(ISNUMBER(SEARCH("★",'트래블마트 통합'!T18)),"★","-")))</f>
        <v>★</v>
      </c>
      <c r="F94" s="258" t="b">
        <v>0</v>
      </c>
      <c r="G94" s="258" t="b">
        <v>0</v>
      </c>
      <c r="H94" s="256" t="str">
        <f>IF(AND(F94,G94),"완료",IF(G94,"진행 완료",IF(F94,"참가 예정","미정")))</f>
        <v>미정</v>
      </c>
      <c r="I94" s="257" t="str">
        <f>'트래블마트 통합'!T18</f>
        <v>ILTM Asia Pacific 2027 (싱가포르)
6월 말 (예상)
[★ 선택] 아시아 럭셔리 여행 최상위 행사</v>
      </c>
      <c r="J94" s="259"/>
    </row>
    <row r="95" spans="1:10" ht="16.5">
      <c r="A95" s="255" t="str">
        <f>'트래블마트 통합'!T$2</f>
        <v>2027년 6월</v>
      </c>
      <c r="B95" s="256" t="str">
        <f>'트래블마트 통합'!$A19</f>
        <v>인도네시아</v>
      </c>
      <c r="C95" s="256" t="str">
        <f>'트래블마트 통합'!$B19</f>
        <v>자카르타</v>
      </c>
      <c r="D95" s="257" t="str">
        <f>IFERROR(LEFT('트래블마트 통합'!T19,FIND(CHAR(10),'트래블마트 통합'!T19)-1),'트래블마트 통합'!T19)</f>
        <v>BBTF (Bali &amp; Beyond Travel Fair) 2027</v>
      </c>
      <c r="E95" s="256" t="str">
        <f>IF(ISNUMBER(SEARCH("★★★",'트래블마트 통합'!T19)),"★★★",IF(ISNUMBER(SEARCH("★★",'트래블마트 통합'!T19)),"★★",IF(ISNUMBER(SEARCH("★",'트래블마트 통합'!T19)),"★","-")))</f>
        <v>-</v>
      </c>
      <c r="F95" s="258" t="b">
        <v>0</v>
      </c>
      <c r="G95" s="258" t="b">
        <v>0</v>
      </c>
      <c r="H95" s="256" t="str">
        <f>IF(AND(F95,G95),"완료",IF(G95,"진행 완료",IF(F95,"참가 예정","미정")))</f>
        <v>미정</v>
      </c>
      <c r="I95" s="257" t="str">
        <f>'트래블마트 통합'!T19</f>
        <v>BBTF (Bali &amp; Beyond Travel Fair) 2027
6월 중 (예상)
Travel Meet Asia 2027 6월 하순 (예상)
호텔 소싱 핵심 행사</v>
      </c>
      <c r="J95" s="259"/>
    </row>
  </sheetData>
  <phoneticPr fontId="3" type="noConversion"/>
  <conditionalFormatting sqref="A4:E67">
    <cfRule type="expression" dxfId="123" priority="3">
      <formula>$G4=TRUE</formula>
    </cfRule>
    <cfRule type="expression" dxfId="122" priority="4">
      <formula>AND($F4=FALSE,$G4=FALSE,$E4="★★★")</formula>
    </cfRule>
  </conditionalFormatting>
  <conditionalFormatting sqref="A68:E95">
    <cfRule type="expression" dxfId="121" priority="1">
      <formula>$G68=TRUE</formula>
    </cfRule>
    <cfRule type="expression" dxfId="120" priority="2">
      <formula>AND($F68=FALSE,$G68=FALSE,$E68="★★★")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BD59-1D2E-489D-892F-E053E2C91BD8}">
  <sheetPr>
    <tabColor rgb="FF92D050"/>
  </sheetPr>
  <dimension ref="A1:AP101"/>
  <sheetViews>
    <sheetView tabSelected="1" workbookViewId="0">
      <pane xSplit="5" ySplit="3" topLeftCell="F51" activePane="bottomRight" state="frozen"/>
      <selection pane="bottomRight" activeCell="F59" sqref="F59"/>
      <selection pane="bottomLeft"/>
      <selection pane="topRight"/>
    </sheetView>
  </sheetViews>
  <sheetFormatPr defaultRowHeight="16.5"/>
  <cols>
    <col min="1" max="1" width="5.625" style="344" customWidth="1"/>
    <col min="2" max="2" width="11.5" style="344" customWidth="1"/>
    <col min="3" max="3" width="12.5" style="344" customWidth="1"/>
    <col min="4" max="4" width="20.25" style="344" customWidth="1"/>
    <col min="5" max="5" width="15.125" style="344" customWidth="1"/>
    <col min="6" max="6" width="9.5" style="344" bestFit="1" customWidth="1"/>
    <col min="7" max="7" width="16.25" style="344" bestFit="1" customWidth="1"/>
    <col min="8" max="8" width="16" style="344" customWidth="1"/>
    <col min="9" max="9" width="9.375" style="344" customWidth="1"/>
    <col min="10" max="10" width="10.625" style="344" customWidth="1"/>
    <col min="11" max="11" width="8" style="344" customWidth="1"/>
    <col min="12" max="12" width="12.625" style="344" customWidth="1"/>
    <col min="13" max="13" width="8.625" style="344" customWidth="1"/>
    <col min="14" max="14" width="13" style="344" customWidth="1"/>
    <col min="15" max="25" width="12.375" style="344" customWidth="1"/>
    <col min="26" max="37" width="9" style="344"/>
    <col min="38" max="38" width="11.625" style="344" customWidth="1"/>
    <col min="39" max="39" width="13.375" style="344" customWidth="1"/>
    <col min="40" max="41" width="33.375" style="344" customWidth="1"/>
    <col min="42" max="42" width="10.875" style="344" customWidth="1"/>
    <col min="43" max="16384" width="9" style="344"/>
  </cols>
  <sheetData>
    <row r="1" spans="1:42" ht="27.75" customHeight="1">
      <c r="A1" s="396" t="s">
        <v>213</v>
      </c>
      <c r="B1" s="396"/>
      <c r="C1" s="396"/>
      <c r="D1" s="396"/>
      <c r="E1" s="396"/>
      <c r="F1" s="396"/>
      <c r="G1" s="396"/>
      <c r="H1" s="396"/>
      <c r="I1" s="396"/>
      <c r="J1" s="396"/>
      <c r="K1" s="396"/>
      <c r="L1" s="396"/>
      <c r="M1" s="396"/>
      <c r="N1" s="396"/>
      <c r="O1" s="396"/>
      <c r="P1" s="396"/>
      <c r="Q1" s="396"/>
      <c r="R1" s="396"/>
      <c r="S1" s="396"/>
      <c r="T1" s="396"/>
      <c r="U1" s="396"/>
      <c r="V1" s="396"/>
      <c r="W1" s="396"/>
      <c r="X1" s="396"/>
      <c r="Y1" s="396"/>
      <c r="AA1" s="361" t="s">
        <v>214</v>
      </c>
    </row>
    <row r="2" spans="1:42">
      <c r="A2" s="397" t="s">
        <v>215</v>
      </c>
      <c r="B2" s="397"/>
      <c r="C2" s="397"/>
      <c r="D2" s="397"/>
      <c r="E2" s="397"/>
      <c r="F2" s="397"/>
      <c r="G2" s="397"/>
      <c r="H2" s="397"/>
      <c r="I2" s="397"/>
      <c r="J2" s="397"/>
      <c r="K2" s="398" t="s">
        <v>216</v>
      </c>
      <c r="L2" s="398"/>
      <c r="M2" s="398"/>
      <c r="N2" s="398"/>
      <c r="O2" s="399"/>
      <c r="P2" s="399"/>
      <c r="Q2" s="399"/>
      <c r="R2" s="399"/>
      <c r="S2" s="399"/>
      <c r="T2" s="399"/>
      <c r="U2" s="399"/>
      <c r="V2" s="399"/>
      <c r="W2" s="399"/>
      <c r="X2" s="399"/>
      <c r="Y2" s="399"/>
      <c r="AA2" s="362" t="s">
        <v>217</v>
      </c>
      <c r="AB2" s="362" t="s">
        <v>218</v>
      </c>
      <c r="AC2" s="362" t="s">
        <v>219</v>
      </c>
      <c r="AD2" s="362" t="s">
        <v>220</v>
      </c>
      <c r="AE2" s="362" t="s">
        <v>221</v>
      </c>
      <c r="AF2" s="362" t="s">
        <v>222</v>
      </c>
      <c r="AG2" s="362" t="s">
        <v>223</v>
      </c>
      <c r="AH2" s="362" t="s">
        <v>224</v>
      </c>
      <c r="AI2" s="362" t="s">
        <v>225</v>
      </c>
      <c r="AJ2" s="362" t="s">
        <v>226</v>
      </c>
      <c r="AK2" s="362" t="s">
        <v>227</v>
      </c>
    </row>
    <row r="3" spans="1:42" ht="57.75" customHeight="1">
      <c r="A3" s="336" t="s">
        <v>228</v>
      </c>
      <c r="B3" s="336" t="s">
        <v>229</v>
      </c>
      <c r="C3" s="336" t="s">
        <v>230</v>
      </c>
      <c r="D3" s="336" t="s">
        <v>231</v>
      </c>
      <c r="E3" s="336" t="s">
        <v>232</v>
      </c>
      <c r="F3" s="336" t="s">
        <v>233</v>
      </c>
      <c r="G3" s="336" t="s">
        <v>234</v>
      </c>
      <c r="H3" s="336" t="s">
        <v>235</v>
      </c>
      <c r="I3" s="336" t="s">
        <v>236</v>
      </c>
      <c r="J3" s="336" t="s">
        <v>237</v>
      </c>
      <c r="K3" s="337" t="s">
        <v>238</v>
      </c>
      <c r="L3" s="338" t="s">
        <v>239</v>
      </c>
      <c r="M3" s="339" t="s">
        <v>240</v>
      </c>
      <c r="N3" s="340" t="s">
        <v>241</v>
      </c>
      <c r="O3" s="341" t="s">
        <v>242</v>
      </c>
      <c r="P3" s="341" t="s">
        <v>243</v>
      </c>
      <c r="Q3" s="341" t="s">
        <v>244</v>
      </c>
      <c r="R3" s="341" t="s">
        <v>245</v>
      </c>
      <c r="S3" s="341" t="s">
        <v>246</v>
      </c>
      <c r="T3" s="341" t="s">
        <v>247</v>
      </c>
      <c r="U3" s="341" t="s">
        <v>248</v>
      </c>
      <c r="V3" s="341" t="s">
        <v>249</v>
      </c>
      <c r="W3" s="341" t="s">
        <v>250</v>
      </c>
      <c r="X3" s="342" t="s">
        <v>251</v>
      </c>
      <c r="Y3" s="343" t="s">
        <v>252</v>
      </c>
      <c r="Z3" s="366" t="s">
        <v>253</v>
      </c>
      <c r="AA3" s="364">
        <v>0.2</v>
      </c>
      <c r="AB3" s="364">
        <v>0.3</v>
      </c>
      <c r="AC3" s="364">
        <v>0.4</v>
      </c>
      <c r="AD3" s="364">
        <v>0.45</v>
      </c>
      <c r="AE3" s="364">
        <v>0.5</v>
      </c>
      <c r="AF3" s="364">
        <v>0.6</v>
      </c>
      <c r="AG3" s="364">
        <v>0.7</v>
      </c>
      <c r="AH3" s="364">
        <v>0.75</v>
      </c>
      <c r="AI3" s="364">
        <v>0.8</v>
      </c>
      <c r="AJ3" s="364">
        <v>0.9</v>
      </c>
      <c r="AK3" s="364">
        <v>1</v>
      </c>
      <c r="AL3" s="336" t="s">
        <v>254</v>
      </c>
      <c r="AM3" s="336" t="s">
        <v>255</v>
      </c>
      <c r="AN3" s="336" t="s">
        <v>256</v>
      </c>
      <c r="AO3" s="336" t="s">
        <v>257</v>
      </c>
      <c r="AP3" s="336" t="s">
        <v>258</v>
      </c>
    </row>
    <row r="4" spans="1:42" ht="15.75" customHeight="1">
      <c r="A4" s="325">
        <f>IF($D4="","",COUNTA($D$4:$D4))</f>
        <v>1</v>
      </c>
      <c r="B4" s="326" t="str">
        <f>IF($D4="","",IF($L4="","Contact",LOOKUP($K4,$AA$5:$AA$8,$AB$5:$AB$8)))</f>
        <v>Contact</v>
      </c>
      <c r="C4" s="326" t="s">
        <v>259</v>
      </c>
      <c r="D4" s="345" t="s">
        <v>260</v>
      </c>
      <c r="E4" s="327" t="s">
        <v>261</v>
      </c>
      <c r="F4" s="328" t="s">
        <v>262</v>
      </c>
      <c r="G4" s="345" t="s">
        <v>263</v>
      </c>
      <c r="H4" s="345"/>
      <c r="I4" s="345" t="s">
        <v>264</v>
      </c>
      <c r="J4" s="345" t="s">
        <v>265</v>
      </c>
      <c r="K4" s="329" cm="1">
        <f t="array" ref="K4">IF($D4="","",SUMPRODUCT(MAX(($O4:$Y4&lt;&gt;"")*$AA$3:$AK$3)))</f>
        <v>0</v>
      </c>
      <c r="L4" s="346" t="str">
        <f>IF(COUNT($O4:$Y4)=0,"",MAX($O4:$Y4))</f>
        <v/>
      </c>
      <c r="M4" s="330" t="str">
        <f ca="1">IF($L4="","",TODAY()-$L4)</f>
        <v/>
      </c>
      <c r="N4" s="325" t="str">
        <f>IF($L4="","No Record",IF($K4&gt;=1,"Live",IF($M4&gt;=90,"Stalled 90d+",IF($M4&gt;=60,"Stalled 60d+",IF($M4&gt;=30,"Stalled 30d+","In Progress")))))</f>
        <v>No Record</v>
      </c>
      <c r="O4" s="331"/>
      <c r="P4" s="331"/>
      <c r="Q4" s="331"/>
      <c r="R4" s="331"/>
      <c r="S4" s="331"/>
      <c r="T4" s="331"/>
      <c r="U4" s="331"/>
      <c r="V4" s="331"/>
      <c r="W4" s="331"/>
      <c r="X4" s="331"/>
      <c r="Y4" s="331"/>
      <c r="Z4" s="367" t="s">
        <v>266</v>
      </c>
      <c r="AL4" s="482"/>
      <c r="AM4" s="483"/>
      <c r="AN4" s="484"/>
      <c r="AO4" s="484"/>
      <c r="AP4" s="482"/>
    </row>
    <row r="5" spans="1:42" ht="15.75" customHeight="1">
      <c r="A5" s="325">
        <f>IF($D5="","",COUNTA($D$4:$D5))</f>
        <v>2</v>
      </c>
      <c r="B5" s="326" t="str">
        <f>IF($D5="","",IF($L5="","Contact",LOOKUP($K5,$AA$5:$AA$8,$AB$5:$AB$8)))</f>
        <v>In Development</v>
      </c>
      <c r="C5" s="326" t="s">
        <v>267</v>
      </c>
      <c r="D5" s="345" t="s">
        <v>268</v>
      </c>
      <c r="E5" s="332" t="s">
        <v>269</v>
      </c>
      <c r="F5" s="328" t="s">
        <v>262</v>
      </c>
      <c r="G5" s="345" t="s">
        <v>270</v>
      </c>
      <c r="H5" s="345"/>
      <c r="I5" s="345" t="s">
        <v>264</v>
      </c>
      <c r="J5" s="345" t="s">
        <v>265</v>
      </c>
      <c r="K5" s="329" cm="1">
        <f t="array" ref="K5">IF($D5="","",SUMPRODUCT(MAX(($O5:$Y5&lt;&gt;"")*$AA$3:$AK$3)))</f>
        <v>0.45</v>
      </c>
      <c r="L5" s="346">
        <f>IF(COUNT($O5:$Y5)=0,"",MAX($O5:$Y5))</f>
        <v>46237</v>
      </c>
      <c r="M5" s="330">
        <f ca="1">IF($L5="","",TODAY()-$L5)</f>
        <v>19</v>
      </c>
      <c r="N5" s="325" t="str">
        <f ca="1">IF($L5="","No Record",IF($K5&gt;=1,"Live",IF($M5&gt;=90,"Stalled 90d+",IF($M5&gt;=60,"Stalled 60d+",IF($M5&gt;=30,"Stalled 30d+","In Progress")))))</f>
        <v>In Progress</v>
      </c>
      <c r="O5" s="331">
        <v>45504</v>
      </c>
      <c r="P5" s="331">
        <v>46199</v>
      </c>
      <c r="Q5" s="331"/>
      <c r="R5" s="331">
        <v>46237</v>
      </c>
      <c r="S5" s="331"/>
      <c r="T5" s="331"/>
      <c r="U5" s="331"/>
      <c r="V5" s="331"/>
      <c r="W5" s="331"/>
      <c r="X5" s="331"/>
      <c r="Y5" s="331"/>
      <c r="Z5" s="367" t="s">
        <v>271</v>
      </c>
      <c r="AA5" s="364">
        <v>0.2</v>
      </c>
      <c r="AB5" s="363" t="s">
        <v>272</v>
      </c>
      <c r="AL5" s="482"/>
      <c r="AM5" s="483"/>
      <c r="AN5" s="484"/>
      <c r="AO5" s="484"/>
      <c r="AP5" s="482"/>
    </row>
    <row r="6" spans="1:42" ht="15.75" customHeight="1">
      <c r="A6" s="325">
        <f>IF($D6="","",COUNTA($D$4:$D6))</f>
        <v>3</v>
      </c>
      <c r="B6" s="326" t="str">
        <f>IF($D6="","",IF($L6="","Contact",LOOKUP($K6,$AA$5:$AA$8,$AB$5:$AB$8)))</f>
        <v>Contact</v>
      </c>
      <c r="C6" s="326" t="s">
        <v>273</v>
      </c>
      <c r="D6" s="345" t="s">
        <v>274</v>
      </c>
      <c r="E6" s="332" t="s">
        <v>269</v>
      </c>
      <c r="F6" s="328" t="s">
        <v>262</v>
      </c>
      <c r="G6" s="345" t="s">
        <v>270</v>
      </c>
      <c r="H6" s="345"/>
      <c r="I6" s="345" t="s">
        <v>264</v>
      </c>
      <c r="J6" s="345" t="s">
        <v>265</v>
      </c>
      <c r="K6" s="329" cm="1">
        <f t="array" ref="K6">IF($D6="","",SUMPRODUCT(MAX(($O6:$Y6&lt;&gt;"")*$AA$3:$AK$3)))</f>
        <v>0</v>
      </c>
      <c r="L6" s="346" t="str">
        <f>IF(COUNT($O6:$Y6)=0,"",MAX($O6:$Y6))</f>
        <v/>
      </c>
      <c r="M6" s="330" t="str">
        <f ca="1">IF($L6="","",TODAY()-$L6)</f>
        <v/>
      </c>
      <c r="N6" s="325" t="str">
        <f>IF($L6="","No Record",IF($K6&gt;=1,"Live",IF($M6&gt;=90,"Stalled 90d+",IF($M6&gt;=60,"Stalled 60d+",IF($M6&gt;=30,"Stalled 30d+","In Progress")))))</f>
        <v>No Record</v>
      </c>
      <c r="O6" s="331"/>
      <c r="P6" s="331"/>
      <c r="Q6" s="331"/>
      <c r="R6" s="331"/>
      <c r="S6" s="331"/>
      <c r="T6" s="331"/>
      <c r="U6" s="331"/>
      <c r="V6" s="331"/>
      <c r="W6" s="331"/>
      <c r="X6" s="331"/>
      <c r="Y6" s="331"/>
      <c r="Z6" s="367" t="s">
        <v>272</v>
      </c>
      <c r="AA6" s="364">
        <v>0.45</v>
      </c>
      <c r="AB6" s="363" t="s">
        <v>271</v>
      </c>
      <c r="AL6" s="482"/>
      <c r="AM6" s="483"/>
      <c r="AN6" s="484"/>
      <c r="AO6" s="484"/>
      <c r="AP6" s="482"/>
    </row>
    <row r="7" spans="1:42" ht="15.75" customHeight="1">
      <c r="A7" s="325">
        <f>IF($D7="","",COUNTA($D$4:$D7))</f>
        <v>4</v>
      </c>
      <c r="B7" s="326" t="str">
        <f>IF($D7="","",IF($L7="","Contact",LOOKUP($K7,$AA$5:$AA$8,$AB$5:$AB$8)))</f>
        <v>Contact</v>
      </c>
      <c r="C7" s="326" t="s">
        <v>273</v>
      </c>
      <c r="D7" s="345" t="s">
        <v>275</v>
      </c>
      <c r="E7" s="332" t="s">
        <v>269</v>
      </c>
      <c r="F7" s="328" t="s">
        <v>276</v>
      </c>
      <c r="G7" s="345" t="s">
        <v>277</v>
      </c>
      <c r="H7" s="345"/>
      <c r="I7" s="345" t="s">
        <v>264</v>
      </c>
      <c r="J7" s="345" t="s">
        <v>265</v>
      </c>
      <c r="K7" s="329" cm="1">
        <f t="array" ref="K7">IF($D7="","",SUMPRODUCT(MAX(($O7:$Y7&lt;&gt;"")*$AA$3:$AK$3)))</f>
        <v>0</v>
      </c>
      <c r="L7" s="346" t="str">
        <f>IF(COUNT($O7:$Y7)=0,"",MAX($O7:$Y7))</f>
        <v/>
      </c>
      <c r="M7" s="330" t="str">
        <f ca="1">IF($L7="","",TODAY()-$L7)</f>
        <v/>
      </c>
      <c r="N7" s="325" t="str">
        <f>IF($L7="","No Record",IF($K7&gt;=1,"Live",IF($M7&gt;=90,"Stalled 90d+",IF($M7&gt;=60,"Stalled 60d+",IF($M7&gt;=30,"Stalled 30d+","In Progress")))))</f>
        <v>No Record</v>
      </c>
      <c r="O7" s="331"/>
      <c r="P7" s="331"/>
      <c r="Q7" s="331"/>
      <c r="R7" s="331"/>
      <c r="S7" s="331"/>
      <c r="T7" s="331"/>
      <c r="U7" s="331"/>
      <c r="V7" s="331"/>
      <c r="W7" s="331"/>
      <c r="X7" s="331"/>
      <c r="Y7" s="331"/>
      <c r="Z7" s="367" t="s">
        <v>266</v>
      </c>
      <c r="AA7" s="364">
        <v>0.7</v>
      </c>
      <c r="AB7" s="363" t="s">
        <v>278</v>
      </c>
      <c r="AL7" s="482"/>
      <c r="AM7" s="483"/>
      <c r="AN7" s="484"/>
      <c r="AO7" s="484"/>
      <c r="AP7" s="482"/>
    </row>
    <row r="8" spans="1:42" ht="15.75" customHeight="1">
      <c r="A8" s="325">
        <f>IF($D8="","",COUNTA($D$4:$D8))</f>
        <v>5</v>
      </c>
      <c r="B8" s="326" t="str">
        <f>IF($D8="","",IF($L8="","Contact",LOOKUP($K8,$AA$5:$AA$8,$AB$5:$AB$8)))</f>
        <v>Contact</v>
      </c>
      <c r="C8" s="326" t="s">
        <v>279</v>
      </c>
      <c r="D8" s="345" t="s">
        <v>280</v>
      </c>
      <c r="E8" s="332" t="s">
        <v>269</v>
      </c>
      <c r="F8" s="328" t="s">
        <v>281</v>
      </c>
      <c r="G8" s="345" t="s">
        <v>263</v>
      </c>
      <c r="H8" s="345"/>
      <c r="I8" s="345" t="s">
        <v>264</v>
      </c>
      <c r="J8" s="345" t="s">
        <v>265</v>
      </c>
      <c r="K8" s="329" cm="1">
        <f t="array" ref="K8">IF($D8="","",SUMPRODUCT(MAX(($O8:$Y8&lt;&gt;"")*$AA$3:$AK$3)))</f>
        <v>0</v>
      </c>
      <c r="L8" s="346" t="str">
        <f>IF(COUNT($O8:$Y8)=0,"",MAX($O8:$Y8))</f>
        <v/>
      </c>
      <c r="M8" s="330" t="str">
        <f ca="1">IF($L8="","",TODAY()-$L8)</f>
        <v/>
      </c>
      <c r="N8" s="325" t="str">
        <f>IF($L8="","No Record",IF($K8&gt;=1,"Live",IF($M8&gt;=90,"Stalled 90d+",IF($M8&gt;=60,"Stalled 60d+",IF($M8&gt;=30,"Stalled 30d+","In Progress")))))</f>
        <v>No Record</v>
      </c>
      <c r="O8" s="331"/>
      <c r="P8" s="331"/>
      <c r="Q8" s="331"/>
      <c r="R8" s="331"/>
      <c r="S8" s="331"/>
      <c r="T8" s="331"/>
      <c r="U8" s="331"/>
      <c r="V8" s="331"/>
      <c r="W8" s="331"/>
      <c r="X8" s="331"/>
      <c r="Y8" s="331"/>
      <c r="Z8" s="367" t="s">
        <v>266</v>
      </c>
      <c r="AA8" s="364">
        <v>0.8</v>
      </c>
      <c r="AB8" s="363" t="s">
        <v>282</v>
      </c>
      <c r="AL8" s="482"/>
      <c r="AM8" s="483"/>
      <c r="AN8" s="484"/>
      <c r="AO8" s="484"/>
      <c r="AP8" s="482"/>
    </row>
    <row r="9" spans="1:42" ht="15.75" customHeight="1">
      <c r="A9" s="325">
        <f>IF($D9="","",COUNTA($D$4:$D9))</f>
        <v>6</v>
      </c>
      <c r="B9" s="326" t="str">
        <f>IF($D9="","",IF($L9="","Contact",LOOKUP($K9,$AA$5:$AA$8,$AB$5:$AB$8)))</f>
        <v>Contact</v>
      </c>
      <c r="C9" s="326"/>
      <c r="D9" s="345" t="s">
        <v>283</v>
      </c>
      <c r="E9" s="332" t="s">
        <v>269</v>
      </c>
      <c r="F9" s="328" t="s">
        <v>281</v>
      </c>
      <c r="G9" s="345"/>
      <c r="H9" s="345"/>
      <c r="I9" s="345" t="s">
        <v>264</v>
      </c>
      <c r="J9" s="345" t="s">
        <v>265</v>
      </c>
      <c r="K9" s="329" cm="1">
        <f t="array" ref="K9">IF($D9="","",SUMPRODUCT(MAX(($O9:$Y9&lt;&gt;"")*$AA$3:$AK$3)))</f>
        <v>0</v>
      </c>
      <c r="L9" s="346"/>
      <c r="M9" s="330"/>
      <c r="N9" s="325" t="str">
        <f>IF($L9="","No Record",IF($K9&gt;=1,"Live",IF($M9&gt;=90,"Stalled 90d+",IF($M9&gt;=60,"Stalled 60d+",IF($M9&gt;=30,"Stalled 30d+","In Progress")))))</f>
        <v>No Record</v>
      </c>
      <c r="O9" s="331"/>
      <c r="P9" s="331"/>
      <c r="Q9" s="331"/>
      <c r="R9" s="331"/>
      <c r="S9" s="331"/>
      <c r="T9" s="331"/>
      <c r="U9" s="331"/>
      <c r="V9" s="331"/>
      <c r="W9" s="331"/>
      <c r="X9" s="331"/>
      <c r="Y9" s="331"/>
      <c r="Z9" s="367"/>
      <c r="AA9" s="364"/>
      <c r="AB9" s="363"/>
      <c r="AL9" s="482"/>
      <c r="AM9" s="483"/>
      <c r="AN9" s="484"/>
      <c r="AO9" s="484"/>
      <c r="AP9" s="482"/>
    </row>
    <row r="10" spans="1:42" ht="15.75" customHeight="1">
      <c r="A10" s="325">
        <f>IF($D10="","",COUNTA($D$4:$D10))</f>
        <v>7</v>
      </c>
      <c r="B10" s="326" t="str">
        <f>IF($D10="","",IF($L10="","Contact",LOOKUP($K10,$AA$5:$AA$8,$AB$5:$AB$8)))</f>
        <v>Contact</v>
      </c>
      <c r="C10" s="326" t="s">
        <v>267</v>
      </c>
      <c r="D10" s="345" t="s">
        <v>284</v>
      </c>
      <c r="E10" s="332" t="s">
        <v>269</v>
      </c>
      <c r="F10" s="328" t="s">
        <v>281</v>
      </c>
      <c r="G10" s="345" t="s">
        <v>263</v>
      </c>
      <c r="H10" s="345"/>
      <c r="I10" s="345" t="s">
        <v>264</v>
      </c>
      <c r="J10" s="345" t="s">
        <v>265</v>
      </c>
      <c r="K10" s="329" cm="1">
        <f t="array" ref="K10">IF($D10="","",SUMPRODUCT(MAX(($O10:$Y10&lt;&gt;"")*$AA$3:$AK$3)))</f>
        <v>0</v>
      </c>
      <c r="L10" s="346" t="str">
        <f>IF(COUNT($O10:$Y10)=0,"",MAX($O10:$Y10))</f>
        <v/>
      </c>
      <c r="M10" s="330" t="str">
        <f ca="1">IF($L10="","",TODAY()-$L10)</f>
        <v/>
      </c>
      <c r="N10" s="325" t="str">
        <f>IF($L10="","No Record",IF($K10&gt;=1,"Live",IF($M10&gt;=90,"Stalled 90d+",IF($M10&gt;=60,"Stalled 60d+",IF($M10&gt;=30,"Stalled 30d+","In Progress")))))</f>
        <v>No Record</v>
      </c>
      <c r="O10" s="331"/>
      <c r="P10" s="331"/>
      <c r="Q10" s="331"/>
      <c r="R10" s="331"/>
      <c r="S10" s="331"/>
      <c r="T10" s="331"/>
      <c r="U10" s="331"/>
      <c r="V10" s="331"/>
      <c r="W10" s="331"/>
      <c r="X10" s="331"/>
      <c r="Y10" s="331"/>
      <c r="Z10" s="367" t="s">
        <v>266</v>
      </c>
      <c r="AL10" s="482"/>
      <c r="AM10" s="483"/>
      <c r="AN10" s="484"/>
      <c r="AO10" s="484"/>
      <c r="AP10" s="482"/>
    </row>
    <row r="11" spans="1:42" ht="15.75" customHeight="1">
      <c r="A11" s="325">
        <f>IF($D11="","",COUNTA($D$4:$D11))</f>
        <v>8</v>
      </c>
      <c r="B11" s="326" t="str">
        <f>IF($D11="","",IF($L11="","Contact",LOOKUP($K11,$AA$5:$AA$8,$AB$5:$AB$8)))</f>
        <v>Contact</v>
      </c>
      <c r="C11" s="326" t="s">
        <v>285</v>
      </c>
      <c r="D11" s="345" t="s">
        <v>286</v>
      </c>
      <c r="E11" s="332" t="s">
        <v>269</v>
      </c>
      <c r="F11" s="328" t="s">
        <v>281</v>
      </c>
      <c r="G11" s="345" t="s">
        <v>263</v>
      </c>
      <c r="H11" s="345"/>
      <c r="I11" s="345" t="s">
        <v>264</v>
      </c>
      <c r="J11" s="345" t="s">
        <v>265</v>
      </c>
      <c r="K11" s="329" cm="1">
        <f t="array" ref="K11">IF($D11="","",SUMPRODUCT(MAX(($O11:$Y11&lt;&gt;"")*$AA$3:$AK$3)))</f>
        <v>0</v>
      </c>
      <c r="L11" s="346" t="str">
        <f>IF(COUNT($O11:$Y11)=0,"",MAX($O11:$Y11))</f>
        <v/>
      </c>
      <c r="M11" s="330" t="str">
        <f ca="1">IF($L11="","",TODAY()-$L11)</f>
        <v/>
      </c>
      <c r="N11" s="325" t="str">
        <f>IF($L11="","No Record",IF($K11&gt;=1,"Live",IF($M11&gt;=90,"Stalled 90d+",IF($M11&gt;=60,"Stalled 60d+",IF($M11&gt;=30,"Stalled 30d+","In Progress")))))</f>
        <v>No Record</v>
      </c>
      <c r="O11" s="331"/>
      <c r="P11" s="331"/>
      <c r="Q11" s="331"/>
      <c r="R11" s="331"/>
      <c r="S11" s="331"/>
      <c r="T11" s="331"/>
      <c r="U11" s="331"/>
      <c r="V11" s="331"/>
      <c r="W11" s="331"/>
      <c r="X11" s="331"/>
      <c r="Y11" s="331"/>
      <c r="Z11" s="367" t="s">
        <v>266</v>
      </c>
      <c r="AL11" s="482"/>
      <c r="AM11" s="483"/>
      <c r="AN11" s="484"/>
      <c r="AO11" s="484"/>
      <c r="AP11" s="482"/>
    </row>
    <row r="12" spans="1:42" ht="15.75" customHeight="1">
      <c r="A12" s="325">
        <f>IF($D12="","",COUNTA($D$4:$D12))</f>
        <v>9</v>
      </c>
      <c r="B12" s="326" t="str">
        <f>IF($D12="","",IF($L12="","Contact",LOOKUP($K12,$AA$5:$AA$8,$AB$5:$AB$8)))</f>
        <v>Contact</v>
      </c>
      <c r="C12" s="393"/>
      <c r="D12" s="345" t="s">
        <v>287</v>
      </c>
      <c r="E12" s="332" t="s">
        <v>269</v>
      </c>
      <c r="F12" s="328" t="s">
        <v>281</v>
      </c>
      <c r="G12" s="345" t="s">
        <v>263</v>
      </c>
      <c r="H12" s="345"/>
      <c r="I12" s="345" t="s">
        <v>264</v>
      </c>
      <c r="J12" s="345" t="s">
        <v>265</v>
      </c>
      <c r="K12" s="329" cm="1">
        <f t="array" ref="K12">IF($D12="","",SUMPRODUCT(MAX(($O12:$Y12&lt;&gt;"")*$AA$3:$AK$3)))</f>
        <v>0</v>
      </c>
      <c r="L12" s="346" t="str">
        <f>IF(COUNT($O12:$Y12)=0,"",MAX($O12:$Y12))</f>
        <v/>
      </c>
      <c r="M12" s="330" t="str">
        <f ca="1">IF($L12="","",TODAY()-$L12)</f>
        <v/>
      </c>
      <c r="N12" s="325" t="str">
        <f>IF($L12="","No Record",IF($K12&gt;=1,"Live",IF($M12&gt;=90,"Stalled 90d+",IF($M12&gt;=60,"Stalled 60d+",IF($M12&gt;=30,"Stalled 30d+","In Progress")))))</f>
        <v>No Record</v>
      </c>
      <c r="O12" s="331"/>
      <c r="P12" s="331"/>
      <c r="Q12" s="331"/>
      <c r="R12" s="331"/>
      <c r="S12" s="331"/>
      <c r="T12" s="331"/>
      <c r="U12" s="331"/>
      <c r="V12" s="331"/>
      <c r="W12" s="331"/>
      <c r="X12" s="331"/>
      <c r="Y12" s="331"/>
      <c r="Z12" s="367" t="s">
        <v>266</v>
      </c>
      <c r="AL12" s="482"/>
      <c r="AM12" s="483"/>
      <c r="AN12" s="484"/>
      <c r="AO12" s="484"/>
      <c r="AP12" s="482"/>
    </row>
    <row r="13" spans="1:42" ht="15.75" customHeight="1">
      <c r="A13" s="325">
        <f>IF($D13="","",COUNTA($D$4:$D13))</f>
        <v>10</v>
      </c>
      <c r="B13" s="326" t="str">
        <f>IF($D13="","",IF($L13="","Contact",LOOKUP($K13,$AA$5:$AA$8,$AB$5:$AB$8)))</f>
        <v>Testing</v>
      </c>
      <c r="C13" s="326" t="s">
        <v>288</v>
      </c>
      <c r="D13" s="345" t="s">
        <v>289</v>
      </c>
      <c r="E13" s="333" t="s">
        <v>290</v>
      </c>
      <c r="F13" s="328" t="s">
        <v>262</v>
      </c>
      <c r="G13" s="345" t="s">
        <v>263</v>
      </c>
      <c r="H13" s="345"/>
      <c r="I13" s="345" t="s">
        <v>291</v>
      </c>
      <c r="J13" s="345" t="s">
        <v>292</v>
      </c>
      <c r="K13" s="329" cm="1">
        <f t="array" ref="K13">IF($D13="","",SUMPRODUCT(MAX(($O13:$Y13&lt;&gt;"")*$AA$3:$AK$3)))</f>
        <v>0.75</v>
      </c>
      <c r="L13" s="346">
        <f>IF(COUNT($O13:$Y13)=0,"",MAX($O13:$Y13))</f>
        <v>45965</v>
      </c>
      <c r="M13" s="330">
        <f ca="1">IF($L13="","",TODAY()-$L13)</f>
        <v>291</v>
      </c>
      <c r="N13" s="325" t="str">
        <f ca="1">IF($L13="","No Record",IF($K13&gt;=1,"Live",IF($M13&gt;=90,"Stalled 90d+",IF($M13&gt;=60,"Stalled 60d+",IF($M13&gt;=30,"Stalled 30d+","In Progress")))))</f>
        <v>Stalled 90d+</v>
      </c>
      <c r="O13" s="331"/>
      <c r="P13" s="331"/>
      <c r="Q13" s="331"/>
      <c r="R13" s="331">
        <v>45962</v>
      </c>
      <c r="S13" s="331">
        <v>45962</v>
      </c>
      <c r="T13" s="331">
        <v>45963</v>
      </c>
      <c r="U13" s="331">
        <v>45964</v>
      </c>
      <c r="V13" s="331">
        <v>45965</v>
      </c>
      <c r="W13" s="331"/>
      <c r="X13" s="331"/>
      <c r="Y13" s="331"/>
      <c r="Z13" s="367" t="s">
        <v>278</v>
      </c>
      <c r="AL13" s="482"/>
      <c r="AM13" s="483"/>
      <c r="AN13" s="484"/>
      <c r="AO13" s="484"/>
      <c r="AP13" s="482"/>
    </row>
    <row r="14" spans="1:42" ht="15.75" customHeight="1">
      <c r="A14" s="325"/>
      <c r="B14" s="326" t="str">
        <f>IF($D14="","",IF($L14="","Contact",LOOKUP($K14,$AA$5:$AA$8,$AB$5:$AB$8)))</f>
        <v>NDA/Contract</v>
      </c>
      <c r="C14" s="326" t="s">
        <v>293</v>
      </c>
      <c r="D14" s="345" t="s">
        <v>294</v>
      </c>
      <c r="E14" s="333" t="s">
        <v>290</v>
      </c>
      <c r="F14" s="328" t="s">
        <v>262</v>
      </c>
      <c r="G14" s="345" t="s">
        <v>270</v>
      </c>
      <c r="H14" s="345"/>
      <c r="I14" s="345" t="s">
        <v>291</v>
      </c>
      <c r="J14" s="345" t="s">
        <v>295</v>
      </c>
      <c r="K14" s="329" cm="1">
        <f t="array" ref="K14">IF($D14="","",SUMPRODUCT(MAX(($O14:$Y14&lt;&gt;"")*$AA$3:$AK$3)))</f>
        <v>0.2</v>
      </c>
      <c r="L14" s="346">
        <f>IF(COUNT($O14:$Y14)=0,"",MAX($O14:$Y14))</f>
        <v>46246</v>
      </c>
      <c r="M14" s="330"/>
      <c r="N14" s="325" t="str">
        <f>IF($L14="","No Record",IF($K14&gt;=1,"Live",IF($M14&gt;=90,"Stalled 90d+",IF($M14&gt;=60,"Stalled 60d+",IF($M14&gt;=30,"Stalled 30d+","In Progress")))))</f>
        <v>In Progress</v>
      </c>
      <c r="O14" s="331">
        <v>46246</v>
      </c>
      <c r="P14" s="331"/>
      <c r="Q14" s="331"/>
      <c r="R14" s="331"/>
      <c r="S14" s="331"/>
      <c r="T14" s="331"/>
      <c r="U14" s="331"/>
      <c r="V14" s="331"/>
      <c r="W14" s="331"/>
      <c r="X14" s="331"/>
      <c r="Y14" s="331"/>
      <c r="Z14" s="367"/>
      <c r="AL14" s="482"/>
      <c r="AM14" s="483"/>
      <c r="AN14" s="484"/>
      <c r="AO14" s="484"/>
      <c r="AP14" s="482"/>
    </row>
    <row r="15" spans="1:42" ht="15" customHeight="1">
      <c r="A15" s="325">
        <f>IF($D15="","",COUNTA($D$4:$D15))</f>
        <v>12</v>
      </c>
      <c r="B15" s="326" t="str">
        <f>IF($D15="","",IF($L15="","Contact",LOOKUP($K15,$AA$5:$AA$8,$AB$5:$AB$8)))</f>
        <v>Contact</v>
      </c>
      <c r="C15" s="326" t="s">
        <v>296</v>
      </c>
      <c r="D15" s="345" t="s">
        <v>297</v>
      </c>
      <c r="E15" s="333" t="s">
        <v>290</v>
      </c>
      <c r="F15" s="328" t="s">
        <v>262</v>
      </c>
      <c r="G15" s="345" t="s">
        <v>263</v>
      </c>
      <c r="H15" s="345"/>
      <c r="I15" s="345" t="s">
        <v>291</v>
      </c>
      <c r="J15" s="345" t="s">
        <v>298</v>
      </c>
      <c r="K15" s="329" cm="1">
        <f t="array" ref="K15">IF($D15="","",SUMPRODUCT(MAX(($O15:$Y15&lt;&gt;"")*$AA$3:$AK$3)))</f>
        <v>0</v>
      </c>
      <c r="L15" s="346" t="str">
        <f>IF(COUNT($O15:$Y15)=0,"",MAX($O15:$Y15))</f>
        <v/>
      </c>
      <c r="M15" s="330" t="str">
        <f ca="1">IF($L15="","",TODAY()-$L15)</f>
        <v/>
      </c>
      <c r="N15" s="325" t="str">
        <f>IF($L15="","No Record",IF($K15&gt;=1,"Live",IF($M15&gt;=90,"Stalled 90d+",IF($M15&gt;=60,"Stalled 60d+",IF($M15&gt;=30,"Stalled 30d+","In Progress")))))</f>
        <v>No Record</v>
      </c>
      <c r="O15" s="331"/>
      <c r="P15" s="331"/>
      <c r="Q15" s="331"/>
      <c r="R15" s="331"/>
      <c r="S15" s="331"/>
      <c r="T15" s="331"/>
      <c r="U15" s="331"/>
      <c r="V15" s="331"/>
      <c r="W15" s="331"/>
      <c r="X15" s="331"/>
      <c r="Y15" s="331"/>
      <c r="Z15" s="367" t="s">
        <v>271</v>
      </c>
      <c r="AL15" s="482"/>
      <c r="AM15" s="483"/>
      <c r="AN15" s="484"/>
      <c r="AO15" s="484"/>
      <c r="AP15" s="482"/>
    </row>
    <row r="16" spans="1:42">
      <c r="A16" s="325">
        <f>IF($D16="","",COUNTA($D$4:$D16))</f>
        <v>13</v>
      </c>
      <c r="B16" s="326" t="str">
        <f>IF($D16="","",IF($L16="","Contact",LOOKUP($K16,$AA$5:$AA$8,$AB$5:$AB$8)))</f>
        <v>Contact</v>
      </c>
      <c r="C16" s="326" t="s">
        <v>299</v>
      </c>
      <c r="D16" s="345" t="s">
        <v>300</v>
      </c>
      <c r="E16" s="333" t="s">
        <v>290</v>
      </c>
      <c r="F16" s="328" t="s">
        <v>262</v>
      </c>
      <c r="G16" s="345" t="s">
        <v>263</v>
      </c>
      <c r="H16" s="345"/>
      <c r="I16" s="345" t="s">
        <v>291</v>
      </c>
      <c r="J16" s="345" t="s">
        <v>298</v>
      </c>
      <c r="K16" s="329" cm="1">
        <f t="array" ref="K16">IF($D16="","",SUMPRODUCT(MAX(($O16:$Y16&lt;&gt;"")*$AA$3:$AK$3)))</f>
        <v>0</v>
      </c>
      <c r="L16" s="346" t="str">
        <f>IF(COUNT($O16:$Y16)=0,"",MAX($O16:$Y16))</f>
        <v/>
      </c>
      <c r="M16" s="330" t="str">
        <f ca="1">IF($L16="","",TODAY()-$L16)</f>
        <v/>
      </c>
      <c r="N16" s="325" t="str">
        <f>IF($L16="","No Record",IF($K16&gt;=1,"Live",IF($M16&gt;=90,"Stalled 90d+",IF($M16&gt;=60,"Stalled 60d+",IF($M16&gt;=30,"Stalled 30d+","In Progress")))))</f>
        <v>No Record</v>
      </c>
      <c r="O16" s="331"/>
      <c r="P16" s="331"/>
      <c r="Q16" s="331"/>
      <c r="R16" s="331"/>
      <c r="S16" s="331"/>
      <c r="T16" s="331"/>
      <c r="U16" s="331"/>
      <c r="V16" s="331"/>
      <c r="W16" s="331"/>
      <c r="X16" s="331"/>
      <c r="Y16" s="331"/>
      <c r="Z16" s="367" t="s">
        <v>272</v>
      </c>
      <c r="AL16" s="482"/>
      <c r="AM16" s="483"/>
      <c r="AN16" s="484"/>
      <c r="AO16" s="484"/>
      <c r="AP16" s="482"/>
    </row>
    <row r="17" spans="1:42" ht="15.75" customHeight="1">
      <c r="A17" s="325">
        <f>IF($D17="","",COUNTA($D$4:$D17))</f>
        <v>14</v>
      </c>
      <c r="B17" s="326" t="str">
        <f>IF($D17="","",IF($L17="","Contact",LOOKUP($K17,$AA$5:$AA$8,$AB$5:$AB$8)))</f>
        <v>Contact</v>
      </c>
      <c r="C17" s="326" t="s">
        <v>301</v>
      </c>
      <c r="D17" s="345" t="s">
        <v>302</v>
      </c>
      <c r="E17" s="333" t="s">
        <v>290</v>
      </c>
      <c r="F17" s="328" t="s">
        <v>262</v>
      </c>
      <c r="G17" s="345" t="s">
        <v>263</v>
      </c>
      <c r="H17" s="345"/>
      <c r="I17" s="345" t="s">
        <v>291</v>
      </c>
      <c r="J17" s="345" t="s">
        <v>298</v>
      </c>
      <c r="K17" s="329" cm="1">
        <f t="array" ref="K17">IF($D17="","",SUMPRODUCT(MAX(($O17:$Y17&lt;&gt;"")*$AA$3:$AK$3)))</f>
        <v>0</v>
      </c>
      <c r="L17" s="346" t="str">
        <f>IF(COUNT($O17:$Y17)=0,"",MAX($O17:$Y17))</f>
        <v/>
      </c>
      <c r="M17" s="330" t="str">
        <f ca="1">IF($L17="","",TODAY()-$L17)</f>
        <v/>
      </c>
      <c r="N17" s="325" t="str">
        <f>IF($L17="","No Record",IF($K17&gt;=1,"Live",IF($M17&gt;=90,"Stalled 90d+",IF($M17&gt;=60,"Stalled 60d+",IF($M17&gt;=30,"Stalled 30d+","In Progress")))))</f>
        <v>No Record</v>
      </c>
      <c r="O17" s="331"/>
      <c r="P17" s="331"/>
      <c r="Q17" s="331"/>
      <c r="R17" s="331"/>
      <c r="S17" s="331"/>
      <c r="T17" s="331"/>
      <c r="U17" s="331"/>
      <c r="V17" s="331"/>
      <c r="W17" s="331"/>
      <c r="X17" s="331"/>
      <c r="Y17" s="331"/>
      <c r="Z17" s="367" t="s">
        <v>272</v>
      </c>
      <c r="AL17" s="482"/>
      <c r="AM17" s="483"/>
      <c r="AN17" s="484"/>
      <c r="AO17" s="484"/>
      <c r="AP17" s="482"/>
    </row>
    <row r="18" spans="1:42" ht="15.75" customHeight="1">
      <c r="A18" s="325">
        <f>IF($D18="","",COUNTA($D$4:$D18))</f>
        <v>15</v>
      </c>
      <c r="B18" s="326" t="str">
        <f>IF($D18="","",IF($L18="","Contact",LOOKUP($K18,$AA$5:$AA$8,$AB$5:$AB$8)))</f>
        <v>Contact</v>
      </c>
      <c r="C18" s="326" t="s">
        <v>279</v>
      </c>
      <c r="D18" s="345" t="s">
        <v>303</v>
      </c>
      <c r="E18" s="333" t="s">
        <v>290</v>
      </c>
      <c r="F18" s="328" t="s">
        <v>276</v>
      </c>
      <c r="G18" s="345" t="s">
        <v>277</v>
      </c>
      <c r="H18" s="345" t="s">
        <v>274</v>
      </c>
      <c r="I18" s="345" t="s">
        <v>291</v>
      </c>
      <c r="J18" s="345" t="s">
        <v>298</v>
      </c>
      <c r="K18" s="329" cm="1">
        <f t="array" ref="K18">IF($D18="","",SUMPRODUCT(MAX(($O18:$Y18&lt;&gt;"")*$AA$3:$AK$3)))</f>
        <v>0</v>
      </c>
      <c r="L18" s="346" t="str">
        <f>IF(COUNT($O18:$Y18)=0,"",MAX($O18:$Y18))</f>
        <v/>
      </c>
      <c r="M18" s="330" t="str">
        <f ca="1">IF($L18="","",TODAY()-$L18)</f>
        <v/>
      </c>
      <c r="N18" s="325" t="str">
        <f>IF($L18="","No Record",IF($K18&gt;=1,"Live",IF($M18&gt;=90,"Stalled 90d+",IF($M18&gt;=60,"Stalled 60d+",IF($M18&gt;=30,"Stalled 30d+","In Progress")))))</f>
        <v>No Record</v>
      </c>
      <c r="O18" s="331"/>
      <c r="P18" s="331"/>
      <c r="Q18" s="331"/>
      <c r="R18" s="331"/>
      <c r="S18" s="331"/>
      <c r="T18" s="331"/>
      <c r="U18" s="331"/>
      <c r="V18" s="331"/>
      <c r="W18" s="331"/>
      <c r="X18" s="331"/>
      <c r="Y18" s="331"/>
      <c r="Z18" s="367" t="s">
        <v>272</v>
      </c>
      <c r="AL18" s="482"/>
      <c r="AM18" s="483"/>
      <c r="AN18" s="484"/>
      <c r="AO18" s="484"/>
      <c r="AP18" s="482"/>
    </row>
    <row r="19" spans="1:42" ht="15.75" customHeight="1">
      <c r="A19" s="325">
        <f>IF($D19="","",COUNTA($D$4:$D19))</f>
        <v>16</v>
      </c>
      <c r="B19" s="326" t="str">
        <f>IF($D19="","",IF($L19="","Contact",LOOKUP($K19,$AA$5:$AA$8,$AB$5:$AB$8)))</f>
        <v>In Development</v>
      </c>
      <c r="C19" s="326" t="s">
        <v>301</v>
      </c>
      <c r="D19" s="345" t="s">
        <v>304</v>
      </c>
      <c r="E19" s="333" t="s">
        <v>290</v>
      </c>
      <c r="F19" s="328" t="s">
        <v>262</v>
      </c>
      <c r="G19" s="345" t="s">
        <v>305</v>
      </c>
      <c r="H19" s="345"/>
      <c r="I19" s="345" t="s">
        <v>291</v>
      </c>
      <c r="J19" s="345" t="s">
        <v>298</v>
      </c>
      <c r="K19" s="329" cm="1">
        <f t="array" ref="K19">IF($D19="","",SUMPRODUCT(MAX(($O19:$Y19&lt;&gt;"")*$AA$3:$AK$3)))</f>
        <v>0.5</v>
      </c>
      <c r="L19" s="346">
        <f>IF(COUNT($O19:$Y19)=0,"",MAX($O19:$Y19))</f>
        <v>46253</v>
      </c>
      <c r="M19" s="330">
        <f ca="1">IF($L19="","",TODAY()-$L19)</f>
        <v>3</v>
      </c>
      <c r="N19" s="325" t="str">
        <f ca="1">IF($L19="","No Record",IF($K19&gt;=1,"Live",IF($M19&gt;=90,"Stalled 90d+",IF($M19&gt;=60,"Stalled 60d+",IF($M19&gt;=30,"Stalled 30d+","In Progress")))))</f>
        <v>In Progress</v>
      </c>
      <c r="O19" s="331">
        <v>46252</v>
      </c>
      <c r="P19" s="331">
        <v>46253</v>
      </c>
      <c r="Q19" s="331"/>
      <c r="R19" s="331">
        <v>46253</v>
      </c>
      <c r="S19" s="331">
        <v>46253</v>
      </c>
      <c r="T19" s="331"/>
      <c r="U19" s="331"/>
      <c r="V19" s="331"/>
      <c r="W19" s="331"/>
      <c r="X19" s="331"/>
      <c r="Y19" s="331"/>
      <c r="Z19" s="367" t="s">
        <v>272</v>
      </c>
      <c r="AL19" s="482"/>
      <c r="AM19" s="483"/>
      <c r="AN19" s="484"/>
      <c r="AO19" s="484"/>
      <c r="AP19" s="482"/>
    </row>
    <row r="20" spans="1:42" ht="15.75" customHeight="1">
      <c r="A20" s="325">
        <f>IF($D20="","",COUNTA($D$4:$D20))</f>
        <v>17</v>
      </c>
      <c r="B20" s="326" t="str">
        <f>IF($D20="","",IF($L20="","Contact",LOOKUP($K20,$AA$5:$AA$8,$AB$5:$AB$8)))</f>
        <v>NDA/Contract</v>
      </c>
      <c r="C20" s="326" t="s">
        <v>279</v>
      </c>
      <c r="D20" s="345" t="s">
        <v>306</v>
      </c>
      <c r="E20" s="333" t="s">
        <v>290</v>
      </c>
      <c r="F20" s="328" t="s">
        <v>276</v>
      </c>
      <c r="G20" s="345" t="s">
        <v>307</v>
      </c>
      <c r="H20" s="345"/>
      <c r="I20" s="345" t="s">
        <v>291</v>
      </c>
      <c r="J20" s="345" t="s">
        <v>298</v>
      </c>
      <c r="K20" s="329" cm="1">
        <f t="array" ref="K20">IF($D20="","",SUMPRODUCT(MAX(($O20:$Y20&lt;&gt;"")*$AA$3:$AK$3)))</f>
        <v>0.2</v>
      </c>
      <c r="L20" s="346">
        <f>IF(COUNT($O20:$Y20)=0,"",MAX($O20:$Y20))</f>
        <v>45898</v>
      </c>
      <c r="M20" s="330">
        <f ca="1">IF($L20="","",TODAY()-$L20)</f>
        <v>358</v>
      </c>
      <c r="N20" s="325" t="str">
        <f ca="1">IF($L20="","No Record",IF($K20&gt;=1,"Live",IF($M20&gt;=90,"Stalled 90d+",IF($M20&gt;=60,"Stalled 60d+",IF($M20&gt;=30,"Stalled 30d+","In Progress")))))</f>
        <v>Stalled 90d+</v>
      </c>
      <c r="O20" s="331">
        <v>45898</v>
      </c>
      <c r="P20" s="331"/>
      <c r="Q20" s="331"/>
      <c r="R20" s="331"/>
      <c r="S20" s="331"/>
      <c r="T20" s="331"/>
      <c r="U20" s="331"/>
      <c r="V20" s="331"/>
      <c r="W20" s="331"/>
      <c r="X20" s="331"/>
      <c r="Y20" s="331"/>
      <c r="Z20" s="367" t="s">
        <v>272</v>
      </c>
      <c r="AL20" s="482"/>
      <c r="AM20" s="483"/>
      <c r="AN20" s="484"/>
      <c r="AO20" s="484"/>
      <c r="AP20" s="482"/>
    </row>
    <row r="21" spans="1:42" ht="15.75" customHeight="1">
      <c r="A21" s="325">
        <f>IF($D21="","",COUNTA($D$4:$D21))</f>
        <v>18</v>
      </c>
      <c r="B21" s="326" t="str">
        <f>IF($D21="","",IF($L21="","Contact",LOOKUP($K21,$AA$5:$AA$8,$AB$5:$AB$8)))</f>
        <v>Contact</v>
      </c>
      <c r="C21" s="326" t="s">
        <v>308</v>
      </c>
      <c r="D21" s="345" t="s">
        <v>309</v>
      </c>
      <c r="E21" s="333" t="s">
        <v>290</v>
      </c>
      <c r="F21" s="328" t="s">
        <v>276</v>
      </c>
      <c r="G21" s="345" t="s">
        <v>310</v>
      </c>
      <c r="H21" s="345" t="s">
        <v>274</v>
      </c>
      <c r="I21" s="345" t="s">
        <v>291</v>
      </c>
      <c r="J21" s="345" t="s">
        <v>298</v>
      </c>
      <c r="K21" s="329" cm="1">
        <f t="array" ref="K21">IF($D21="","",SUMPRODUCT(MAX(($O21:$Y21&lt;&gt;"")*$AA$3:$AK$3)))</f>
        <v>0</v>
      </c>
      <c r="L21" s="346" t="str">
        <f>IF(COUNT($O21:$Y21)=0,"",MAX($O21:$Y21))</f>
        <v/>
      </c>
      <c r="M21" s="330" t="str">
        <f ca="1">IF($L21="","",TODAY()-$L21)</f>
        <v/>
      </c>
      <c r="N21" s="325" t="str">
        <f>IF($L21="","No Record",IF($K21&gt;=1,"Live",IF($M21&gt;=90,"Stalled 90d+",IF($M21&gt;=60,"Stalled 60d+",IF($M21&gt;=30,"Stalled 30d+","In Progress")))))</f>
        <v>No Record</v>
      </c>
      <c r="O21" s="331"/>
      <c r="P21" s="331"/>
      <c r="Q21" s="331"/>
      <c r="R21" s="331"/>
      <c r="S21" s="331"/>
      <c r="T21" s="331"/>
      <c r="U21" s="331"/>
      <c r="V21" s="331"/>
      <c r="W21" s="331"/>
      <c r="X21" s="331"/>
      <c r="Y21" s="331"/>
      <c r="Z21" s="367" t="s">
        <v>272</v>
      </c>
      <c r="AL21" s="482"/>
      <c r="AM21" s="483"/>
      <c r="AN21" s="484"/>
      <c r="AO21" s="484"/>
      <c r="AP21" s="482"/>
    </row>
    <row r="22" spans="1:42" ht="15.75" customHeight="1">
      <c r="A22" s="325">
        <f>IF($D22="","",COUNTA($D$4:$D22))</f>
        <v>19</v>
      </c>
      <c r="B22" s="326" t="str">
        <f>IF($D22="","",IF($L22="","Contact",LOOKUP($K22,$AA$5:$AA$8,$AB$5:$AB$8)))</f>
        <v>Contact</v>
      </c>
      <c r="C22" s="326" t="s">
        <v>151</v>
      </c>
      <c r="D22" s="345" t="s">
        <v>311</v>
      </c>
      <c r="E22" s="333" t="s">
        <v>290</v>
      </c>
      <c r="F22" s="328" t="s">
        <v>276</v>
      </c>
      <c r="G22" s="345" t="s">
        <v>312</v>
      </c>
      <c r="H22" s="345"/>
      <c r="I22" s="345" t="s">
        <v>291</v>
      </c>
      <c r="J22" s="345" t="s">
        <v>298</v>
      </c>
      <c r="K22" s="329" cm="1">
        <f t="array" ref="K22">IF($D22="","",SUMPRODUCT(MAX(($O22:$Y22&lt;&gt;"")*$AA$3:$AK$3)))</f>
        <v>0</v>
      </c>
      <c r="L22" s="346" t="str">
        <f>IF(COUNT($O22:$Y22)=0,"",MAX($O22:$Y22))</f>
        <v/>
      </c>
      <c r="M22" s="330" t="str">
        <f ca="1">IF($L22="","",TODAY()-$L22)</f>
        <v/>
      </c>
      <c r="N22" s="325" t="str">
        <f>IF($L22="","No Record",IF($K22&gt;=1,"Live",IF($M22&gt;=90,"Stalled 90d+",IF($M22&gt;=60,"Stalled 60d+",IF($M22&gt;=30,"Stalled 30d+","In Progress")))))</f>
        <v>No Record</v>
      </c>
      <c r="O22" s="331"/>
      <c r="P22" s="331"/>
      <c r="Q22" s="331"/>
      <c r="R22" s="331"/>
      <c r="S22" s="331"/>
      <c r="T22" s="331"/>
      <c r="U22" s="331"/>
      <c r="V22" s="331"/>
      <c r="W22" s="331"/>
      <c r="X22" s="331"/>
      <c r="Y22" s="331"/>
      <c r="Z22" s="367" t="s">
        <v>272</v>
      </c>
      <c r="AL22" s="482"/>
      <c r="AM22" s="483"/>
      <c r="AN22" s="484"/>
      <c r="AO22" s="484"/>
      <c r="AP22" s="482"/>
    </row>
    <row r="23" spans="1:42" ht="15.75" customHeight="1">
      <c r="A23" s="325">
        <f>IF($D23="","",COUNTA($D$4:$D23))</f>
        <v>20</v>
      </c>
      <c r="B23" s="326" t="str">
        <f>IF($D23="","",IF($L23="","Contact",LOOKUP($K23,$AA$5:$AA$8,$AB$5:$AB$8)))</f>
        <v>Live</v>
      </c>
      <c r="C23" s="326" t="s">
        <v>259</v>
      </c>
      <c r="D23" s="345" t="s">
        <v>313</v>
      </c>
      <c r="E23" s="333" t="s">
        <v>290</v>
      </c>
      <c r="F23" s="328" t="s">
        <v>262</v>
      </c>
      <c r="G23" s="345" t="s">
        <v>277</v>
      </c>
      <c r="H23" s="345"/>
      <c r="I23" s="345" t="s">
        <v>291</v>
      </c>
      <c r="J23" s="345" t="s">
        <v>295</v>
      </c>
      <c r="K23" s="329" cm="1">
        <f t="array" ref="K23">IF($D23="","",SUMPRODUCT(MAX(($O23:$Y23&lt;&gt;"")*$AA$3:$AK$3)))</f>
        <v>0.8</v>
      </c>
      <c r="L23" s="346">
        <f>IF(COUNT($O23:$Y23)=0,"",MAX($O23:$Y23))</f>
        <v>46253</v>
      </c>
      <c r="M23" s="330">
        <f ca="1">IF($L23="","",TODAY()-$L23)</f>
        <v>3</v>
      </c>
      <c r="N23" s="325" t="str">
        <f ca="1">IF($L23="","No Record",IF($K23&gt;=1,"Live",IF($M23&gt;=90,"Stalled 90d+",IF($M23&gt;=60,"Stalled 60d+",IF($M23&gt;=30,"Stalled 30d+","In Progress")))))</f>
        <v>In Progress</v>
      </c>
      <c r="O23" s="331"/>
      <c r="P23" s="331"/>
      <c r="Q23" s="331"/>
      <c r="R23" s="331"/>
      <c r="S23" s="331"/>
      <c r="T23" s="331"/>
      <c r="U23" s="331"/>
      <c r="V23" s="331">
        <v>46253</v>
      </c>
      <c r="W23" s="331">
        <v>46253</v>
      </c>
      <c r="X23" s="331"/>
      <c r="Y23" s="331"/>
      <c r="Z23" s="367" t="s">
        <v>266</v>
      </c>
      <c r="AL23" s="482"/>
      <c r="AM23" s="483"/>
      <c r="AN23" s="484"/>
      <c r="AO23" s="484"/>
      <c r="AP23" s="482"/>
    </row>
    <row r="24" spans="1:42" ht="15.75" customHeight="1">
      <c r="A24" s="325">
        <f>IF($D24="","",COUNTA($D$4:$D24))</f>
        <v>21</v>
      </c>
      <c r="B24" s="326" t="str">
        <f>IF($D24="","",IF($L24="","Contact",LOOKUP($K24,$AA$5:$AA$8,$AB$5:$AB$8)))</f>
        <v>Contact</v>
      </c>
      <c r="C24" s="326" t="s">
        <v>273</v>
      </c>
      <c r="D24" s="345" t="s">
        <v>314</v>
      </c>
      <c r="E24" s="333" t="s">
        <v>290</v>
      </c>
      <c r="F24" s="328" t="s">
        <v>262</v>
      </c>
      <c r="G24" s="345" t="s">
        <v>263</v>
      </c>
      <c r="H24" s="345" t="s">
        <v>274</v>
      </c>
      <c r="I24" s="345" t="s">
        <v>291</v>
      </c>
      <c r="J24" s="345" t="s">
        <v>295</v>
      </c>
      <c r="K24" s="329" cm="1">
        <f t="array" ref="K24">IF($D24="","",SUMPRODUCT(MAX(($O24:$Y24&lt;&gt;"")*$AA$3:$AK$3)))</f>
        <v>0</v>
      </c>
      <c r="L24" s="346" t="str">
        <f>IF(COUNT($O24:$Y24)=0,"",MAX($O24:$Y24))</f>
        <v/>
      </c>
      <c r="M24" s="330" t="str">
        <f ca="1">IF($L24="","",TODAY()-$L24)</f>
        <v/>
      </c>
      <c r="N24" s="325" t="str">
        <f>IF($L24="","No Record",IF($K24&gt;=1,"Live",IF($M24&gt;=90,"Stalled 90d+",IF($M24&gt;=60,"Stalled 60d+",IF($M24&gt;=30,"Stalled 30d+","In Progress")))))</f>
        <v>No Record</v>
      </c>
      <c r="O24" s="331"/>
      <c r="P24" s="331"/>
      <c r="Q24" s="331"/>
      <c r="R24" s="331"/>
      <c r="S24" s="331"/>
      <c r="T24" s="331"/>
      <c r="U24" s="331"/>
      <c r="V24" s="331"/>
      <c r="W24" s="331"/>
      <c r="X24" s="331"/>
      <c r="Y24" s="331"/>
      <c r="Z24" s="367" t="s">
        <v>266</v>
      </c>
      <c r="AL24" s="482"/>
      <c r="AM24" s="483"/>
      <c r="AN24" s="484"/>
      <c r="AO24" s="484"/>
      <c r="AP24" s="482"/>
    </row>
    <row r="25" spans="1:42" ht="15.75" customHeight="1">
      <c r="A25" s="325">
        <f>IF($D25="","",COUNTA($D$4:$D25))</f>
        <v>22</v>
      </c>
      <c r="B25" s="326" t="str">
        <f>IF($D25="","",IF($L25="","Contact",LOOKUP($K25,$AA$5:$AA$8,$AB$5:$AB$8)))</f>
        <v>Contact</v>
      </c>
      <c r="C25" s="326" t="s">
        <v>151</v>
      </c>
      <c r="D25" s="345" t="s">
        <v>315</v>
      </c>
      <c r="E25" s="333" t="s">
        <v>290</v>
      </c>
      <c r="F25" s="328" t="s">
        <v>262</v>
      </c>
      <c r="G25" s="345" t="s">
        <v>263</v>
      </c>
      <c r="H25" s="345"/>
      <c r="I25" s="345" t="s">
        <v>291</v>
      </c>
      <c r="J25" s="345" t="s">
        <v>295</v>
      </c>
      <c r="K25" s="329" cm="1">
        <f t="array" ref="K25">IF($D25="","",SUMPRODUCT(MAX(($O25:$Y25&lt;&gt;"")*$AA$3:$AK$3)))</f>
        <v>0</v>
      </c>
      <c r="L25" s="346" t="str">
        <f>IF(COUNT($O25:$Y25)=0,"",MAX($O25:$Y25))</f>
        <v/>
      </c>
      <c r="M25" s="330" t="str">
        <f ca="1">IF($L25="","",TODAY()-$L25)</f>
        <v/>
      </c>
      <c r="N25" s="325" t="str">
        <f>IF($L25="","No Record",IF($K25&gt;=1,"Live",IF($M25&gt;=90,"Stalled 90d+",IF($M25&gt;=60,"Stalled 60d+",IF($M25&gt;=30,"Stalled 30d+","In Progress")))))</f>
        <v>No Record</v>
      </c>
      <c r="O25" s="331"/>
      <c r="P25" s="331"/>
      <c r="Q25" s="331"/>
      <c r="R25" s="331"/>
      <c r="S25" s="331"/>
      <c r="T25" s="331"/>
      <c r="U25" s="331"/>
      <c r="V25" s="331"/>
      <c r="W25" s="331"/>
      <c r="X25" s="331"/>
      <c r="Y25" s="331"/>
      <c r="Z25" s="367" t="s">
        <v>266</v>
      </c>
      <c r="AL25" s="482"/>
      <c r="AM25" s="483"/>
      <c r="AN25" s="484"/>
      <c r="AO25" s="484"/>
      <c r="AP25" s="482"/>
    </row>
    <row r="26" spans="1:42" ht="15.75" customHeight="1">
      <c r="A26" s="325">
        <f>IF($D26="","",COUNTA($D$4:$D26))</f>
        <v>23</v>
      </c>
      <c r="B26" s="326" t="str">
        <f>IF($D26="","",IF($L26="","Contact",LOOKUP($K26,$AA$5:$AA$8,$AB$5:$AB$8)))</f>
        <v>NDA/Contract</v>
      </c>
      <c r="C26" s="326" t="s">
        <v>316</v>
      </c>
      <c r="D26" s="345" t="s">
        <v>317</v>
      </c>
      <c r="E26" s="333" t="s">
        <v>290</v>
      </c>
      <c r="F26" s="328" t="s">
        <v>262</v>
      </c>
      <c r="G26" s="345" t="s">
        <v>277</v>
      </c>
      <c r="H26" s="345" t="s">
        <v>318</v>
      </c>
      <c r="I26" s="345" t="s">
        <v>291</v>
      </c>
      <c r="J26" s="345" t="s">
        <v>292</v>
      </c>
      <c r="K26" s="329" cm="1">
        <f t="array" ref="K26">IF($D26="","",SUMPRODUCT(MAX(($O26:$Y26&lt;&gt;"")*$AA$3:$AK$3)))</f>
        <v>0.2</v>
      </c>
      <c r="L26" s="346">
        <f>IF(COUNT($O26:$Y26)=0,"",MAX($O26:$Y26))</f>
        <v>45912</v>
      </c>
      <c r="M26" s="330">
        <f ca="1">IF($L26="","",TODAY()-$L26)</f>
        <v>344</v>
      </c>
      <c r="N26" s="325" t="str">
        <f ca="1">IF($L26="","No Record",IF($K26&gt;=1,"Live",IF($M26&gt;=90,"Stalled 90d+",IF($M26&gt;=60,"Stalled 60d+",IF($M26&gt;=30,"Stalled 30d+","In Progress")))))</f>
        <v>Stalled 90d+</v>
      </c>
      <c r="O26" s="331">
        <v>45912</v>
      </c>
      <c r="P26" s="331"/>
      <c r="Q26" s="331"/>
      <c r="R26" s="331"/>
      <c r="S26" s="331"/>
      <c r="T26" s="331"/>
      <c r="U26" s="331"/>
      <c r="V26" s="331"/>
      <c r="W26" s="331"/>
      <c r="X26" s="331"/>
      <c r="Y26" s="331"/>
      <c r="Z26" s="367" t="s">
        <v>272</v>
      </c>
      <c r="AL26" s="482"/>
      <c r="AM26" s="483"/>
      <c r="AN26" s="484"/>
      <c r="AO26" s="484"/>
      <c r="AP26" s="482"/>
    </row>
    <row r="27" spans="1:42" ht="15.75" customHeight="1">
      <c r="A27" s="325">
        <f>IF($D27="","",COUNTA($D$4:$D27))</f>
        <v>24</v>
      </c>
      <c r="B27" s="326" t="str">
        <f>IF($D27="","",IF($L27="","Contact",LOOKUP($K27,$AA$5:$AA$8,$AB$5:$AB$8)))</f>
        <v>In Development</v>
      </c>
      <c r="C27" s="326" t="s">
        <v>316</v>
      </c>
      <c r="D27" s="345" t="s">
        <v>319</v>
      </c>
      <c r="E27" s="333" t="s">
        <v>290</v>
      </c>
      <c r="F27" s="328" t="s">
        <v>262</v>
      </c>
      <c r="G27" s="345" t="s">
        <v>277</v>
      </c>
      <c r="H27" s="345"/>
      <c r="I27" s="345" t="s">
        <v>291</v>
      </c>
      <c r="J27" s="345" t="s">
        <v>292</v>
      </c>
      <c r="K27" s="329" cm="1">
        <f t="array" ref="K27">IF($D27="","",SUMPRODUCT(MAX(($O27:$Y27&lt;&gt;"")*$AA$3:$AK$3)))</f>
        <v>0.5</v>
      </c>
      <c r="L27" s="346">
        <f>IF(COUNT($O27:$Y27)=0,"",MAX($O27:$Y27))</f>
        <v>45993</v>
      </c>
      <c r="M27" s="330">
        <f ca="1">IF($L27="","",TODAY()-$L27)</f>
        <v>263</v>
      </c>
      <c r="N27" s="325" t="str">
        <f ca="1">IF($L27="","No Record",IF($K27&gt;=1,"Live",IF($M27&gt;=90,"Stalled 90d+",IF($M27&gt;=60,"Stalled 60d+",IF($M27&gt;=30,"Stalled 30d+","In Progress")))))</f>
        <v>Stalled 90d+</v>
      </c>
      <c r="O27" s="331"/>
      <c r="P27" s="331">
        <v>45946</v>
      </c>
      <c r="Q27" s="331"/>
      <c r="R27" s="331">
        <v>45992</v>
      </c>
      <c r="S27" s="331">
        <v>45993</v>
      </c>
      <c r="T27" s="331"/>
      <c r="U27" s="331"/>
      <c r="V27" s="331"/>
      <c r="W27" s="331"/>
      <c r="X27" s="331"/>
      <c r="Y27" s="331"/>
      <c r="Z27" s="367" t="s">
        <v>272</v>
      </c>
      <c r="AL27" s="482"/>
      <c r="AM27" s="483"/>
      <c r="AN27" s="484"/>
      <c r="AO27" s="484"/>
      <c r="AP27" s="482"/>
    </row>
    <row r="28" spans="1:42" ht="15.75" customHeight="1">
      <c r="A28" s="325">
        <f>IF($D28="","",COUNTA($D$4:$D28))</f>
        <v>25</v>
      </c>
      <c r="B28" s="326" t="str">
        <f>IF($D28="","",IF($L28="","Contact",LOOKUP($K28,$AA$5:$AA$8,$AB$5:$AB$8)))</f>
        <v>In Development</v>
      </c>
      <c r="C28" s="326" t="s">
        <v>316</v>
      </c>
      <c r="D28" s="345" t="s">
        <v>320</v>
      </c>
      <c r="E28" s="333" t="s">
        <v>290</v>
      </c>
      <c r="F28" s="328" t="s">
        <v>262</v>
      </c>
      <c r="G28" s="345" t="s">
        <v>277</v>
      </c>
      <c r="H28" s="345"/>
      <c r="I28" s="345" t="s">
        <v>291</v>
      </c>
      <c r="J28" s="345" t="s">
        <v>292</v>
      </c>
      <c r="K28" s="329" cm="1">
        <f t="array" ref="K28">IF($D28="","",SUMPRODUCT(MAX(($O28:$Y28&lt;&gt;"")*$AA$3:$AK$3)))</f>
        <v>0.5</v>
      </c>
      <c r="L28" s="346">
        <f>IF(COUNT($O28:$Y28)=0,"",MAX($O28:$Y28))</f>
        <v>46235</v>
      </c>
      <c r="M28" s="330">
        <f ca="1">IF($L28="","",TODAY()-$L28)</f>
        <v>21</v>
      </c>
      <c r="N28" s="325" t="str">
        <f ca="1">IF($L28="","No Record",IF($K28&gt;=1,"Live",IF($M28&gt;=90,"Stalled 90d+",IF($M28&gt;=60,"Stalled 60d+",IF($M28&gt;=30,"Stalled 30d+","In Progress")))))</f>
        <v>In Progress</v>
      </c>
      <c r="O28" s="331"/>
      <c r="P28" s="331"/>
      <c r="Q28" s="331"/>
      <c r="R28" s="331"/>
      <c r="S28" s="331">
        <v>46235</v>
      </c>
      <c r="T28" s="331"/>
      <c r="U28" s="331"/>
      <c r="V28" s="331"/>
      <c r="W28" s="331"/>
      <c r="X28" s="331"/>
      <c r="Y28" s="331"/>
      <c r="Z28" s="367" t="s">
        <v>271</v>
      </c>
      <c r="AL28" s="482"/>
      <c r="AM28" s="483"/>
      <c r="AN28" s="484"/>
      <c r="AO28" s="484"/>
      <c r="AP28" s="482"/>
    </row>
    <row r="29" spans="1:42" ht="15.75" customHeight="1">
      <c r="A29" s="325">
        <f>IF($D29="","",COUNTA($D$4:$D29))</f>
        <v>26</v>
      </c>
      <c r="B29" s="326" t="str">
        <f>IF($D29="","",IF($L29="","Contact",LOOKUP($K29,$AA$5:$AA$8,$AB$5:$AB$8)))</f>
        <v>NDA/Contract</v>
      </c>
      <c r="C29" s="326" t="s">
        <v>267</v>
      </c>
      <c r="D29" s="345" t="s">
        <v>321</v>
      </c>
      <c r="E29" s="333" t="s">
        <v>290</v>
      </c>
      <c r="F29" s="328"/>
      <c r="G29" s="345" t="s">
        <v>277</v>
      </c>
      <c r="H29" s="345"/>
      <c r="I29" s="345" t="s">
        <v>291</v>
      </c>
      <c r="J29" s="345" t="s">
        <v>292</v>
      </c>
      <c r="K29" s="329" cm="1">
        <f t="array" ref="K29">IF($D29="","",SUMPRODUCT(MAX(($O29:$Y29&lt;&gt;"")*$AA$3:$AK$3)))</f>
        <v>0.2</v>
      </c>
      <c r="L29" s="346">
        <f>IF(COUNT($O29:$Y29)=0,"",MAX($O29:$Y29))</f>
        <v>45908</v>
      </c>
      <c r="M29" s="330">
        <f ca="1">IF($L29="","",TODAY()-$L29)</f>
        <v>348</v>
      </c>
      <c r="N29" s="325" t="str">
        <f ca="1">IF($L29="","No Record",IF($K29&gt;=1,"Live",IF($M29&gt;=90,"Stalled 90d+",IF($M29&gt;=60,"Stalled 60d+",IF($M29&gt;=30,"Stalled 30d+","In Progress")))))</f>
        <v>Stalled 90d+</v>
      </c>
      <c r="O29" s="331">
        <v>45908</v>
      </c>
      <c r="P29" s="331"/>
      <c r="Q29" s="331"/>
      <c r="R29" s="331"/>
      <c r="S29" s="331"/>
      <c r="T29" s="331"/>
      <c r="U29" s="331"/>
      <c r="V29" s="331"/>
      <c r="W29" s="331"/>
      <c r="X29" s="331"/>
      <c r="Y29" s="331"/>
      <c r="Z29" s="367" t="s">
        <v>266</v>
      </c>
      <c r="AL29" s="482"/>
      <c r="AM29" s="483"/>
      <c r="AN29" s="484"/>
      <c r="AO29" s="484"/>
      <c r="AP29" s="482"/>
    </row>
    <row r="30" spans="1:42" ht="15.75" customHeight="1">
      <c r="A30" s="325">
        <f>IF($D30="","",COUNTA($D$4:$D30))</f>
        <v>27</v>
      </c>
      <c r="B30" s="326" t="str">
        <f>IF($D30="","",IF($L30="","Contact",LOOKUP($K30,$AA$5:$AA$8,$AB$5:$AB$8)))</f>
        <v>NDA/Contract</v>
      </c>
      <c r="C30" s="326" t="s">
        <v>267</v>
      </c>
      <c r="D30" s="345" t="s">
        <v>322</v>
      </c>
      <c r="E30" s="333" t="s">
        <v>290</v>
      </c>
      <c r="F30" s="328"/>
      <c r="G30" s="345" t="s">
        <v>277</v>
      </c>
      <c r="H30" s="345"/>
      <c r="I30" s="345" t="s">
        <v>291</v>
      </c>
      <c r="J30" s="345" t="s">
        <v>292</v>
      </c>
      <c r="K30" s="329" cm="1">
        <f t="array" ref="K30">IF($D30="","",SUMPRODUCT(MAX(($O30:$Y30&lt;&gt;"")*$AA$3:$AK$3)))</f>
        <v>0.2</v>
      </c>
      <c r="L30" s="346">
        <f>IF(COUNT($O30:$Y30)=0,"",MAX($O30:$Y30))</f>
        <v>45957</v>
      </c>
      <c r="M30" s="330">
        <f ca="1">IF($L30="","",TODAY()-$L30)</f>
        <v>299</v>
      </c>
      <c r="N30" s="325" t="str">
        <f ca="1">IF($L30="","No Record",IF($K30&gt;=1,"Live",IF($M30&gt;=90,"Stalled 90d+",IF($M30&gt;=60,"Stalled 60d+",IF($M30&gt;=30,"Stalled 30d+","In Progress")))))</f>
        <v>Stalled 90d+</v>
      </c>
      <c r="O30" s="331">
        <v>45957</v>
      </c>
      <c r="P30" s="331"/>
      <c r="Q30" s="331"/>
      <c r="R30" s="331"/>
      <c r="S30" s="331"/>
      <c r="T30" s="331"/>
      <c r="U30" s="331"/>
      <c r="V30" s="331"/>
      <c r="W30" s="331"/>
      <c r="X30" s="331"/>
      <c r="Y30" s="331"/>
      <c r="Z30" s="367" t="s">
        <v>266</v>
      </c>
      <c r="AL30" s="482"/>
      <c r="AM30" s="483"/>
      <c r="AN30" s="484"/>
      <c r="AO30" s="484"/>
      <c r="AP30" s="482"/>
    </row>
    <row r="31" spans="1:42" ht="15.75" customHeight="1">
      <c r="A31" s="325">
        <f>IF($D31="","",COUNTA($D$4:$D31))</f>
        <v>28</v>
      </c>
      <c r="B31" s="326" t="str">
        <f>IF($D31="","",IF($L31="","Contact",LOOKUP($K31,$AA$5:$AA$8,$AB$5:$AB$8)))</f>
        <v>NDA/Contract</v>
      </c>
      <c r="C31" s="326" t="s">
        <v>323</v>
      </c>
      <c r="D31" s="345" t="s">
        <v>324</v>
      </c>
      <c r="E31" s="333" t="s">
        <v>290</v>
      </c>
      <c r="F31" s="328"/>
      <c r="G31" s="345" t="s">
        <v>277</v>
      </c>
      <c r="H31" s="345"/>
      <c r="I31" s="345" t="s">
        <v>291</v>
      </c>
      <c r="J31" s="345" t="s">
        <v>295</v>
      </c>
      <c r="K31" s="329" cm="1">
        <f t="array" ref="K31">IF($D31="","",SUMPRODUCT(MAX(($O31:$Y31&lt;&gt;"")*$AA$3:$AK$3)))</f>
        <v>0.3</v>
      </c>
      <c r="L31" s="346">
        <f>IF(COUNT($O31:$Y31)=0,"",MAX($O31:$Y31))</f>
        <v>46001</v>
      </c>
      <c r="M31" s="330">
        <f ca="1">IF($L31="","",TODAY()-$L31)</f>
        <v>255</v>
      </c>
      <c r="N31" s="325" t="str">
        <f ca="1">IF($L31="","No Record",IF($K31&gt;=1,"Live",IF($M31&gt;=90,"Stalled 90d+",IF($M31&gt;=60,"Stalled 60d+",IF($M31&gt;=30,"Stalled 30d+","In Progress")))))</f>
        <v>Stalled 90d+</v>
      </c>
      <c r="O31" s="331"/>
      <c r="P31" s="331">
        <v>46001</v>
      </c>
      <c r="Q31" s="331"/>
      <c r="R31" s="331"/>
      <c r="S31" s="331"/>
      <c r="T31" s="331"/>
      <c r="U31" s="331"/>
      <c r="V31" s="331"/>
      <c r="W31" s="331"/>
      <c r="X31" s="331"/>
      <c r="Y31" s="331"/>
      <c r="Z31" s="367" t="s">
        <v>266</v>
      </c>
      <c r="AL31" s="482"/>
      <c r="AM31" s="483"/>
      <c r="AN31" s="484"/>
      <c r="AO31" s="484"/>
      <c r="AP31" s="482"/>
    </row>
    <row r="32" spans="1:42" ht="15.75" customHeight="1">
      <c r="A32" s="325">
        <f>IF($D32="","",COUNTA($D$4:$D32))</f>
        <v>29</v>
      </c>
      <c r="B32" s="326" t="str">
        <f>IF($D32="","",IF($L32="","Contact",LOOKUP($K32,$AA$5:$AA$8,$AB$5:$AB$8)))</f>
        <v>Contact</v>
      </c>
      <c r="C32" s="393"/>
      <c r="D32" s="345" t="s">
        <v>325</v>
      </c>
      <c r="E32" s="333" t="s">
        <v>290</v>
      </c>
      <c r="F32" s="328"/>
      <c r="G32" s="345" t="s">
        <v>277</v>
      </c>
      <c r="H32" s="345"/>
      <c r="I32" s="345" t="s">
        <v>291</v>
      </c>
      <c r="J32" s="345" t="s">
        <v>295</v>
      </c>
      <c r="K32" s="329" cm="1">
        <f t="array" ref="K32">IF($D32="","",SUMPRODUCT(MAX(($O32:$Y32&lt;&gt;"")*$AA$3:$AK$3)))</f>
        <v>0</v>
      </c>
      <c r="L32" s="346" t="str">
        <f>IF(COUNT($O32:$Y32)=0,"",MAX($O32:$Y32))</f>
        <v/>
      </c>
      <c r="M32" s="330" t="str">
        <f ca="1">IF($L32="","",TODAY()-$L32)</f>
        <v/>
      </c>
      <c r="N32" s="325" t="str">
        <f>IF($L32="","No Record",IF($K32&gt;=1,"Live",IF($M32&gt;=90,"Stalled 90d+",IF($M32&gt;=60,"Stalled 60d+",IF($M32&gt;=30,"Stalled 30d+","In Progress")))))</f>
        <v>No Record</v>
      </c>
      <c r="O32" s="331"/>
      <c r="P32" s="331"/>
      <c r="Q32" s="331"/>
      <c r="R32" s="331"/>
      <c r="S32" s="331"/>
      <c r="T32" s="331"/>
      <c r="U32" s="331"/>
      <c r="V32" s="331"/>
      <c r="W32" s="331"/>
      <c r="X32" s="331"/>
      <c r="Y32" s="331"/>
      <c r="Z32" s="367" t="s">
        <v>266</v>
      </c>
      <c r="AL32" s="482"/>
      <c r="AM32" s="483"/>
      <c r="AN32" s="484"/>
      <c r="AO32" s="484"/>
      <c r="AP32" s="482"/>
    </row>
    <row r="33" spans="1:42" ht="15.75" customHeight="1">
      <c r="A33" s="325">
        <f>IF($D33="","",COUNTA($D$4:$D33))</f>
        <v>30</v>
      </c>
      <c r="B33" s="326" t="str">
        <f>IF($D33="","",IF($L33="","Contact",LOOKUP($K33,$AA$5:$AA$8,$AB$5:$AB$8)))</f>
        <v>In Development</v>
      </c>
      <c r="C33" s="326" t="s">
        <v>267</v>
      </c>
      <c r="D33" s="345" t="s">
        <v>326</v>
      </c>
      <c r="E33" s="333" t="s">
        <v>290</v>
      </c>
      <c r="F33" s="328" t="s">
        <v>262</v>
      </c>
      <c r="G33" s="345" t="s">
        <v>277</v>
      </c>
      <c r="H33" s="345"/>
      <c r="I33" s="345" t="s">
        <v>291</v>
      </c>
      <c r="J33" s="345" t="s">
        <v>292</v>
      </c>
      <c r="K33" s="329" cm="1">
        <f t="array" ref="K33">IF($D33="","",SUMPRODUCT(MAX(($O33:$Y33&lt;&gt;"")*$AA$3:$AK$3)))</f>
        <v>0.5</v>
      </c>
      <c r="L33" s="346">
        <f>IF(COUNT($O33:$Y33)=0,"",MAX($O33:$Y33))</f>
        <v>46246</v>
      </c>
      <c r="M33" s="330">
        <f ca="1">IF($L33="","",TODAY()-$L33)</f>
        <v>10</v>
      </c>
      <c r="N33" s="325" t="str">
        <f ca="1">IF($L33="","No Record",IF($K33&gt;=1,"Live",IF($M33&gt;=90,"Stalled 90d+",IF($M33&gt;=60,"Stalled 60d+",IF($M33&gt;=30,"Stalled 30d+","In Progress")))))</f>
        <v>In Progress</v>
      </c>
      <c r="O33" s="331">
        <v>46242</v>
      </c>
      <c r="P33" s="331">
        <v>46243</v>
      </c>
      <c r="Q33" s="331">
        <v>46244</v>
      </c>
      <c r="R33" s="331">
        <v>46245</v>
      </c>
      <c r="S33" s="331">
        <v>46246</v>
      </c>
      <c r="T33" s="331"/>
      <c r="U33" s="331"/>
      <c r="V33" s="331"/>
      <c r="W33" s="331"/>
      <c r="X33" s="331"/>
      <c r="Y33" s="331"/>
      <c r="Z33" s="367" t="s">
        <v>271</v>
      </c>
      <c r="AL33" s="482"/>
      <c r="AM33" s="483"/>
      <c r="AN33" s="484"/>
      <c r="AO33" s="484"/>
      <c r="AP33" s="482"/>
    </row>
    <row r="34" spans="1:42" ht="15.75" customHeight="1">
      <c r="A34" s="325">
        <f>IF($D34="","",COUNTA($D$4:$D34))</f>
        <v>31</v>
      </c>
      <c r="B34" s="326" t="str">
        <f>IF($D34="","",IF($L34="","Contact",LOOKUP($K34,$AA$5:$AA$8,$AB$5:$AB$8)))</f>
        <v>Contact</v>
      </c>
      <c r="C34" s="326" t="s">
        <v>267</v>
      </c>
      <c r="D34" s="345" t="s">
        <v>327</v>
      </c>
      <c r="E34" s="333" t="s">
        <v>290</v>
      </c>
      <c r="F34" s="328"/>
      <c r="G34" s="345" t="s">
        <v>277</v>
      </c>
      <c r="H34" s="345"/>
      <c r="I34" s="345" t="s">
        <v>291</v>
      </c>
      <c r="J34" s="345" t="s">
        <v>328</v>
      </c>
      <c r="K34" s="329" cm="1">
        <f t="array" ref="K34">IF($D34="","",SUMPRODUCT(MAX(($O34:$Y34&lt;&gt;"")*$AA$3:$AK$3)))</f>
        <v>0</v>
      </c>
      <c r="L34" s="346" t="str">
        <f>IF(COUNT($O34:$Y34)=0,"",MAX($O34:$Y34))</f>
        <v/>
      </c>
      <c r="M34" s="330" t="str">
        <f ca="1">IF($L34="","",TODAY()-$L34)</f>
        <v/>
      </c>
      <c r="N34" s="325" t="str">
        <f>IF($L34="","No Record",IF($K34&gt;=1,"Live",IF($M34&gt;=90,"Stalled 90d+",IF($M34&gt;=60,"Stalled 60d+",IF($M34&gt;=30,"Stalled 30d+","In Progress")))))</f>
        <v>No Record</v>
      </c>
      <c r="O34" s="331"/>
      <c r="P34" s="331"/>
      <c r="Q34" s="331"/>
      <c r="R34" s="331"/>
      <c r="S34" s="331"/>
      <c r="T34" s="331"/>
      <c r="U34" s="331"/>
      <c r="V34" s="331"/>
      <c r="W34" s="331"/>
      <c r="X34" s="331"/>
      <c r="Y34" s="331"/>
      <c r="Z34" s="367" t="s">
        <v>272</v>
      </c>
      <c r="AL34" s="482"/>
      <c r="AM34" s="483"/>
      <c r="AN34" s="484"/>
      <c r="AO34" s="484"/>
      <c r="AP34" s="482"/>
    </row>
    <row r="35" spans="1:42" ht="15.75" customHeight="1">
      <c r="A35" s="325">
        <f>IF($D35="","",COUNTA($D$4:$D35))</f>
        <v>32</v>
      </c>
      <c r="B35" s="326" t="str">
        <f>IF($D35="","",IF($L35="","Contact",LOOKUP($K35,$AA$5:$AA$8,$AB$5:$AB$8)))</f>
        <v>In Development</v>
      </c>
      <c r="C35" s="326" t="s">
        <v>267</v>
      </c>
      <c r="D35" s="345" t="s">
        <v>329</v>
      </c>
      <c r="E35" s="333" t="s">
        <v>290</v>
      </c>
      <c r="F35" s="328"/>
      <c r="G35" s="345" t="s">
        <v>277</v>
      </c>
      <c r="H35" s="345"/>
      <c r="I35" s="345" t="s">
        <v>291</v>
      </c>
      <c r="J35" s="345" t="s">
        <v>292</v>
      </c>
      <c r="K35" s="329" cm="1">
        <f t="array" ref="K35">IF($D35="","",SUMPRODUCT(MAX(($O35:$Y35&lt;&gt;"")*$AA$3:$AK$3)))</f>
        <v>0.5</v>
      </c>
      <c r="L35" s="346">
        <f>IF(COUNT($O35:$Y35)=0,"",MAX($O35:$Y35))</f>
        <v>45971</v>
      </c>
      <c r="M35" s="330">
        <f ca="1">IF($L35="","",TODAY()-$L35)</f>
        <v>285</v>
      </c>
      <c r="N35" s="325" t="str">
        <f ca="1">IF($L35="","No Record",IF($K35&gt;=1,"Live",IF($M35&gt;=90,"Stalled 90d+",IF($M35&gt;=60,"Stalled 60d+",IF($M35&gt;=30,"Stalled 30d+","In Progress")))))</f>
        <v>Stalled 90d+</v>
      </c>
      <c r="O35" s="331">
        <v>45971</v>
      </c>
      <c r="P35" s="331">
        <v>45971</v>
      </c>
      <c r="Q35" s="331">
        <v>45971</v>
      </c>
      <c r="R35" s="331">
        <v>45971</v>
      </c>
      <c r="S35" s="331">
        <v>45971</v>
      </c>
      <c r="T35" s="331"/>
      <c r="U35" s="331"/>
      <c r="V35" s="331"/>
      <c r="W35" s="331"/>
      <c r="X35" s="331"/>
      <c r="Y35" s="331"/>
      <c r="Z35" s="367" t="s">
        <v>271</v>
      </c>
      <c r="AL35" s="482"/>
      <c r="AM35" s="483"/>
      <c r="AN35" s="484"/>
      <c r="AO35" s="484"/>
      <c r="AP35" s="482"/>
    </row>
    <row r="36" spans="1:42" ht="15.75" customHeight="1">
      <c r="A36" s="325">
        <f>IF($D36="","",COUNTA($D$4:$D36))</f>
        <v>33</v>
      </c>
      <c r="B36" s="326" t="str">
        <f>IF($D36="","",IF($L36="","Contact",LOOKUP($K36,$AA$5:$AA$8,$AB$5:$AB$8)))</f>
        <v>Contact</v>
      </c>
      <c r="C36" s="326" t="s">
        <v>267</v>
      </c>
      <c r="D36" s="345" t="s">
        <v>330</v>
      </c>
      <c r="E36" s="333" t="s">
        <v>290</v>
      </c>
      <c r="F36" s="328"/>
      <c r="G36" s="345" t="s">
        <v>277</v>
      </c>
      <c r="H36" s="345"/>
      <c r="I36" s="345" t="s">
        <v>291</v>
      </c>
      <c r="J36" s="345" t="s">
        <v>292</v>
      </c>
      <c r="K36" s="329" cm="1">
        <f t="array" ref="K36">IF($D36="","",SUMPRODUCT(MAX(($O36:$Y36&lt;&gt;"")*$AA$3:$AK$3)))</f>
        <v>0</v>
      </c>
      <c r="L36" s="346" t="str">
        <f>IF(COUNT($O36:$Y36)=0,"",MAX($O36:$Y36))</f>
        <v/>
      </c>
      <c r="M36" s="330" t="str">
        <f ca="1">IF($L36="","",TODAY()-$L36)</f>
        <v/>
      </c>
      <c r="N36" s="325" t="str">
        <f>IF($L36="","No Record",IF($K36&gt;=1,"Live",IF($M36&gt;=90,"Stalled 90d+",IF($M36&gt;=60,"Stalled 60d+",IF($M36&gt;=30,"Stalled 30d+","In Progress")))))</f>
        <v>No Record</v>
      </c>
      <c r="O36" s="331"/>
      <c r="P36" s="331"/>
      <c r="Q36" s="331"/>
      <c r="R36" s="331"/>
      <c r="S36" s="331"/>
      <c r="T36" s="331"/>
      <c r="U36" s="331"/>
      <c r="V36" s="331"/>
      <c r="W36" s="331"/>
      <c r="X36" s="331"/>
      <c r="Y36" s="331"/>
      <c r="Z36" s="367" t="s">
        <v>272</v>
      </c>
      <c r="AL36" s="482"/>
      <c r="AM36" s="483"/>
      <c r="AN36" s="484"/>
      <c r="AO36" s="484"/>
      <c r="AP36" s="482"/>
    </row>
    <row r="37" spans="1:42" ht="15.75" customHeight="1">
      <c r="A37" s="325">
        <f>IF($D37="","",COUNTA($D$4:$D37))</f>
        <v>34</v>
      </c>
      <c r="B37" s="326" t="str">
        <f>IF($D37="","",IF($L37="","Contact",LOOKUP($K37,$AA$5:$AA$8,$AB$5:$AB$8)))</f>
        <v>Contact</v>
      </c>
      <c r="C37" s="326" t="s">
        <v>299</v>
      </c>
      <c r="D37" s="345" t="s">
        <v>331</v>
      </c>
      <c r="E37" s="333" t="s">
        <v>290</v>
      </c>
      <c r="F37" s="328" t="s">
        <v>262</v>
      </c>
      <c r="G37" s="345" t="s">
        <v>263</v>
      </c>
      <c r="H37" s="345"/>
      <c r="I37" s="345" t="s">
        <v>291</v>
      </c>
      <c r="J37" s="345" t="s">
        <v>298</v>
      </c>
      <c r="K37" s="329" cm="1">
        <f t="array" ref="K37">IF($D37="","",SUMPRODUCT(MAX(($O37:$Y37&lt;&gt;"")*$AA$3:$AK$3)))</f>
        <v>0</v>
      </c>
      <c r="L37" s="346" t="str">
        <f>IF(COUNT($O37:$Y37)=0,"",MAX($O37:$Y37))</f>
        <v/>
      </c>
      <c r="M37" s="330" t="str">
        <f ca="1">IF($L37="","",TODAY()-$L37)</f>
        <v/>
      </c>
      <c r="N37" s="325" t="str">
        <f>IF($L37="","No Record",IF($K37&gt;=1,"Live",IF($M37&gt;=90,"Stalled 90d+",IF($M37&gt;=60,"Stalled 60d+",IF($M37&gt;=30,"Stalled 30d+","In Progress")))))</f>
        <v>No Record</v>
      </c>
      <c r="O37" s="331"/>
      <c r="P37" s="331"/>
      <c r="Q37" s="331"/>
      <c r="R37" s="331"/>
      <c r="S37" s="331"/>
      <c r="T37" s="331"/>
      <c r="U37" s="331"/>
      <c r="V37" s="331"/>
      <c r="W37" s="331"/>
      <c r="X37" s="331"/>
      <c r="Y37" s="331"/>
      <c r="Z37" s="367" t="s">
        <v>272</v>
      </c>
      <c r="AL37" s="482"/>
      <c r="AM37" s="483"/>
      <c r="AN37" s="484"/>
      <c r="AO37" s="484"/>
      <c r="AP37" s="482"/>
    </row>
    <row r="38" spans="1:42" ht="15.75" customHeight="1">
      <c r="A38" s="325">
        <f>IF($D38="","",COUNTA($D$4:$D38))</f>
        <v>35</v>
      </c>
      <c r="B38" s="326" t="str">
        <f>IF($D38="","",IF($L38="","Contact",LOOKUP($K38,$AA$5:$AA$8,$AB$5:$AB$8)))</f>
        <v>Contact</v>
      </c>
      <c r="C38" s="326" t="s">
        <v>323</v>
      </c>
      <c r="D38" s="345" t="s">
        <v>332</v>
      </c>
      <c r="E38" s="333" t="s">
        <v>290</v>
      </c>
      <c r="F38" s="328" t="s">
        <v>262</v>
      </c>
      <c r="G38" s="345" t="s">
        <v>277</v>
      </c>
      <c r="H38" s="345"/>
      <c r="I38" s="345" t="s">
        <v>291</v>
      </c>
      <c r="J38" s="345" t="s">
        <v>295</v>
      </c>
      <c r="K38" s="329" cm="1">
        <f t="array" ref="K38">IF($D38="","",SUMPRODUCT(MAX(($O38:$Y38&lt;&gt;"")*$AA$3:$AK$3)))</f>
        <v>0</v>
      </c>
      <c r="L38" s="346" t="str">
        <f>IF(COUNT($O38:$Y38)=0,"",MAX($O38:$Y38))</f>
        <v/>
      </c>
      <c r="M38" s="330" t="str">
        <f ca="1">IF($L38="","",TODAY()-$L38)</f>
        <v/>
      </c>
      <c r="N38" s="325" t="str">
        <f>IF($L38="","No Record",IF($K38&gt;=1,"Live",IF($M38&gt;=90,"Stalled 90d+",IF($M38&gt;=60,"Stalled 60d+",IF($M38&gt;=30,"Stalled 30d+","In Progress")))))</f>
        <v>No Record</v>
      </c>
      <c r="O38" s="331"/>
      <c r="P38" s="331"/>
      <c r="Q38" s="331"/>
      <c r="R38" s="331"/>
      <c r="S38" s="331"/>
      <c r="T38" s="331"/>
      <c r="U38" s="331"/>
      <c r="V38" s="331"/>
      <c r="W38" s="331"/>
      <c r="X38" s="331"/>
      <c r="Y38" s="331"/>
      <c r="Z38" s="367" t="s">
        <v>272</v>
      </c>
      <c r="AL38" s="482"/>
      <c r="AM38" s="483"/>
      <c r="AN38" s="484"/>
      <c r="AO38" s="484"/>
      <c r="AP38" s="482"/>
    </row>
    <row r="39" spans="1:42" ht="15.75" customHeight="1">
      <c r="A39" s="325">
        <f>IF($D39="","",COUNTA($D$4:$D39))</f>
        <v>36</v>
      </c>
      <c r="B39" s="326" t="str">
        <f>IF($D39="","",IF($L39="","Contact",LOOKUP($K39,$AA$5:$AA$8,$AB$5:$AB$8)))</f>
        <v>Contact</v>
      </c>
      <c r="C39" s="326" t="s">
        <v>267</v>
      </c>
      <c r="D39" s="345" t="s">
        <v>333</v>
      </c>
      <c r="E39" s="333" t="s">
        <v>290</v>
      </c>
      <c r="F39" s="328" t="s">
        <v>276</v>
      </c>
      <c r="G39" s="345" t="s">
        <v>277</v>
      </c>
      <c r="H39" s="345"/>
      <c r="I39" s="345" t="s">
        <v>291</v>
      </c>
      <c r="J39" s="345" t="s">
        <v>292</v>
      </c>
      <c r="K39" s="329" cm="1">
        <f t="array" ref="K39">IF($D39="","",SUMPRODUCT(MAX(($O39:$Y39&lt;&gt;"")*$AA$3:$AK$3)))</f>
        <v>0</v>
      </c>
      <c r="L39" s="346" t="str">
        <f>IF(COUNT($O39:$Y39)=0,"",MAX($O39:$Y39))</f>
        <v/>
      </c>
      <c r="M39" s="330" t="str">
        <f ca="1">IF($L39="","",TODAY()-$L39)</f>
        <v/>
      </c>
      <c r="N39" s="325" t="str">
        <f>IF($L39="","No Record",IF($K39&gt;=1,"Live",IF($M39&gt;=90,"Stalled 90d+",IF($M39&gt;=60,"Stalled 60d+",IF($M39&gt;=30,"Stalled 30d+","In Progress")))))</f>
        <v>No Record</v>
      </c>
      <c r="O39" s="331"/>
      <c r="P39" s="331"/>
      <c r="Q39" s="331"/>
      <c r="R39" s="331"/>
      <c r="S39" s="331"/>
      <c r="T39" s="331"/>
      <c r="U39" s="331"/>
      <c r="V39" s="331"/>
      <c r="W39" s="331"/>
      <c r="X39" s="331"/>
      <c r="Y39" s="331"/>
      <c r="Z39" s="367" t="s">
        <v>272</v>
      </c>
      <c r="AL39" s="482"/>
      <c r="AM39" s="483"/>
      <c r="AN39" s="484"/>
      <c r="AO39" s="484"/>
      <c r="AP39" s="482"/>
    </row>
    <row r="40" spans="1:42" ht="15.75" customHeight="1">
      <c r="A40" s="325">
        <f>IF($D40="","",COUNTA($D$4:$D40))</f>
        <v>37</v>
      </c>
      <c r="B40" s="326" t="str">
        <f>IF($D40="","",IF($L40="","Contact",LOOKUP($K40,$AA$5:$AA$8,$AB$5:$AB$8)))</f>
        <v>Contact</v>
      </c>
      <c r="C40" s="326" t="s">
        <v>267</v>
      </c>
      <c r="D40" s="345" t="s">
        <v>334</v>
      </c>
      <c r="E40" s="333" t="s">
        <v>290</v>
      </c>
      <c r="F40" s="328" t="s">
        <v>262</v>
      </c>
      <c r="G40" s="345" t="s">
        <v>277</v>
      </c>
      <c r="H40" s="345"/>
      <c r="I40" s="345" t="s">
        <v>291</v>
      </c>
      <c r="J40" s="345" t="s">
        <v>292</v>
      </c>
      <c r="K40" s="329" cm="1">
        <f t="array" ref="K40">IF($D40="","",SUMPRODUCT(MAX(($O40:$Y40&lt;&gt;"")*$AA$3:$AK$3)))</f>
        <v>0</v>
      </c>
      <c r="L40" s="346" t="str">
        <f>IF(COUNT($O40:$Y40)=0,"",MAX($O40:$Y40))</f>
        <v/>
      </c>
      <c r="M40" s="330" t="str">
        <f ca="1">IF($L40="","",TODAY()-$L40)</f>
        <v/>
      </c>
      <c r="N40" s="325" t="str">
        <f>IF($L40="","No Record",IF($K40&gt;=1,"Live",IF($M40&gt;=90,"Stalled 90d+",IF($M40&gt;=60,"Stalled 60d+",IF($M40&gt;=30,"Stalled 30d+","In Progress")))))</f>
        <v>No Record</v>
      </c>
      <c r="O40" s="331"/>
      <c r="P40" s="331"/>
      <c r="Q40" s="331"/>
      <c r="R40" s="331"/>
      <c r="S40" s="331"/>
      <c r="T40" s="331"/>
      <c r="U40" s="331"/>
      <c r="V40" s="331"/>
      <c r="W40" s="331"/>
      <c r="X40" s="331"/>
      <c r="Y40" s="331"/>
      <c r="Z40" s="367" t="s">
        <v>272</v>
      </c>
      <c r="AL40" s="482"/>
      <c r="AM40" s="483"/>
      <c r="AN40" s="484"/>
      <c r="AO40" s="484"/>
      <c r="AP40" s="482"/>
    </row>
    <row r="41" spans="1:42" ht="15.75" customHeight="1">
      <c r="A41" s="325">
        <f>IF($D41="","",COUNTA($D$4:$D41))</f>
        <v>38</v>
      </c>
      <c r="B41" s="326" t="str">
        <f>IF($D41="","",IF($L41="","Contact",LOOKUP($K41,$AA$5:$AA$8,$AB$5:$AB$8)))</f>
        <v>Contact</v>
      </c>
      <c r="C41" s="326" t="s">
        <v>267</v>
      </c>
      <c r="D41" s="345" t="s">
        <v>335</v>
      </c>
      <c r="E41" s="333" t="s">
        <v>290</v>
      </c>
      <c r="F41" s="328" t="s">
        <v>262</v>
      </c>
      <c r="G41" s="345" t="s">
        <v>277</v>
      </c>
      <c r="H41" s="345"/>
      <c r="I41" s="345" t="s">
        <v>291</v>
      </c>
      <c r="J41" s="345" t="s">
        <v>292</v>
      </c>
      <c r="K41" s="329" cm="1">
        <f t="array" ref="K41">IF($D41="","",SUMPRODUCT(MAX(($O41:$Y41&lt;&gt;"")*$AA$3:$AK$3)))</f>
        <v>0</v>
      </c>
      <c r="L41" s="346" t="str">
        <f>IF(COUNT($O41:$Y41)=0,"",MAX($O41:$Y41))</f>
        <v/>
      </c>
      <c r="M41" s="330" t="str">
        <f ca="1">IF($L41="","",TODAY()-$L41)</f>
        <v/>
      </c>
      <c r="N41" s="325" t="str">
        <f>IF($L41="","No Record",IF($K41&gt;=1,"Live",IF($M41&gt;=90,"Stalled 90d+",IF($M41&gt;=60,"Stalled 60d+",IF($M41&gt;=30,"Stalled 30d+","In Progress")))))</f>
        <v>No Record</v>
      </c>
      <c r="O41" s="331"/>
      <c r="P41" s="331"/>
      <c r="Q41" s="331"/>
      <c r="R41" s="331"/>
      <c r="S41" s="331"/>
      <c r="T41" s="331"/>
      <c r="U41" s="331"/>
      <c r="V41" s="331"/>
      <c r="W41" s="331"/>
      <c r="X41" s="331"/>
      <c r="Y41" s="331"/>
      <c r="Z41" s="367" t="s">
        <v>272</v>
      </c>
      <c r="AL41" s="482"/>
      <c r="AM41" s="483"/>
      <c r="AN41" s="484"/>
      <c r="AO41" s="484"/>
      <c r="AP41" s="482"/>
    </row>
    <row r="42" spans="1:42" ht="15.75" customHeight="1">
      <c r="A42" s="325">
        <f>IF($D42="","",COUNTA($D$4:$D42))</f>
        <v>39</v>
      </c>
      <c r="B42" s="326" t="str">
        <f>IF($D42="","",IF($L42="","Contact",LOOKUP($K42,$AA$5:$AA$8,$AB$5:$AB$8)))</f>
        <v>NDA/Contract</v>
      </c>
      <c r="C42" s="326" t="s">
        <v>267</v>
      </c>
      <c r="D42" s="345" t="s">
        <v>336</v>
      </c>
      <c r="E42" s="333" t="s">
        <v>290</v>
      </c>
      <c r="F42" s="328" t="s">
        <v>262</v>
      </c>
      <c r="G42" s="345" t="s">
        <v>277</v>
      </c>
      <c r="H42" s="345"/>
      <c r="I42" s="345" t="s">
        <v>291</v>
      </c>
      <c r="J42" s="345" t="s">
        <v>292</v>
      </c>
      <c r="K42" s="329" cm="1">
        <f t="array" ref="K42">IF($D42="","",SUMPRODUCT(MAX(($O42:$Y42&lt;&gt;"")*$AA$3:$AK$3)))</f>
        <v>0.2</v>
      </c>
      <c r="L42" s="346">
        <f>IF(COUNT($O42:$Y42)=0,"",MAX($O42:$Y42))</f>
        <v>46275</v>
      </c>
      <c r="M42" s="330">
        <f ca="1">IF($L42="","",TODAY()-$L42)</f>
        <v>-19</v>
      </c>
      <c r="N42" s="325" t="str">
        <f ca="1">IF($L42="","No Record",IF($K42&gt;=1,"Live",IF($M42&gt;=90,"Stalled 90d+",IF($M42&gt;=60,"Stalled 60d+",IF($M42&gt;=30,"Stalled 30d+","In Progress")))))</f>
        <v>In Progress</v>
      </c>
      <c r="O42" s="331">
        <v>46275</v>
      </c>
      <c r="P42" s="331"/>
      <c r="Q42" s="331"/>
      <c r="R42" s="331"/>
      <c r="S42" s="331"/>
      <c r="T42" s="331"/>
      <c r="U42" s="331"/>
      <c r="V42" s="331"/>
      <c r="W42" s="331"/>
      <c r="X42" s="331"/>
      <c r="Y42" s="331"/>
      <c r="Z42" s="367" t="s">
        <v>272</v>
      </c>
      <c r="AL42" s="482"/>
      <c r="AM42" s="483"/>
      <c r="AN42" s="484"/>
      <c r="AO42" s="484"/>
      <c r="AP42" s="482"/>
    </row>
    <row r="43" spans="1:42" ht="15.75" customHeight="1">
      <c r="A43" s="325">
        <f>IF($D43="","",COUNTA($D$4:$D43))</f>
        <v>40</v>
      </c>
      <c r="B43" s="326" t="str">
        <f>IF($D43="","",IF($L43="","Contact",LOOKUP($K43,$AA$5:$AA$8,$AB$5:$AB$8)))</f>
        <v>In Development</v>
      </c>
      <c r="C43" s="326" t="s">
        <v>323</v>
      </c>
      <c r="D43" s="345" t="s">
        <v>337</v>
      </c>
      <c r="E43" s="333" t="s">
        <v>290</v>
      </c>
      <c r="F43" s="328" t="s">
        <v>262</v>
      </c>
      <c r="G43" s="345" t="s">
        <v>277</v>
      </c>
      <c r="H43" s="345"/>
      <c r="I43" s="345" t="s">
        <v>291</v>
      </c>
      <c r="J43" s="345" t="s">
        <v>295</v>
      </c>
      <c r="K43" s="329" cm="1">
        <f t="array" ref="K43">IF($D43="","",SUMPRODUCT(MAX(($O43:$Y43&lt;&gt;"")*$AA$3:$AK$3)))</f>
        <v>0.5</v>
      </c>
      <c r="L43" s="346">
        <f>IF(COUNT($O43:$Y43)=0,"",MAX($O43:$Y43))</f>
        <v>46223</v>
      </c>
      <c r="M43" s="330">
        <f ca="1">IF($L43="","",TODAY()-$L43)</f>
        <v>33</v>
      </c>
      <c r="N43" s="325" t="str">
        <f ca="1">IF($L43="","No Record",IF($K43&gt;=1,"Live",IF($M43&gt;=90,"Stalled 90d+",IF($M43&gt;=60,"Stalled 60d+",IF($M43&gt;=30,"Stalled 30d+","In Progress")))))</f>
        <v>Stalled 30d+</v>
      </c>
      <c r="O43" s="331">
        <v>46178</v>
      </c>
      <c r="P43" s="331">
        <v>46223</v>
      </c>
      <c r="Q43" s="331">
        <v>46223</v>
      </c>
      <c r="R43" s="331">
        <v>46223</v>
      </c>
      <c r="S43" s="331">
        <v>46219</v>
      </c>
      <c r="T43" s="331"/>
      <c r="U43" s="331"/>
      <c r="V43" s="331"/>
      <c r="W43" s="331"/>
      <c r="X43" s="331"/>
      <c r="Y43" s="331"/>
      <c r="Z43" s="367" t="s">
        <v>272</v>
      </c>
      <c r="AL43" s="482"/>
      <c r="AM43" s="483"/>
      <c r="AN43" s="484"/>
      <c r="AO43" s="484"/>
      <c r="AP43" s="482"/>
    </row>
    <row r="44" spans="1:42" ht="15.75" customHeight="1">
      <c r="A44" s="325">
        <f>IF($D44="","",COUNTA($D$4:$D44))</f>
        <v>41</v>
      </c>
      <c r="B44" s="326" t="str">
        <f>IF($D44="","",IF($L44="","Contact",LOOKUP($K44,$AA$5:$AA$8,$AB$5:$AB$8)))</f>
        <v>Contact</v>
      </c>
      <c r="C44" s="326" t="s">
        <v>267</v>
      </c>
      <c r="D44" s="345" t="s">
        <v>338</v>
      </c>
      <c r="E44" s="333" t="s">
        <v>290</v>
      </c>
      <c r="F44" s="328" t="s">
        <v>276</v>
      </c>
      <c r="G44" s="345" t="s">
        <v>277</v>
      </c>
      <c r="H44" s="345"/>
      <c r="I44" s="345" t="s">
        <v>291</v>
      </c>
      <c r="J44" s="345" t="s">
        <v>292</v>
      </c>
      <c r="K44" s="329" cm="1">
        <f t="array" ref="K44">IF($D44="","",SUMPRODUCT(MAX(($O44:$Y44&lt;&gt;"")*$AA$3:$AK$3)))</f>
        <v>0</v>
      </c>
      <c r="L44" s="346" t="str">
        <f>IF(COUNT($O44:$Y44)=0,"",MAX($O44:$Y44))</f>
        <v/>
      </c>
      <c r="M44" s="330" t="str">
        <f ca="1">IF($L44="","",TODAY()-$L44)</f>
        <v/>
      </c>
      <c r="N44" s="325" t="str">
        <f>IF($L44="","No Record",IF($K44&gt;=1,"Live",IF($M44&gt;=90,"Stalled 90d+",IF($M44&gt;=60,"Stalled 60d+",IF($M44&gt;=30,"Stalled 30d+","In Progress")))))</f>
        <v>No Record</v>
      </c>
      <c r="O44" s="331"/>
      <c r="P44" s="331"/>
      <c r="Q44" s="331"/>
      <c r="R44" s="331"/>
      <c r="S44" s="331"/>
      <c r="T44" s="331"/>
      <c r="U44" s="331"/>
      <c r="V44" s="331"/>
      <c r="W44" s="331"/>
      <c r="X44" s="331"/>
      <c r="Y44" s="331"/>
      <c r="Z44" s="367" t="s">
        <v>272</v>
      </c>
      <c r="AL44" s="482"/>
      <c r="AM44" s="483"/>
      <c r="AN44" s="484"/>
      <c r="AO44" s="484"/>
      <c r="AP44" s="482"/>
    </row>
    <row r="45" spans="1:42" ht="15.75" customHeight="1">
      <c r="A45" s="325">
        <f>IF($D45="","",COUNTA($D$4:$D45))</f>
        <v>42</v>
      </c>
      <c r="B45" s="326" t="str">
        <f>IF($D45="","",IF($L45="","Contact",LOOKUP($K45,$AA$5:$AA$8,$AB$5:$AB$8)))</f>
        <v>In Development</v>
      </c>
      <c r="C45" s="326" t="s">
        <v>267</v>
      </c>
      <c r="D45" s="345" t="s">
        <v>339</v>
      </c>
      <c r="E45" s="333" t="s">
        <v>290</v>
      </c>
      <c r="F45" s="328" t="s">
        <v>276</v>
      </c>
      <c r="G45" s="345" t="s">
        <v>277</v>
      </c>
      <c r="H45" s="345"/>
      <c r="I45" s="345" t="s">
        <v>291</v>
      </c>
      <c r="J45" s="345" t="s">
        <v>292</v>
      </c>
      <c r="K45" s="329" cm="1">
        <f t="array" ref="K45">IF($D45="","",SUMPRODUCT(MAX(($O45:$Y45&lt;&gt;"")*$AA$3:$AK$3)))</f>
        <v>0.5</v>
      </c>
      <c r="L45" s="346">
        <f>IF(COUNT($O45:$Y45)=0,"",MAX($O45:$Y45))</f>
        <v>46248</v>
      </c>
      <c r="M45" s="330">
        <f ca="1">IF($L45="","",TODAY()-$L45)</f>
        <v>8</v>
      </c>
      <c r="N45" s="325" t="str">
        <f ca="1">IF($L45="","No Record",IF($K45&gt;=1,"Live",IF($M45&gt;=90,"Stalled 90d+",IF($M45&gt;=60,"Stalled 60d+",IF($M45&gt;=30,"Stalled 30d+","In Progress")))))</f>
        <v>In Progress</v>
      </c>
      <c r="O45" s="331">
        <v>46244</v>
      </c>
      <c r="P45" s="331">
        <v>46245</v>
      </c>
      <c r="Q45" s="331">
        <v>46246</v>
      </c>
      <c r="R45" s="331">
        <v>46247</v>
      </c>
      <c r="S45" s="331">
        <v>46248</v>
      </c>
      <c r="T45" s="331"/>
      <c r="U45" s="331"/>
      <c r="V45" s="331"/>
      <c r="W45" s="331"/>
      <c r="X45" s="331"/>
      <c r="Y45" s="331"/>
      <c r="Z45" s="367" t="s">
        <v>272</v>
      </c>
      <c r="AL45" s="482"/>
      <c r="AM45" s="483"/>
      <c r="AN45" s="484"/>
      <c r="AO45" s="484"/>
      <c r="AP45" s="482"/>
    </row>
    <row r="46" spans="1:42" ht="15.75" customHeight="1">
      <c r="A46" s="325">
        <f>IF($D46="","",COUNTA($D$4:$D46))</f>
        <v>43</v>
      </c>
      <c r="B46" s="326" t="str">
        <f>IF($D46="","",IF($L46="","Contact",LOOKUP($K46,$AA$5:$AA$8,$AB$5:$AB$8)))</f>
        <v>Contact</v>
      </c>
      <c r="C46" s="326" t="s">
        <v>267</v>
      </c>
      <c r="D46" s="345" t="s">
        <v>340</v>
      </c>
      <c r="E46" s="333" t="s">
        <v>290</v>
      </c>
      <c r="F46" s="328" t="s">
        <v>276</v>
      </c>
      <c r="G46" s="345" t="s">
        <v>277</v>
      </c>
      <c r="H46" s="345"/>
      <c r="I46" s="345" t="s">
        <v>291</v>
      </c>
      <c r="J46" s="345" t="s">
        <v>292</v>
      </c>
      <c r="K46" s="329" cm="1">
        <f t="array" ref="K46">IF($D46="","",SUMPRODUCT(MAX(($O46:$Y46&lt;&gt;"")*$AA$3:$AK$3)))</f>
        <v>0</v>
      </c>
      <c r="L46" s="346" t="str">
        <f>IF(COUNT($O46:$Y46)=0,"",MAX($O46:$Y46))</f>
        <v/>
      </c>
      <c r="M46" s="330" t="str">
        <f ca="1">IF($L46="","",TODAY()-$L46)</f>
        <v/>
      </c>
      <c r="N46" s="325" t="str">
        <f>IF($L46="","No Record",IF($K46&gt;=1,"Live",IF($M46&gt;=90,"Stalled 90d+",IF($M46&gt;=60,"Stalled 60d+",IF($M46&gt;=30,"Stalled 30d+","In Progress")))))</f>
        <v>No Record</v>
      </c>
      <c r="O46" s="331"/>
      <c r="P46" s="331"/>
      <c r="Q46" s="331"/>
      <c r="R46" s="331"/>
      <c r="S46" s="331"/>
      <c r="T46" s="331"/>
      <c r="U46" s="331"/>
      <c r="V46" s="331"/>
      <c r="W46" s="331"/>
      <c r="X46" s="331"/>
      <c r="Y46" s="331"/>
      <c r="Z46" s="367" t="s">
        <v>272</v>
      </c>
      <c r="AL46" s="482"/>
      <c r="AM46" s="483"/>
      <c r="AN46" s="484"/>
      <c r="AO46" s="484"/>
      <c r="AP46" s="482"/>
    </row>
    <row r="47" spans="1:42" ht="15.75" customHeight="1">
      <c r="A47" s="325">
        <f>IF($D47="","",COUNTA($D$4:$D47))</f>
        <v>44</v>
      </c>
      <c r="B47" s="326" t="str">
        <f>IF($D47="","",IF($L47="","Contact",LOOKUP($K47,$AA$5:$AA$8,$AB$5:$AB$8)))</f>
        <v>In Development</v>
      </c>
      <c r="C47" s="326" t="s">
        <v>267</v>
      </c>
      <c r="D47" s="345" t="s">
        <v>341</v>
      </c>
      <c r="E47" s="333" t="s">
        <v>290</v>
      </c>
      <c r="F47" s="328" t="s">
        <v>276</v>
      </c>
      <c r="G47" s="345" t="s">
        <v>277</v>
      </c>
      <c r="H47" s="345"/>
      <c r="I47" s="345" t="s">
        <v>291</v>
      </c>
      <c r="J47" s="345" t="s">
        <v>292</v>
      </c>
      <c r="K47" s="329" cm="1">
        <f t="array" ref="K47">IF($D47="","",SUMPRODUCT(MAX(($O47:$Y47&lt;&gt;"")*$AA$3:$AK$3)))</f>
        <v>0.5</v>
      </c>
      <c r="L47" s="346">
        <f>IF(COUNT($O47:$Y47)=0,"",MAX($O47:$Y47))</f>
        <v>46248</v>
      </c>
      <c r="M47" s="330">
        <f ca="1">IF($L47="","",TODAY()-$L47)</f>
        <v>8</v>
      </c>
      <c r="N47" s="325" t="str">
        <f ca="1">IF($L47="","No Record",IF($K47&gt;=1,"Live",IF($M47&gt;=90,"Stalled 90d+",IF($M47&gt;=60,"Stalled 60d+",IF($M47&gt;=30,"Stalled 30d+","In Progress")))))</f>
        <v>In Progress</v>
      </c>
      <c r="O47" s="331">
        <v>46244</v>
      </c>
      <c r="P47" s="331">
        <v>46245</v>
      </c>
      <c r="Q47" s="331">
        <v>46246</v>
      </c>
      <c r="R47" s="331">
        <v>46247</v>
      </c>
      <c r="S47" s="331">
        <v>46248</v>
      </c>
      <c r="T47" s="331"/>
      <c r="U47" s="331"/>
      <c r="V47" s="331"/>
      <c r="W47" s="331"/>
      <c r="X47" s="331"/>
      <c r="Y47" s="331"/>
      <c r="Z47" s="367" t="s">
        <v>272</v>
      </c>
      <c r="AL47" s="482"/>
      <c r="AM47" s="483"/>
      <c r="AN47" s="484"/>
      <c r="AO47" s="484"/>
      <c r="AP47" s="482"/>
    </row>
    <row r="48" spans="1:42" ht="15.75" customHeight="1">
      <c r="A48" s="325">
        <f>IF($D48="","",COUNTA($D$4:$D48))</f>
        <v>45</v>
      </c>
      <c r="B48" s="326" t="str">
        <f>IF($D48="","",IF($L48="","Contact",LOOKUP($K48,$AA$5:$AA$8,$AB$5:$AB$8)))</f>
        <v>In Development</v>
      </c>
      <c r="C48" s="326" t="s">
        <v>267</v>
      </c>
      <c r="D48" s="345" t="s">
        <v>342</v>
      </c>
      <c r="E48" s="333" t="s">
        <v>290</v>
      </c>
      <c r="F48" s="328" t="s">
        <v>276</v>
      </c>
      <c r="G48" s="345" t="s">
        <v>277</v>
      </c>
      <c r="H48" s="345"/>
      <c r="I48" s="345" t="s">
        <v>291</v>
      </c>
      <c r="J48" s="345" t="s">
        <v>292</v>
      </c>
      <c r="K48" s="329" cm="1">
        <f t="array" ref="K48">IF($D48="","",SUMPRODUCT(MAX(($O48:$Y48&lt;&gt;"")*$AA$3:$AK$3)))</f>
        <v>0.5</v>
      </c>
      <c r="L48" s="346">
        <f>IF(COUNT($O48:$Y48)=0,"",MAX($O48:$Y48))</f>
        <v>46248</v>
      </c>
      <c r="M48" s="330">
        <f ca="1">IF($L48="","",TODAY()-$L48)</f>
        <v>8</v>
      </c>
      <c r="N48" s="325" t="str">
        <f ca="1">IF($L48="","No Record",IF($K48&gt;=1,"Live",IF($M48&gt;=90,"Stalled 90d+",IF($M48&gt;=60,"Stalled 60d+",IF($M48&gt;=30,"Stalled 30d+","In Progress")))))</f>
        <v>In Progress</v>
      </c>
      <c r="O48" s="331">
        <v>46244</v>
      </c>
      <c r="P48" s="331">
        <v>46245</v>
      </c>
      <c r="Q48" s="331">
        <v>46246</v>
      </c>
      <c r="R48" s="331">
        <v>46247</v>
      </c>
      <c r="S48" s="331">
        <v>46248</v>
      </c>
      <c r="T48" s="331"/>
      <c r="U48" s="331"/>
      <c r="V48" s="331"/>
      <c r="W48" s="331"/>
      <c r="X48" s="331"/>
      <c r="Y48" s="331"/>
      <c r="Z48" s="367" t="s">
        <v>272</v>
      </c>
      <c r="AL48" s="482"/>
      <c r="AM48" s="483"/>
      <c r="AN48" s="484"/>
      <c r="AO48" s="484"/>
      <c r="AP48" s="482"/>
    </row>
    <row r="49" spans="1:42" ht="15.75" customHeight="1">
      <c r="A49" s="325">
        <f>IF($D49="","",COUNTA($D$4:$D49))</f>
        <v>46</v>
      </c>
      <c r="B49" s="326" t="str">
        <f>IF($D49="","",IF($L49="","Contact",LOOKUP($K49,$AA$5:$AA$8,$AB$5:$AB$8)))</f>
        <v>Contact</v>
      </c>
      <c r="C49" s="326" t="s">
        <v>267</v>
      </c>
      <c r="D49" s="345" t="s">
        <v>343</v>
      </c>
      <c r="E49" s="333" t="s">
        <v>290</v>
      </c>
      <c r="F49" s="328" t="s">
        <v>262</v>
      </c>
      <c r="G49" s="345" t="s">
        <v>277</v>
      </c>
      <c r="H49" s="345"/>
      <c r="I49" s="345" t="s">
        <v>291</v>
      </c>
      <c r="J49" s="345" t="s">
        <v>292</v>
      </c>
      <c r="K49" s="329" cm="1">
        <f t="array" ref="K49">IF($D49="","",SUMPRODUCT(MAX(($O49:$Y49&lt;&gt;"")*$AA$3:$AK$3)))</f>
        <v>0</v>
      </c>
      <c r="L49" s="346" t="str">
        <f>IF(COUNT($O49:$Y49)=0,"",MAX($O49:$Y49))</f>
        <v/>
      </c>
      <c r="M49" s="330" t="str">
        <f ca="1">IF($L49="","",TODAY()-$L49)</f>
        <v/>
      </c>
      <c r="N49" s="325" t="str">
        <f>IF($L49="","No Record",IF($K49&gt;=1,"Live",IF($M49&gt;=90,"Stalled 90d+",IF($M49&gt;=60,"Stalled 60d+",IF($M49&gt;=30,"Stalled 30d+","In Progress")))))</f>
        <v>No Record</v>
      </c>
      <c r="O49" s="331"/>
      <c r="P49" s="331"/>
      <c r="Q49" s="331"/>
      <c r="R49" s="331"/>
      <c r="S49" s="331"/>
      <c r="T49" s="331"/>
      <c r="U49" s="331"/>
      <c r="V49" s="331"/>
      <c r="W49" s="331"/>
      <c r="X49" s="331"/>
      <c r="Y49" s="331"/>
      <c r="Z49" s="367" t="s">
        <v>272</v>
      </c>
      <c r="AL49" s="482"/>
      <c r="AM49" s="483"/>
      <c r="AN49" s="484"/>
      <c r="AO49" s="484"/>
      <c r="AP49" s="482"/>
    </row>
    <row r="50" spans="1:42" ht="15.75" customHeight="1">
      <c r="A50" s="325">
        <f>IF($D50="","",COUNTA($D$4:$D50))</f>
        <v>47</v>
      </c>
      <c r="B50" s="391" t="str">
        <f>IF($D50="","",IF($L50="","Contact",LOOKUP($K50,$AA$5:$AA$8,$AB$5:$AB$8)))</f>
        <v>Contact</v>
      </c>
      <c r="C50" s="391" t="s">
        <v>267</v>
      </c>
      <c r="D50" s="390" t="s">
        <v>344</v>
      </c>
      <c r="E50" s="389" t="s">
        <v>290</v>
      </c>
      <c r="F50" s="390"/>
      <c r="G50" s="345" t="s">
        <v>277</v>
      </c>
      <c r="H50" s="388"/>
      <c r="I50" s="117" t="s">
        <v>291</v>
      </c>
      <c r="J50" s="390" t="s">
        <v>292</v>
      </c>
      <c r="K50" s="387" cm="1">
        <f t="array" ref="K50">IF($D50="","",SUMPRODUCT(MAX(($O50:$Y50&lt;&gt;"")*$AA$3:$AK$3)))</f>
        <v>0</v>
      </c>
      <c r="L50" s="386" t="str">
        <f>IF(COUNT($O50:$Y50)=0,"",MAX($O50:$Y50))</f>
        <v/>
      </c>
      <c r="M50" s="385" t="str">
        <f ca="1">IF($L50="","",TODAY()-$L50)</f>
        <v/>
      </c>
      <c r="N50" s="384" t="str">
        <f>IF($L50="","No Record",IF($K50&gt;=1,"Live",IF($M50&gt;=90,"Stalled 90d+",IF($M50&gt;=60,"Stalled 60d+",IF($M50&gt;=30,"Stalled 30d+","In Progress")))))</f>
        <v>No Record</v>
      </c>
      <c r="O50" s="383"/>
      <c r="P50" s="382"/>
      <c r="Q50" s="382"/>
      <c r="R50" s="383"/>
      <c r="S50" s="383"/>
      <c r="T50" s="383"/>
      <c r="U50" s="383"/>
      <c r="V50" s="383"/>
      <c r="W50" s="382"/>
      <c r="X50" s="383"/>
      <c r="Y50" s="382"/>
      <c r="Z50" s="367" t="s">
        <v>266</v>
      </c>
      <c r="AL50" s="482"/>
      <c r="AM50" s="483"/>
      <c r="AN50" s="484"/>
      <c r="AO50" s="484"/>
      <c r="AP50" s="482"/>
    </row>
    <row r="51" spans="1:42" ht="15.75" customHeight="1">
      <c r="A51" s="325">
        <f>IF($D51="","",COUNTA($D$4:$D51))</f>
        <v>48</v>
      </c>
      <c r="B51" s="347" t="str">
        <f>IF($D51="","",IF($L51="","Contact",LOOKUP($K51,$AA$5:$AA$8,$AB$5:$AB$8)))</f>
        <v>Contact</v>
      </c>
      <c r="C51" s="347" t="s">
        <v>323</v>
      </c>
      <c r="D51" s="117" t="s">
        <v>345</v>
      </c>
      <c r="E51" s="348" t="s">
        <v>290</v>
      </c>
      <c r="F51" s="117"/>
      <c r="G51" s="345" t="s">
        <v>277</v>
      </c>
      <c r="H51" s="118"/>
      <c r="I51" s="117" t="s">
        <v>291</v>
      </c>
      <c r="J51" s="345" t="s">
        <v>298</v>
      </c>
      <c r="K51" s="356" cm="1">
        <f t="array" ref="K51">IF($D51="","",SUMPRODUCT(MAX(($O51:$Y51&lt;&gt;"")*$AA$3:$AK$3)))</f>
        <v>0</v>
      </c>
      <c r="L51" s="120" t="str">
        <f>IF(COUNT($O51:$Y51)=0,"",MAX($O51:$Y51))</f>
        <v/>
      </c>
      <c r="M51" s="365" t="str">
        <f ca="1">IF($L51="","",TODAY()-$L51)</f>
        <v/>
      </c>
      <c r="N51" s="123" t="str">
        <f>IF($L51="","No Record",IF($K51&gt;=1,"Live",IF($M51&gt;=90,"Stalled 90d+",IF($M51&gt;=60,"Stalled 60d+",IF($M51&gt;=30,"Stalled 30d+","In Progress")))))</f>
        <v>No Record</v>
      </c>
      <c r="O51" s="357"/>
      <c r="P51" s="358"/>
      <c r="Q51" s="358"/>
      <c r="R51" s="357"/>
      <c r="S51" s="357"/>
      <c r="T51" s="357"/>
      <c r="U51" s="357"/>
      <c r="V51" s="357"/>
      <c r="W51" s="358"/>
      <c r="X51" s="357"/>
      <c r="Y51" s="358"/>
      <c r="Z51" s="367" t="s">
        <v>266</v>
      </c>
      <c r="AL51" s="482"/>
      <c r="AM51" s="483"/>
      <c r="AN51" s="484"/>
      <c r="AO51" s="484"/>
      <c r="AP51" s="482"/>
    </row>
    <row r="52" spans="1:42" ht="15.75" customHeight="1">
      <c r="A52" s="325">
        <f>IF($D52="","",COUNTA($D$4:$D52))</f>
        <v>49</v>
      </c>
      <c r="B52" s="347" t="str">
        <f>IF($D52="","",IF($L52="","Contact",LOOKUP($K52,$AA$5:$AA$8,$AB$5:$AB$8)))</f>
        <v>NDA/Contract</v>
      </c>
      <c r="C52" s="347" t="s">
        <v>323</v>
      </c>
      <c r="D52" s="117" t="s">
        <v>346</v>
      </c>
      <c r="E52" s="348" t="s">
        <v>290</v>
      </c>
      <c r="F52" s="117"/>
      <c r="G52" s="345" t="s">
        <v>277</v>
      </c>
      <c r="H52" s="118"/>
      <c r="I52" s="117" t="s">
        <v>291</v>
      </c>
      <c r="J52" s="345" t="s">
        <v>298</v>
      </c>
      <c r="K52" s="356" cm="1">
        <f t="array" ref="K52">IF($D52="","",SUMPRODUCT(MAX(($O52:$Y52&lt;&gt;"")*$AA$3:$AK$3)))</f>
        <v>0.4</v>
      </c>
      <c r="L52" s="120">
        <f>IF(COUNT($O52:$Y52)=0,"",MAX($O52:$Y52))</f>
        <v>46212</v>
      </c>
      <c r="M52" s="365">
        <f ca="1">IF($L52="","",TODAY()-$L52)</f>
        <v>44</v>
      </c>
      <c r="N52" s="123" t="str">
        <f ca="1">IF($L52="","No Record",IF($K52&gt;=1,"Live",IF($M52&gt;=90,"Stalled 90d+",IF($M52&gt;=60,"Stalled 60d+",IF($M52&gt;=30,"Stalled 30d+","In Progress")))))</f>
        <v>Stalled 30d+</v>
      </c>
      <c r="O52" s="357">
        <v>46212</v>
      </c>
      <c r="P52" s="358">
        <v>46212</v>
      </c>
      <c r="Q52" s="358">
        <v>46212</v>
      </c>
      <c r="R52" s="357"/>
      <c r="S52" s="357"/>
      <c r="T52" s="357"/>
      <c r="U52" s="357"/>
      <c r="V52" s="357"/>
      <c r="W52" s="358"/>
      <c r="X52" s="357"/>
      <c r="Y52" s="358"/>
      <c r="Z52" s="367" t="s">
        <v>272</v>
      </c>
      <c r="AL52" s="482"/>
      <c r="AM52" s="483"/>
      <c r="AN52" s="484"/>
      <c r="AO52" s="484"/>
      <c r="AP52" s="482"/>
    </row>
    <row r="53" spans="1:42" ht="15.75" customHeight="1">
      <c r="A53" s="325">
        <f>IF($D53="","",COUNTA($D$4:$D53))</f>
        <v>50</v>
      </c>
      <c r="B53" s="347" t="str">
        <f>IF($D53="","",IF($L53="","Contact",LOOKUP($K53,$AA$5:$AA$8,$AB$5:$AB$8)))</f>
        <v>Contact</v>
      </c>
      <c r="C53" s="326" t="s">
        <v>267</v>
      </c>
      <c r="D53" s="117" t="s">
        <v>347</v>
      </c>
      <c r="E53" s="348" t="s">
        <v>290</v>
      </c>
      <c r="F53" s="117"/>
      <c r="G53" s="345" t="s">
        <v>277</v>
      </c>
      <c r="H53" s="118"/>
      <c r="I53" s="117" t="s">
        <v>291</v>
      </c>
      <c r="J53" s="117" t="s">
        <v>292</v>
      </c>
      <c r="K53" s="356" cm="1">
        <f t="array" ref="K53">IF($D53="","",SUMPRODUCT(MAX(($O53:$Y53&lt;&gt;"")*$AA$3:$AK$3)))</f>
        <v>0</v>
      </c>
      <c r="L53" s="120" t="str">
        <f>IF(COUNT($O53:$Y53)=0,"",MAX($O53:$Y53))</f>
        <v/>
      </c>
      <c r="M53" s="365" t="str">
        <f ca="1">IF($L53="","",TODAY()-$L53)</f>
        <v/>
      </c>
      <c r="N53" s="123" t="str">
        <f>IF($L53="","No Record",IF($K53&gt;=1,"Live",IF($M53&gt;=90,"Stalled 90d+",IF($M53&gt;=60,"Stalled 60d+",IF($M53&gt;=30,"Stalled 30d+","In Progress")))))</f>
        <v>No Record</v>
      </c>
      <c r="O53" s="357"/>
      <c r="P53" s="358"/>
      <c r="Q53" s="358"/>
      <c r="R53" s="357"/>
      <c r="S53" s="357"/>
      <c r="T53" s="357"/>
      <c r="U53" s="357"/>
      <c r="V53" s="357"/>
      <c r="W53" s="358"/>
      <c r="X53" s="357"/>
      <c r="Y53" s="358"/>
      <c r="Z53" s="367" t="s">
        <v>266</v>
      </c>
      <c r="AL53" s="482"/>
      <c r="AM53" s="483"/>
      <c r="AN53" s="484"/>
      <c r="AO53" s="484"/>
      <c r="AP53" s="482"/>
    </row>
    <row r="54" spans="1:42" ht="15.75" customHeight="1">
      <c r="A54" s="325">
        <f>IF($D54="","",COUNTA($D$4:$D54))</f>
        <v>51</v>
      </c>
      <c r="B54" s="347" t="str">
        <f>IF($D54="","",IF($L54="","Contact",LOOKUP($K54,$AA$5:$AA$8,$AB$5:$AB$8)))</f>
        <v>Contact</v>
      </c>
      <c r="C54" s="394"/>
      <c r="D54" s="117" t="s">
        <v>348</v>
      </c>
      <c r="E54" s="348" t="s">
        <v>290</v>
      </c>
      <c r="F54" s="117"/>
      <c r="G54" s="345" t="s">
        <v>277</v>
      </c>
      <c r="H54" s="118"/>
      <c r="I54" s="117" t="s">
        <v>291</v>
      </c>
      <c r="J54" s="117" t="s">
        <v>292</v>
      </c>
      <c r="K54" s="356" cm="1">
        <f t="array" ref="K54">IF($D54="","",SUMPRODUCT(MAX(($O54:$Y54&lt;&gt;"")*$AA$3:$AK$3)))</f>
        <v>0</v>
      </c>
      <c r="L54" s="120" t="str">
        <f>IF(COUNT($O54:$Y54)=0,"",MAX($O54:$Y54))</f>
        <v/>
      </c>
      <c r="M54" s="365" t="str">
        <f ca="1">IF($L54="","",TODAY()-$L54)</f>
        <v/>
      </c>
      <c r="N54" s="123" t="str">
        <f>IF($L54="","No Record",IF($K54&gt;=1,"Live",IF($M54&gt;=90,"Stalled 90d+",IF($M54&gt;=60,"Stalled 60d+",IF($M54&gt;=30,"Stalled 30d+","In Progress")))))</f>
        <v>No Record</v>
      </c>
      <c r="O54" s="357"/>
      <c r="P54" s="358"/>
      <c r="Q54" s="358"/>
      <c r="R54" s="357"/>
      <c r="S54" s="357"/>
      <c r="T54" s="357"/>
      <c r="U54" s="357"/>
      <c r="V54" s="357"/>
      <c r="W54" s="358"/>
      <c r="X54" s="357"/>
      <c r="Y54" s="358"/>
      <c r="Z54" s="367" t="s">
        <v>266</v>
      </c>
      <c r="AL54" s="482"/>
      <c r="AM54" s="483"/>
      <c r="AN54" s="484"/>
      <c r="AO54" s="484"/>
      <c r="AP54" s="482"/>
    </row>
    <row r="55" spans="1:42" ht="15.75" customHeight="1">
      <c r="A55" s="325">
        <f>IF($D55="","",COUNTA($D$4:$D55))</f>
        <v>52</v>
      </c>
      <c r="B55" s="347" t="str">
        <f>IF($D55="","",IF($L55="","Contact",LOOKUP($K55,$AA$5:$AA$8,$AB$5:$AB$8)))</f>
        <v>NDA/Contract</v>
      </c>
      <c r="C55" s="394"/>
      <c r="D55" s="117" t="s">
        <v>349</v>
      </c>
      <c r="E55" s="348" t="s">
        <v>290</v>
      </c>
      <c r="F55" s="117"/>
      <c r="G55" s="345" t="s">
        <v>277</v>
      </c>
      <c r="H55" s="118"/>
      <c r="I55" s="117" t="s">
        <v>291</v>
      </c>
      <c r="J55" s="117" t="s">
        <v>292</v>
      </c>
      <c r="K55" s="356" cm="1">
        <f t="array" ref="K55">IF($D55="","",SUMPRODUCT(MAX(($O55:$Y55&lt;&gt;"")*$AA$3:$AK$3)))</f>
        <v>0.2</v>
      </c>
      <c r="L55" s="120">
        <f>IF(COUNT($O55:$Y55)=0,"",MAX($O55:$Y55))</f>
        <v>46027</v>
      </c>
      <c r="M55" s="365">
        <f ca="1">IF($L55="","",TODAY()-$L55)</f>
        <v>229</v>
      </c>
      <c r="N55" s="123" t="str">
        <f ca="1">IF($L55="","No Record",IF($K55&gt;=1,"Live",IF($M55&gt;=90,"Stalled 90d+",IF($M55&gt;=60,"Stalled 60d+",IF($M55&gt;=30,"Stalled 30d+","In Progress")))))</f>
        <v>Stalled 90d+</v>
      </c>
      <c r="O55" s="357">
        <v>46027</v>
      </c>
      <c r="P55" s="358"/>
      <c r="Q55" s="358"/>
      <c r="R55" s="357"/>
      <c r="S55" s="357"/>
      <c r="T55" s="357"/>
      <c r="U55" s="357"/>
      <c r="V55" s="357"/>
      <c r="W55" s="358"/>
      <c r="X55" s="357"/>
      <c r="Y55" s="358"/>
      <c r="Z55" s="367" t="s">
        <v>272</v>
      </c>
      <c r="AL55" s="482"/>
      <c r="AM55" s="483"/>
      <c r="AN55" s="484"/>
      <c r="AO55" s="484"/>
      <c r="AP55" s="482"/>
    </row>
    <row r="56" spans="1:42" ht="15.75" customHeight="1">
      <c r="A56" s="325">
        <f>IF($D56="","",COUNTA($D$4:$D56))</f>
        <v>53</v>
      </c>
      <c r="B56" s="326" t="str">
        <f>IF($D56="","",IF($L56="","Contact",LOOKUP($K56,$AA$5:$AA$8,$AB$5:$AB$8)))</f>
        <v>Contact</v>
      </c>
      <c r="C56" s="326" t="s">
        <v>299</v>
      </c>
      <c r="D56" s="345" t="s">
        <v>300</v>
      </c>
      <c r="E56" s="392" t="s">
        <v>350</v>
      </c>
      <c r="F56" s="328" t="s">
        <v>262</v>
      </c>
      <c r="G56" s="345" t="s">
        <v>263</v>
      </c>
      <c r="H56" s="345"/>
      <c r="I56" s="345" t="s">
        <v>264</v>
      </c>
      <c r="J56" s="345" t="s">
        <v>265</v>
      </c>
      <c r="K56" s="329" cm="1">
        <f t="array" ref="K56">IF($D56="","",SUMPRODUCT(MAX(($O56:$Y56&lt;&gt;"")*$AA$3:$AK$3)))</f>
        <v>0</v>
      </c>
      <c r="L56" s="346" t="str">
        <f>IF(COUNT($O56:$Y56)=0,"",MAX($O56:$Y56))</f>
        <v/>
      </c>
      <c r="M56" s="330" t="str">
        <f ca="1">IF($L56="","",TODAY()-$L56)</f>
        <v/>
      </c>
      <c r="N56" s="325" t="str">
        <f>IF($L56="","No Record",IF($K56&gt;=1,"Live",IF($M56&gt;=90,"Stalled 90d+",IF($M56&gt;=60,"Stalled 60d+",IF($M56&gt;=30,"Stalled 30d+","In Progress")))))</f>
        <v>No Record</v>
      </c>
      <c r="O56" s="331"/>
      <c r="P56" s="331"/>
      <c r="Q56" s="331"/>
      <c r="R56" s="331"/>
      <c r="S56" s="331"/>
      <c r="T56" s="331"/>
      <c r="U56" s="331"/>
      <c r="V56" s="331"/>
      <c r="W56" s="331"/>
      <c r="X56" s="331"/>
      <c r="Y56" s="331"/>
      <c r="Z56" s="367" t="s">
        <v>272</v>
      </c>
      <c r="AL56" s="482"/>
      <c r="AM56" s="483"/>
      <c r="AN56" s="484"/>
      <c r="AO56" s="484"/>
      <c r="AP56" s="482"/>
    </row>
    <row r="57" spans="1:42" ht="15.75" customHeight="1">
      <c r="A57" s="325">
        <f>IF($D57="","",COUNTA($D$4:$D57))</f>
        <v>54</v>
      </c>
      <c r="B57" s="326" t="str">
        <f>IF($D57="","",IF($L57="","Contact",LOOKUP($K57,$AA$5:$AA$8,$AB$5:$AB$8)))</f>
        <v>Contact</v>
      </c>
      <c r="C57" s="326" t="s">
        <v>301</v>
      </c>
      <c r="D57" s="345" t="s">
        <v>351</v>
      </c>
      <c r="E57" s="392" t="s">
        <v>350</v>
      </c>
      <c r="F57" s="328" t="s">
        <v>276</v>
      </c>
      <c r="G57" s="345" t="s">
        <v>263</v>
      </c>
      <c r="H57" s="345"/>
      <c r="I57" s="345" t="s">
        <v>264</v>
      </c>
      <c r="J57" s="345" t="s">
        <v>265</v>
      </c>
      <c r="K57" s="329" cm="1">
        <f t="array" ref="K57">IF($D57="","",SUMPRODUCT(MAX(($O57:$Y57&lt;&gt;"")*$AA$3:$AK$3)))</f>
        <v>0</v>
      </c>
      <c r="L57" s="346" t="str">
        <f>IF(COUNT($O57:$Y57)=0,"",MAX($O57:$Y57))</f>
        <v/>
      </c>
      <c r="M57" s="330" t="str">
        <f ca="1">IF($L57="","",TODAY()-$L57)</f>
        <v/>
      </c>
      <c r="N57" s="325" t="str">
        <f>IF($L57="","No Record",IF($K57&gt;=1,"Live",IF($M57&gt;=90,"Stalled 90d+",IF($M57&gt;=60,"Stalled 60d+",IF($M57&gt;=30,"Stalled 30d+","In Progress")))))</f>
        <v>No Record</v>
      </c>
      <c r="O57" s="331"/>
      <c r="P57" s="331"/>
      <c r="Q57" s="331"/>
      <c r="R57" s="331"/>
      <c r="S57" s="331"/>
      <c r="T57" s="331"/>
      <c r="U57" s="331"/>
      <c r="V57" s="331"/>
      <c r="W57" s="331"/>
      <c r="X57" s="331"/>
      <c r="Y57" s="331"/>
      <c r="Z57" s="367" t="s">
        <v>266</v>
      </c>
      <c r="AL57" s="482"/>
      <c r="AM57" s="483"/>
      <c r="AN57" s="484"/>
      <c r="AO57" s="484"/>
      <c r="AP57" s="482"/>
    </row>
    <row r="58" spans="1:42" ht="15.75" customHeight="1">
      <c r="A58" s="325">
        <f>IF($D58="","",COUNTA($D$4:$D58))</f>
        <v>55</v>
      </c>
      <c r="B58" s="326" t="str">
        <f>IF($D58="","",IF($L58="","Contact",LOOKUP($K58,$AA$5:$AA$8,$AB$5:$AB$8)))</f>
        <v>Contact</v>
      </c>
      <c r="C58" s="326" t="s">
        <v>273</v>
      </c>
      <c r="D58" s="345" t="s">
        <v>352</v>
      </c>
      <c r="E58" s="392" t="s">
        <v>350</v>
      </c>
      <c r="F58" s="328" t="s">
        <v>262</v>
      </c>
      <c r="G58" s="345" t="s">
        <v>263</v>
      </c>
      <c r="H58" s="345"/>
      <c r="I58" s="345" t="s">
        <v>264</v>
      </c>
      <c r="J58" s="345" t="s">
        <v>265</v>
      </c>
      <c r="K58" s="329" cm="1">
        <f t="array" ref="K58">IF($D58="","",SUMPRODUCT(MAX(($O58:$Y58&lt;&gt;"")*$AA$3:$AK$3)))</f>
        <v>0</v>
      </c>
      <c r="L58" s="346" t="str">
        <f>IF(COUNT($O58:$Y58)=0,"",MAX($O58:$Y58))</f>
        <v/>
      </c>
      <c r="M58" s="330" t="str">
        <f ca="1">IF($L58="","",TODAY()-$L58)</f>
        <v/>
      </c>
      <c r="N58" s="325" t="str">
        <f>IF($L58="","No Record",IF($K58&gt;=1,"Live",IF($M58&gt;=90,"Stalled 90d+",IF($M58&gt;=60,"Stalled 60d+",IF($M58&gt;=30,"Stalled 30d+","In Progress")))))</f>
        <v>No Record</v>
      </c>
      <c r="O58" s="331"/>
      <c r="P58" s="331"/>
      <c r="Q58" s="331"/>
      <c r="R58" s="331"/>
      <c r="S58" s="331"/>
      <c r="T58" s="331"/>
      <c r="U58" s="331"/>
      <c r="V58" s="331"/>
      <c r="W58" s="331"/>
      <c r="X58" s="331"/>
      <c r="Y58" s="331"/>
      <c r="Z58" s="367" t="s">
        <v>272</v>
      </c>
      <c r="AL58" s="482"/>
      <c r="AM58" s="483"/>
      <c r="AN58" s="484"/>
      <c r="AO58" s="484"/>
      <c r="AP58" s="482"/>
    </row>
    <row r="59" spans="1:42" ht="15.75" customHeight="1">
      <c r="A59" s="325">
        <f>IF($D59="","",COUNTA($D$4:$D59))</f>
        <v>56</v>
      </c>
      <c r="B59" s="326" t="str">
        <f>IF($D59="","",IF($L59="","Contact",LOOKUP($K59,$AA$5:$AA$8,$AB$5:$AB$8)))</f>
        <v>Contact</v>
      </c>
      <c r="C59" s="393"/>
      <c r="D59" s="345" t="s">
        <v>325</v>
      </c>
      <c r="E59" s="392" t="s">
        <v>350</v>
      </c>
      <c r="F59" s="328" t="s">
        <v>276</v>
      </c>
      <c r="G59" s="345" t="s">
        <v>277</v>
      </c>
      <c r="H59" s="345"/>
      <c r="I59" s="345" t="s">
        <v>264</v>
      </c>
      <c r="J59" s="345" t="s">
        <v>265</v>
      </c>
      <c r="K59" s="329" cm="1">
        <f t="array" ref="K59">IF($D59="","",SUMPRODUCT(MAX(($O59:$Y59&lt;&gt;"")*$AA$3:$AK$3)))</f>
        <v>0</v>
      </c>
      <c r="L59" s="346" t="str">
        <f>IF(COUNT($O59:$Y59)=0,"",MAX($O59:$Y59))</f>
        <v/>
      </c>
      <c r="M59" s="330" t="str">
        <f ca="1">IF($L59="","",TODAY()-$L59)</f>
        <v/>
      </c>
      <c r="N59" s="325" t="str">
        <f>IF($L59="","No Record",IF($K59&gt;=1,"Live",IF($M59&gt;=90,"Stalled 90d+",IF($M59&gt;=60,"Stalled 60d+",IF($M59&gt;=30,"Stalled 30d+","In Progress")))))</f>
        <v>No Record</v>
      </c>
      <c r="O59" s="331"/>
      <c r="P59" s="331"/>
      <c r="Q59" s="331"/>
      <c r="R59" s="331"/>
      <c r="S59" s="331"/>
      <c r="T59" s="331"/>
      <c r="U59" s="331"/>
      <c r="V59" s="331"/>
      <c r="W59" s="331"/>
      <c r="X59" s="331"/>
      <c r="Y59" s="331"/>
      <c r="Z59" s="367" t="s">
        <v>266</v>
      </c>
      <c r="AL59" s="482"/>
      <c r="AM59" s="483"/>
      <c r="AN59" s="484"/>
      <c r="AO59" s="484"/>
      <c r="AP59" s="482"/>
    </row>
    <row r="60" spans="1:42" ht="15.75" customHeight="1">
      <c r="A60" s="325">
        <f>IF($D60="","",COUNTA($D$4:$D60))</f>
        <v>57</v>
      </c>
      <c r="B60" s="326" t="str">
        <f>IF($D60="","",IF($L60="","Contact",LOOKUP($K60,$AA$5:$AA$8,$AB$5:$AB$8)))</f>
        <v>Contact</v>
      </c>
      <c r="C60" s="326" t="s">
        <v>308</v>
      </c>
      <c r="D60" s="345" t="s">
        <v>353</v>
      </c>
      <c r="E60" s="392" t="s">
        <v>350</v>
      </c>
      <c r="F60" s="328" t="s">
        <v>276</v>
      </c>
      <c r="G60" s="345" t="s">
        <v>277</v>
      </c>
      <c r="H60" s="345"/>
      <c r="I60" s="345" t="s">
        <v>264</v>
      </c>
      <c r="J60" s="345" t="s">
        <v>265</v>
      </c>
      <c r="K60" s="329" cm="1">
        <f t="array" ref="K60">IF($D60="","",SUMPRODUCT(MAX(($O60:$Y60&lt;&gt;"")*$AA$3:$AK$3)))</f>
        <v>0</v>
      </c>
      <c r="L60" s="346" t="str">
        <f>IF(COUNT($O60:$Y60)=0,"",MAX($O60:$Y60))</f>
        <v/>
      </c>
      <c r="M60" s="330" t="str">
        <f ca="1">IF($L60="","",TODAY()-$L60)</f>
        <v/>
      </c>
      <c r="N60" s="325" t="str">
        <f>IF($L60="","No Record",IF($K60&gt;=1,"Live",IF($M60&gt;=90,"Stalled 90d+",IF($M60&gt;=60,"Stalled 60d+",IF($M60&gt;=30,"Stalled 30d+","In Progress")))))</f>
        <v>No Record</v>
      </c>
      <c r="O60" s="331"/>
      <c r="P60" s="331"/>
      <c r="Q60" s="331"/>
      <c r="R60" s="331"/>
      <c r="S60" s="331"/>
      <c r="T60" s="331"/>
      <c r="U60" s="331"/>
      <c r="V60" s="331"/>
      <c r="W60" s="331"/>
      <c r="X60" s="331"/>
      <c r="Y60" s="331"/>
      <c r="Z60" s="367" t="s">
        <v>272</v>
      </c>
      <c r="AL60" s="482"/>
      <c r="AM60" s="483"/>
      <c r="AN60" s="484"/>
      <c r="AO60" s="484"/>
      <c r="AP60" s="482"/>
    </row>
    <row r="61" spans="1:42" ht="15.75" customHeight="1">
      <c r="A61" s="325">
        <f>IF($D61="","",COUNTA($D$4:$D61))</f>
        <v>58</v>
      </c>
      <c r="B61" s="326" t="str">
        <f>IF($D61="","",IF($L61="","Contact",LOOKUP($K61,$AA$5:$AA$8,$AB$5:$AB$8)))</f>
        <v>Contact</v>
      </c>
      <c r="C61" s="326" t="s">
        <v>273</v>
      </c>
      <c r="D61" s="345" t="s">
        <v>354</v>
      </c>
      <c r="E61" s="392" t="s">
        <v>350</v>
      </c>
      <c r="F61" s="328" t="s">
        <v>276</v>
      </c>
      <c r="G61" s="345" t="s">
        <v>277</v>
      </c>
      <c r="H61" s="345"/>
      <c r="I61" s="345" t="s">
        <v>264</v>
      </c>
      <c r="J61" s="345" t="s">
        <v>265</v>
      </c>
      <c r="K61" s="329" cm="1">
        <f t="array" ref="K61">IF($D61="","",SUMPRODUCT(MAX(($O61:$Y61&lt;&gt;"")*$AA$3:$AK$3)))</f>
        <v>0</v>
      </c>
      <c r="L61" s="346" t="str">
        <f>IF(COUNT($O61:$Y61)=0,"",MAX($O61:$Y61))</f>
        <v/>
      </c>
      <c r="M61" s="330" t="str">
        <f ca="1">IF($L61="","",TODAY()-$L61)</f>
        <v/>
      </c>
      <c r="N61" s="325" t="str">
        <f>IF($L61="","No Record",IF($K61&gt;=1,"Live",IF($M61&gt;=90,"Stalled 90d+",IF($M61&gt;=60,"Stalled 60d+",IF($M61&gt;=30,"Stalled 30d+","In Progress")))))</f>
        <v>No Record</v>
      </c>
      <c r="O61" s="331"/>
      <c r="P61" s="331"/>
      <c r="Q61" s="331"/>
      <c r="R61" s="331"/>
      <c r="S61" s="331"/>
      <c r="T61" s="331"/>
      <c r="U61" s="331"/>
      <c r="V61" s="331"/>
      <c r="W61" s="331"/>
      <c r="X61" s="331"/>
      <c r="Y61" s="331"/>
      <c r="Z61" s="367" t="s">
        <v>266</v>
      </c>
      <c r="AL61" s="482"/>
      <c r="AM61" s="483"/>
      <c r="AN61" s="484"/>
      <c r="AO61" s="484"/>
      <c r="AP61" s="482"/>
    </row>
    <row r="62" spans="1:42" ht="15.75" customHeight="1">
      <c r="A62" s="325">
        <f>IF($D62="","",COUNTA($D$4:$D62))</f>
        <v>59</v>
      </c>
      <c r="B62" s="326" t="str">
        <f>IF($D62="","",IF($L62="","Contact",LOOKUP($K62,$AA$5:$AA$8,$AB$5:$AB$8)))</f>
        <v>Contact</v>
      </c>
      <c r="C62" s="326" t="s">
        <v>355</v>
      </c>
      <c r="D62" s="345" t="s">
        <v>356</v>
      </c>
      <c r="E62" s="392" t="s">
        <v>350</v>
      </c>
      <c r="F62" s="328" t="s">
        <v>276</v>
      </c>
      <c r="G62" s="345" t="s">
        <v>263</v>
      </c>
      <c r="H62" s="345"/>
      <c r="I62" s="345" t="s">
        <v>264</v>
      </c>
      <c r="J62" s="345" t="s">
        <v>265</v>
      </c>
      <c r="K62" s="329" cm="1">
        <f t="array" ref="K62">IF($D62="","",SUMPRODUCT(MAX(($O62:$Y62&lt;&gt;"")*$AA$3:$AK$3)))</f>
        <v>0</v>
      </c>
      <c r="L62" s="346" t="str">
        <f>IF(COUNT($O62:$Y62)=0,"",MAX($O62:$Y62))</f>
        <v/>
      </c>
      <c r="M62" s="330" t="str">
        <f ca="1">IF($L62="","",TODAY()-$L62)</f>
        <v/>
      </c>
      <c r="N62" s="325" t="str">
        <f>IF($L62="","No Record",IF($K62&gt;=1,"Live",IF($M62&gt;=90,"Stalled 90d+",IF($M62&gt;=60,"Stalled 60d+",IF($M62&gt;=30,"Stalled 30d+","In Progress")))))</f>
        <v>No Record</v>
      </c>
      <c r="O62" s="331"/>
      <c r="P62" s="331"/>
      <c r="Q62" s="331"/>
      <c r="R62" s="331"/>
      <c r="S62" s="331"/>
      <c r="T62" s="331"/>
      <c r="U62" s="331"/>
      <c r="V62" s="331"/>
      <c r="W62" s="331"/>
      <c r="X62" s="331"/>
      <c r="Y62" s="331"/>
      <c r="Z62" s="367" t="s">
        <v>272</v>
      </c>
      <c r="AL62" s="482"/>
      <c r="AM62" s="483"/>
      <c r="AN62" s="484"/>
      <c r="AO62" s="484"/>
      <c r="AP62" s="482"/>
    </row>
    <row r="63" spans="1:42" ht="15.75" customHeight="1">
      <c r="A63" s="325">
        <f>IF($D63="","",COUNTA($D$4:$D63))</f>
        <v>60</v>
      </c>
      <c r="B63" s="326" t="str">
        <f>IF($D63="","",IF($L63="","Contact",LOOKUP($K63,$AA$5:$AA$8,$AB$5:$AB$8)))</f>
        <v>Contact</v>
      </c>
      <c r="C63" s="326" t="s">
        <v>296</v>
      </c>
      <c r="D63" s="345" t="s">
        <v>357</v>
      </c>
      <c r="E63" s="392" t="s">
        <v>350</v>
      </c>
      <c r="F63" s="328" t="s">
        <v>262</v>
      </c>
      <c r="G63" s="345" t="s">
        <v>263</v>
      </c>
      <c r="H63" s="345"/>
      <c r="I63" s="345" t="s">
        <v>264</v>
      </c>
      <c r="J63" s="345" t="s">
        <v>265</v>
      </c>
      <c r="K63" s="329" cm="1">
        <f t="array" ref="K63">IF($D63="","",SUMPRODUCT(MAX(($O63:$Y63&lt;&gt;"")*$AA$3:$AK$3)))</f>
        <v>0</v>
      </c>
      <c r="L63" s="346" t="str">
        <f>IF(COUNT($O63:$Y63)=0,"",MAX($O63:$Y63))</f>
        <v/>
      </c>
      <c r="M63" s="330" t="str">
        <f ca="1">IF($L63="","",TODAY()-$L63)</f>
        <v/>
      </c>
      <c r="N63" s="325" t="str">
        <f>IF($L63="","No Record",IF($K63&gt;=1,"Live",IF($M63&gt;=90,"Stalled 90d+",IF($M63&gt;=60,"Stalled 60d+",IF($M63&gt;=30,"Stalled 30d+","In Progress")))))</f>
        <v>No Record</v>
      </c>
      <c r="O63" s="331"/>
      <c r="P63" s="331"/>
      <c r="Q63" s="331"/>
      <c r="R63" s="331"/>
      <c r="S63" s="331"/>
      <c r="T63" s="331"/>
      <c r="U63" s="331"/>
      <c r="V63" s="331"/>
      <c r="W63" s="331"/>
      <c r="X63" s="331"/>
      <c r="Y63" s="331"/>
      <c r="Z63" s="367" t="s">
        <v>272</v>
      </c>
      <c r="AL63" s="482"/>
      <c r="AM63" s="483"/>
      <c r="AN63" s="484"/>
      <c r="AO63" s="484"/>
      <c r="AP63" s="482"/>
    </row>
    <row r="64" spans="1:42" ht="15.75" customHeight="1">
      <c r="A64" s="325">
        <f>IF($D64="","",COUNTA($D$4:$D64))</f>
        <v>61</v>
      </c>
      <c r="B64" s="326" t="str">
        <f>IF($D64="","",IF($L64="","Contact",LOOKUP($K64,$AA$5:$AA$8,$AB$5:$AB$8)))</f>
        <v>Contact</v>
      </c>
      <c r="C64" s="326" t="s">
        <v>358</v>
      </c>
      <c r="D64" s="345" t="s">
        <v>359</v>
      </c>
      <c r="E64" s="392" t="s">
        <v>350</v>
      </c>
      <c r="F64" s="328" t="s">
        <v>276</v>
      </c>
      <c r="G64" s="345" t="s">
        <v>263</v>
      </c>
      <c r="H64" s="345"/>
      <c r="I64" s="345" t="s">
        <v>264</v>
      </c>
      <c r="J64" s="345" t="s">
        <v>265</v>
      </c>
      <c r="K64" s="329" cm="1">
        <f t="array" ref="K64">IF($D64="","",SUMPRODUCT(MAX(($O64:$Y64&lt;&gt;"")*$AA$3:$AK$3)))</f>
        <v>0</v>
      </c>
      <c r="L64" s="346" t="str">
        <f>IF(COUNT($O64:$Y64)=0,"",MAX($O64:$Y64))</f>
        <v/>
      </c>
      <c r="M64" s="330" t="str">
        <f ca="1">IF($L64="","",TODAY()-$L64)</f>
        <v/>
      </c>
      <c r="N64" s="325" t="str">
        <f>IF($L64="","No Record",IF($K64&gt;=1,"Live",IF($M64&gt;=90,"Stalled 90d+",IF($M64&gt;=60,"Stalled 60d+",IF($M64&gt;=30,"Stalled 30d+","In Progress")))))</f>
        <v>No Record</v>
      </c>
      <c r="O64" s="331"/>
      <c r="P64" s="331"/>
      <c r="Q64" s="331"/>
      <c r="R64" s="331"/>
      <c r="S64" s="331"/>
      <c r="T64" s="331"/>
      <c r="U64" s="331"/>
      <c r="V64" s="331"/>
      <c r="W64" s="331"/>
      <c r="X64" s="331"/>
      <c r="Y64" s="331"/>
      <c r="Z64" s="367" t="s">
        <v>266</v>
      </c>
      <c r="AL64" s="482"/>
      <c r="AM64" s="483"/>
      <c r="AN64" s="484"/>
      <c r="AO64" s="484"/>
      <c r="AP64" s="482"/>
    </row>
    <row r="65" spans="1:42" ht="15.75" customHeight="1">
      <c r="A65" s="325">
        <f>IF($D65="","",COUNTA($D$4:$D65))</f>
        <v>62</v>
      </c>
      <c r="B65" s="326" t="str">
        <f>IF($D65="","",IF($L65="","Contact",LOOKUP($K65,$AA$5:$AA$8,$AB$5:$AB$8)))</f>
        <v>Contact</v>
      </c>
      <c r="C65" s="326" t="s">
        <v>267</v>
      </c>
      <c r="D65" s="345" t="s">
        <v>360</v>
      </c>
      <c r="E65" s="392" t="s">
        <v>350</v>
      </c>
      <c r="F65" s="328" t="s">
        <v>276</v>
      </c>
      <c r="G65" s="345" t="s">
        <v>263</v>
      </c>
      <c r="H65" s="345"/>
      <c r="I65" s="345" t="s">
        <v>264</v>
      </c>
      <c r="J65" s="345" t="s">
        <v>265</v>
      </c>
      <c r="K65" s="329" cm="1">
        <f t="array" ref="K65">IF($D65="","",SUMPRODUCT(MAX(($O65:$Y65&lt;&gt;"")*$AA$3:$AK$3)))</f>
        <v>0</v>
      </c>
      <c r="L65" s="346" t="str">
        <f>IF(COUNT($O65:$Y65)=0,"",MAX($O65:$Y65))</f>
        <v/>
      </c>
      <c r="M65" s="330" t="str">
        <f ca="1">IF($L65="","",TODAY()-$L65)</f>
        <v/>
      </c>
      <c r="N65" s="325" t="str">
        <f>IF($L65="","No Record",IF($K65&gt;=1,"Live",IF($M65&gt;=90,"Stalled 90d+",IF($M65&gt;=60,"Stalled 60d+",IF($M65&gt;=30,"Stalled 30d+","In Progress")))))</f>
        <v>No Record</v>
      </c>
      <c r="O65" s="331"/>
      <c r="P65" s="331"/>
      <c r="Q65" s="331"/>
      <c r="R65" s="331"/>
      <c r="S65" s="331"/>
      <c r="T65" s="331"/>
      <c r="U65" s="331"/>
      <c r="V65" s="331"/>
      <c r="W65" s="331"/>
      <c r="X65" s="331"/>
      <c r="Y65" s="331"/>
      <c r="Z65" s="367" t="s">
        <v>266</v>
      </c>
      <c r="AL65" s="482"/>
      <c r="AM65" s="483"/>
      <c r="AN65" s="484"/>
      <c r="AO65" s="484"/>
      <c r="AP65" s="482"/>
    </row>
    <row r="66" spans="1:42" ht="15.75" customHeight="1">
      <c r="A66" s="325">
        <f>IF($D66="","",COUNTA($D$4:$D66))</f>
        <v>63</v>
      </c>
      <c r="B66" s="326" t="str">
        <f>IF($D66="","",IF($L66="","Contact",LOOKUP($K66,$AA$5:$AA$8,$AB$5:$AB$8)))</f>
        <v>Contact</v>
      </c>
      <c r="C66" s="393" t="s">
        <v>316</v>
      </c>
      <c r="D66" s="345" t="s">
        <v>361</v>
      </c>
      <c r="E66" s="392" t="s">
        <v>350</v>
      </c>
      <c r="F66" s="328" t="s">
        <v>262</v>
      </c>
      <c r="G66" s="345" t="s">
        <v>263</v>
      </c>
      <c r="H66" s="345"/>
      <c r="I66" s="345" t="s">
        <v>264</v>
      </c>
      <c r="J66" s="345" t="s">
        <v>265</v>
      </c>
      <c r="K66" s="329" cm="1">
        <f t="array" ref="K66">IF($D66="","",SUMPRODUCT(MAX(($O66:$Y66&lt;&gt;"")*$AA$3:$AK$3)))</f>
        <v>0</v>
      </c>
      <c r="L66" s="346" t="str">
        <f>IF(COUNT($O66:$Y66)=0,"",MAX($O66:$Y66))</f>
        <v/>
      </c>
      <c r="M66" s="330" t="str">
        <f ca="1">IF($L66="","",TODAY()-$L66)</f>
        <v/>
      </c>
      <c r="N66" s="325" t="str">
        <f>IF($L66="","No Record",IF($K66&gt;=1,"Live",IF($M66&gt;=90,"Stalled 90d+",IF($M66&gt;=60,"Stalled 60d+",IF($M66&gt;=30,"Stalled 30d+","In Progress")))))</f>
        <v>No Record</v>
      </c>
      <c r="O66" s="331"/>
      <c r="P66" s="331"/>
      <c r="Q66" s="331"/>
      <c r="R66" s="331"/>
      <c r="S66" s="331"/>
      <c r="T66" s="331"/>
      <c r="U66" s="331"/>
      <c r="V66" s="331"/>
      <c r="W66" s="331"/>
      <c r="X66" s="331"/>
      <c r="Y66" s="331"/>
      <c r="Z66" s="367" t="s">
        <v>266</v>
      </c>
      <c r="AL66" s="482"/>
      <c r="AM66" s="483"/>
      <c r="AN66" s="484"/>
      <c r="AO66" s="484"/>
      <c r="AP66" s="482"/>
    </row>
    <row r="67" spans="1:42" ht="15.75" customHeight="1">
      <c r="A67" s="325">
        <f>IF($D67="","",COUNTA($D$4:$D67))</f>
        <v>64</v>
      </c>
      <c r="B67" s="326" t="str">
        <f>IF($D67="","",IF($L67="","Contact",LOOKUP($K67,$AA$5:$AA$8,$AB$5:$AB$8)))</f>
        <v>NDA/Contract</v>
      </c>
      <c r="C67" s="326" t="s">
        <v>293</v>
      </c>
      <c r="D67" s="345" t="s">
        <v>294</v>
      </c>
      <c r="E67" s="392" t="s">
        <v>350</v>
      </c>
      <c r="F67" s="328" t="s">
        <v>281</v>
      </c>
      <c r="G67" s="345" t="s">
        <v>263</v>
      </c>
      <c r="H67" s="345"/>
      <c r="I67" s="345" t="s">
        <v>264</v>
      </c>
      <c r="J67" s="345" t="s">
        <v>265</v>
      </c>
      <c r="K67" s="329" cm="1">
        <f t="array" ref="K67">IF($D67="","",SUMPRODUCT(MAX(($O67:$Y67&lt;&gt;"")*$AA$3:$AK$3)))</f>
        <v>0.2</v>
      </c>
      <c r="L67" s="346">
        <f>IF(COUNT($O67:$Y67)=0,"",MAX($O67:$Y67))</f>
        <v>46246</v>
      </c>
      <c r="M67" s="330">
        <f ca="1">IF($L67="","",TODAY()-$L67)</f>
        <v>10</v>
      </c>
      <c r="N67" s="325" t="str">
        <f ca="1">IF($L67="","No Record",IF($K67&gt;=1,"Live",IF($M67&gt;=90,"Stalled 90d+",IF($M67&gt;=60,"Stalled 60d+",IF($M67&gt;=30,"Stalled 30d+","In Progress")))))</f>
        <v>In Progress</v>
      </c>
      <c r="O67" s="331">
        <v>46246</v>
      </c>
      <c r="P67" s="331"/>
      <c r="Q67" s="331"/>
      <c r="R67" s="331"/>
      <c r="S67" s="331"/>
      <c r="T67" s="331"/>
      <c r="U67" s="331"/>
      <c r="V67" s="331"/>
      <c r="W67" s="331"/>
      <c r="X67" s="331"/>
      <c r="Y67" s="331"/>
      <c r="Z67" s="367" t="s">
        <v>272</v>
      </c>
      <c r="AL67" s="482"/>
      <c r="AM67" s="483"/>
      <c r="AN67" s="484"/>
      <c r="AO67" s="484"/>
      <c r="AP67" s="482"/>
    </row>
    <row r="68" spans="1:42" ht="15.75" customHeight="1">
      <c r="A68" s="325">
        <f>IF($D68="","",COUNTA($D$4:$D68))</f>
        <v>65</v>
      </c>
      <c r="B68" s="326" t="str">
        <f>IF($D68="","",IF($L68="","Contact",LOOKUP($K68,$AA$5:$AA$8,$AB$5:$AB$8)))</f>
        <v>Contact</v>
      </c>
      <c r="C68" s="326" t="s">
        <v>358</v>
      </c>
      <c r="D68" s="345" t="s">
        <v>362</v>
      </c>
      <c r="E68" s="392" t="s">
        <v>363</v>
      </c>
      <c r="F68" s="328" t="s">
        <v>281</v>
      </c>
      <c r="G68" s="345" t="s">
        <v>263</v>
      </c>
      <c r="H68" s="345"/>
      <c r="I68" s="345" t="s">
        <v>264</v>
      </c>
      <c r="J68" s="345" t="s">
        <v>265</v>
      </c>
      <c r="K68" s="329" cm="1">
        <f t="array" ref="K68">IF($D68="","",SUMPRODUCT(MAX(($O68:$Y68&lt;&gt;"")*$AA$3:$AK$3)))</f>
        <v>0</v>
      </c>
      <c r="L68" s="346" t="str">
        <f>IF(COUNT($O68:$Y68)=0,"",MAX($O68:$Y68))</f>
        <v/>
      </c>
      <c r="M68" s="330" t="str">
        <f ca="1">IF($L68="","",TODAY()-$L68)</f>
        <v/>
      </c>
      <c r="N68" s="325" t="str">
        <f>IF($L68="","No Record",IF($K68&gt;=1,"Live",IF($M68&gt;=90,"Stalled 90d+",IF($M68&gt;=60,"Stalled 60d+",IF($M68&gt;=30,"Stalled 30d+","In Progress")))))</f>
        <v>No Record</v>
      </c>
      <c r="O68" s="331"/>
      <c r="P68" s="331"/>
      <c r="Q68" s="331"/>
      <c r="R68" s="331"/>
      <c r="S68" s="331"/>
      <c r="T68" s="331"/>
      <c r="U68" s="331"/>
      <c r="V68" s="331"/>
      <c r="W68" s="331"/>
      <c r="X68" s="331"/>
      <c r="Y68" s="331"/>
      <c r="Z68" s="367" t="s">
        <v>271</v>
      </c>
      <c r="AL68" s="482"/>
      <c r="AM68" s="483"/>
      <c r="AN68" s="484"/>
      <c r="AO68" s="484"/>
      <c r="AP68" s="482"/>
    </row>
    <row r="69" spans="1:42" ht="15.75" customHeight="1">
      <c r="A69" s="325">
        <f>IF($D69="","",COUNTA($D$4:$D69))</f>
        <v>66</v>
      </c>
      <c r="B69" s="326" t="str">
        <f>IF($D69="","",IF($L69="","Contact",LOOKUP($K69,$AA$5:$AA$8,$AB$5:$AB$8)))</f>
        <v>Contact</v>
      </c>
      <c r="C69" s="326" t="s">
        <v>358</v>
      </c>
      <c r="D69" s="345" t="s">
        <v>364</v>
      </c>
      <c r="E69" s="392" t="s">
        <v>363</v>
      </c>
      <c r="F69" s="328" t="s">
        <v>281</v>
      </c>
      <c r="G69" s="345" t="s">
        <v>263</v>
      </c>
      <c r="H69" s="345"/>
      <c r="I69" s="345" t="s">
        <v>264</v>
      </c>
      <c r="J69" s="345" t="s">
        <v>265</v>
      </c>
      <c r="K69" s="329" cm="1">
        <f t="array" ref="K69">IF($D69="","",SUMPRODUCT(MAX(($O69:$Y69&lt;&gt;"")*$AA$3:$AK$3)))</f>
        <v>0</v>
      </c>
      <c r="L69" s="346" t="str">
        <f>IF(COUNT($O69:$Y69)=0,"",MAX($O69:$Y69))</f>
        <v/>
      </c>
      <c r="M69" s="330" t="str">
        <f ca="1">IF($L69="","",TODAY()-$L69)</f>
        <v/>
      </c>
      <c r="N69" s="325" t="str">
        <f>IF($L69="","No Record",IF($K69&gt;=1,"Live",IF($M69&gt;=90,"Stalled 90d+",IF($M69&gt;=60,"Stalled 60d+",IF($M69&gt;=30,"Stalled 30d+","In Progress")))))</f>
        <v>No Record</v>
      </c>
      <c r="O69" s="331"/>
      <c r="P69" s="331"/>
      <c r="Q69" s="331"/>
      <c r="R69" s="331"/>
      <c r="S69" s="331"/>
      <c r="T69" s="331"/>
      <c r="U69" s="331"/>
      <c r="V69" s="331"/>
      <c r="W69" s="331"/>
      <c r="X69" s="331"/>
      <c r="Y69" s="331"/>
      <c r="Z69" s="367" t="s">
        <v>266</v>
      </c>
      <c r="AL69" s="482"/>
      <c r="AM69" s="483"/>
      <c r="AN69" s="484"/>
      <c r="AO69" s="484"/>
      <c r="AP69" s="482"/>
    </row>
    <row r="70" spans="1:42" ht="15.75" customHeight="1">
      <c r="A70" s="325">
        <f>IF($D70="","",COUNTA($D$4:$D70))</f>
        <v>67</v>
      </c>
      <c r="B70" s="326" t="str">
        <f>IF($D70="","",IF($L70="","Contact",LOOKUP($K70,$AA$5:$AA$8,$AB$5:$AB$8)))</f>
        <v>Contact</v>
      </c>
      <c r="C70" s="326" t="s">
        <v>358</v>
      </c>
      <c r="D70" s="345" t="s">
        <v>365</v>
      </c>
      <c r="E70" s="392" t="s">
        <v>363</v>
      </c>
      <c r="F70" s="328" t="s">
        <v>281</v>
      </c>
      <c r="G70" s="345" t="s">
        <v>263</v>
      </c>
      <c r="H70" s="345"/>
      <c r="I70" s="345" t="s">
        <v>264</v>
      </c>
      <c r="J70" s="345" t="s">
        <v>265</v>
      </c>
      <c r="K70" s="329" cm="1">
        <f t="array" ref="K70">IF($D70="","",SUMPRODUCT(MAX(($O70:$Y70&lt;&gt;"")*$AA$3:$AK$3)))</f>
        <v>0</v>
      </c>
      <c r="L70" s="346" t="str">
        <f>IF(COUNT($O70:$Y70)=0,"",MAX($O70:$Y70))</f>
        <v/>
      </c>
      <c r="M70" s="330" t="str">
        <f ca="1">IF($L70="","",TODAY()-$L70)</f>
        <v/>
      </c>
      <c r="N70" s="325" t="str">
        <f>IF($L70="","No Record",IF($K70&gt;=1,"Live",IF($M70&gt;=90,"Stalled 90d+",IF($M70&gt;=60,"Stalled 60d+",IF($M70&gt;=30,"Stalled 30d+","In Progress")))))</f>
        <v>No Record</v>
      </c>
      <c r="O70" s="331"/>
      <c r="P70" s="331"/>
      <c r="Q70" s="331"/>
      <c r="R70" s="331"/>
      <c r="S70" s="331"/>
      <c r="T70" s="331"/>
      <c r="U70" s="331"/>
      <c r="V70" s="331"/>
      <c r="W70" s="331"/>
      <c r="X70" s="331"/>
      <c r="Y70" s="331"/>
      <c r="Z70" s="367" t="s">
        <v>266</v>
      </c>
      <c r="AL70" s="482"/>
      <c r="AM70" s="483"/>
      <c r="AN70" s="484"/>
      <c r="AO70" s="484"/>
      <c r="AP70" s="482"/>
    </row>
    <row r="71" spans="1:42">
      <c r="A71" s="325">
        <f>IF($D71="","",COUNTA($D$4:$D71))</f>
        <v>68</v>
      </c>
      <c r="B71" s="347" t="str">
        <f>IF($D71="","",IF($L71="","Contact",LOOKUP($K71,$AA$5:$AA$8,$AB$5:$AB$8)))</f>
        <v>Live</v>
      </c>
      <c r="C71" s="347" t="s">
        <v>279</v>
      </c>
      <c r="D71" s="117" t="s">
        <v>366</v>
      </c>
      <c r="E71" s="348" t="s">
        <v>290</v>
      </c>
      <c r="F71" s="117"/>
      <c r="G71" s="118" t="s">
        <v>263</v>
      </c>
      <c r="H71" s="118"/>
      <c r="I71" s="117" t="s">
        <v>291</v>
      </c>
      <c r="J71" s="117" t="s">
        <v>295</v>
      </c>
      <c r="K71" s="356" cm="1">
        <f t="array" ref="K71">IF($D71="","",SUMPRODUCT(MAX(($O71:$Y71&lt;&gt;"")*$AA$3:$AK$3)))</f>
        <v>1</v>
      </c>
      <c r="L71" s="120">
        <f>IF(COUNT($O71:$Y71)=0,"",MAX($O71:$Y71))</f>
        <v>43845</v>
      </c>
      <c r="M71" s="365">
        <f ca="1">IF($L71="","",TODAY()-$L71)</f>
        <v>2411</v>
      </c>
      <c r="N71" s="123" t="str">
        <f>IF($L71="","No Record",IF($K71&gt;=1,"Live",IF($M71&gt;=90,"Stalled 90d+",IF($M71&gt;=60,"Stalled 60d+",IF($M71&gt;=30,"Stalled 30d+","In Progress")))))</f>
        <v>Live</v>
      </c>
      <c r="O71" s="357"/>
      <c r="P71" s="358"/>
      <c r="Q71" s="358"/>
      <c r="R71" s="357"/>
      <c r="S71" s="357"/>
      <c r="T71" s="357"/>
      <c r="U71" s="357"/>
      <c r="V71" s="357"/>
      <c r="W71" s="358"/>
      <c r="X71" s="357"/>
      <c r="Y71" s="358">
        <v>43845</v>
      </c>
      <c r="Z71" s="367" t="s">
        <v>266</v>
      </c>
      <c r="AL71" s="482"/>
      <c r="AM71" s="483"/>
      <c r="AN71" s="484"/>
      <c r="AO71" s="484"/>
      <c r="AP71" s="482"/>
    </row>
    <row r="72" spans="1:42">
      <c r="A72" s="325">
        <f>IF($D72="","",COUNTA($D$4:$D72))</f>
        <v>69</v>
      </c>
      <c r="B72" s="347" t="str">
        <f>IF($D72="","",IF($L72="","Contact",LOOKUP($K72,$AA$5:$AA$8,$AB$5:$AB$8)))</f>
        <v>Live</v>
      </c>
      <c r="C72" s="347" t="s">
        <v>267</v>
      </c>
      <c r="D72" s="117" t="s">
        <v>367</v>
      </c>
      <c r="E72" s="348" t="s">
        <v>290</v>
      </c>
      <c r="F72" s="117"/>
      <c r="G72" s="118" t="s">
        <v>263</v>
      </c>
      <c r="H72" s="118"/>
      <c r="I72" s="117" t="s">
        <v>291</v>
      </c>
      <c r="J72" s="117" t="s">
        <v>292</v>
      </c>
      <c r="K72" s="356" cm="1">
        <f t="array" ref="K72">IF($D72="","",SUMPRODUCT(MAX(($O72:$Y72&lt;&gt;"")*$AA$3:$AK$3)))</f>
        <v>1</v>
      </c>
      <c r="L72" s="120">
        <f>IF(COUNT($O72:$Y72)=0,"",MAX($O72:$Y72))</f>
        <v>45959</v>
      </c>
      <c r="M72" s="365">
        <f ca="1">IF($L72="","",TODAY()-$L72)</f>
        <v>297</v>
      </c>
      <c r="N72" s="123" t="str">
        <f>IF($L72="","No Record",IF($K72&gt;=1,"Live",IF($M72&gt;=90,"Stalled 90d+",IF($M72&gt;=60,"Stalled 60d+",IF($M72&gt;=30,"Stalled 30d+","In Progress")))))</f>
        <v>Live</v>
      </c>
      <c r="O72" s="357"/>
      <c r="P72" s="358"/>
      <c r="Q72" s="358"/>
      <c r="R72" s="357"/>
      <c r="S72" s="357"/>
      <c r="T72" s="357"/>
      <c r="U72" s="357"/>
      <c r="V72" s="357"/>
      <c r="W72" s="358"/>
      <c r="X72" s="357"/>
      <c r="Y72" s="358">
        <v>45959</v>
      </c>
      <c r="Z72" s="367" t="s">
        <v>266</v>
      </c>
      <c r="AL72" s="482"/>
      <c r="AM72" s="483"/>
      <c r="AN72" s="484"/>
      <c r="AO72" s="484"/>
      <c r="AP72" s="482"/>
    </row>
    <row r="73" spans="1:42">
      <c r="A73" s="325">
        <f>IF($D73="","",COUNTA($D$4:$D73))</f>
        <v>70</v>
      </c>
      <c r="B73" s="347" t="str">
        <f>IF($D73="","",IF($L73="","Contact",LOOKUP($K73,$AA$5:$AA$8,$AB$5:$AB$8)))</f>
        <v>Live</v>
      </c>
      <c r="C73" s="347" t="s">
        <v>267</v>
      </c>
      <c r="D73" s="117" t="s">
        <v>368</v>
      </c>
      <c r="E73" s="348" t="s">
        <v>290</v>
      </c>
      <c r="F73" s="117"/>
      <c r="G73" s="118" t="s">
        <v>263</v>
      </c>
      <c r="H73" s="118"/>
      <c r="I73" s="117" t="s">
        <v>291</v>
      </c>
      <c r="J73" s="117" t="s">
        <v>292</v>
      </c>
      <c r="K73" s="356" cm="1">
        <f t="array" ref="K73">IF($D73="","",SUMPRODUCT(MAX(($O73:$Y73&lt;&gt;"")*$AA$3:$AK$3)))</f>
        <v>1</v>
      </c>
      <c r="L73" s="120">
        <f>IF(COUNT($O73:$Y73)=0,"",MAX($O73:$Y73))</f>
        <v>45959</v>
      </c>
      <c r="M73" s="365">
        <f ca="1">IF($L73="","",TODAY()-$L73)</f>
        <v>297</v>
      </c>
      <c r="N73" s="123" t="str">
        <f>IF($L73="","No Record",IF($K73&gt;=1,"Live",IF($M73&gt;=90,"Stalled 90d+",IF($M73&gt;=60,"Stalled 60d+",IF($M73&gt;=30,"Stalled 30d+","In Progress")))))</f>
        <v>Live</v>
      </c>
      <c r="O73" s="357"/>
      <c r="P73" s="358">
        <v>43892</v>
      </c>
      <c r="Q73" s="358"/>
      <c r="R73" s="357"/>
      <c r="S73" s="357"/>
      <c r="T73" s="357"/>
      <c r="U73" s="357"/>
      <c r="V73" s="357"/>
      <c r="W73" s="358"/>
      <c r="X73" s="357"/>
      <c r="Y73" s="358">
        <v>45959</v>
      </c>
      <c r="Z73" s="367" t="s">
        <v>266</v>
      </c>
      <c r="AL73" s="482"/>
      <c r="AM73" s="483"/>
      <c r="AN73" s="484"/>
      <c r="AO73" s="484"/>
      <c r="AP73" s="482"/>
    </row>
    <row r="74" spans="1:42">
      <c r="A74" s="325">
        <f>IF($D74="","",COUNTA($D$4:$D74))</f>
        <v>71</v>
      </c>
      <c r="B74" s="347" t="str">
        <f>IF($D74="","",IF($L74="","Contact",LOOKUP($K74,$AA$5:$AA$8,$AB$5:$AB$8)))</f>
        <v>Live</v>
      </c>
      <c r="C74" s="347" t="s">
        <v>259</v>
      </c>
      <c r="D74" s="117" t="s">
        <v>369</v>
      </c>
      <c r="E74" s="348" t="s">
        <v>290</v>
      </c>
      <c r="F74" s="117"/>
      <c r="G74" s="118" t="s">
        <v>277</v>
      </c>
      <c r="H74" s="118"/>
      <c r="I74" s="117" t="s">
        <v>291</v>
      </c>
      <c r="J74" s="117" t="s">
        <v>295</v>
      </c>
      <c r="K74" s="356" cm="1">
        <f t="array" ref="K74">IF($D74="","",SUMPRODUCT(MAX(($O74:$Y74&lt;&gt;"")*$AA$3:$AK$3)))</f>
        <v>1</v>
      </c>
      <c r="L74" s="120">
        <f>IF(COUNT($O74:$Y74)=0,"",MAX($O74:$Y74))</f>
        <v>45959</v>
      </c>
      <c r="M74" s="365">
        <f ca="1">IF($L74="","",TODAY()-$L74)</f>
        <v>297</v>
      </c>
      <c r="N74" s="123" t="str">
        <f>IF($L74="","No Record",IF($K74&gt;=1,"Live",IF($M74&gt;=90,"Stalled 90d+",IF($M74&gt;=60,"Stalled 60d+",IF($M74&gt;=30,"Stalled 30d+","In Progress")))))</f>
        <v>Live</v>
      </c>
      <c r="O74" s="357"/>
      <c r="P74" s="358"/>
      <c r="Q74" s="358"/>
      <c r="R74" s="357"/>
      <c r="S74" s="357"/>
      <c r="T74" s="357"/>
      <c r="U74" s="357"/>
      <c r="V74" s="357"/>
      <c r="W74" s="358"/>
      <c r="X74" s="357"/>
      <c r="Y74" s="358">
        <v>45959</v>
      </c>
      <c r="Z74" s="367" t="s">
        <v>266</v>
      </c>
      <c r="AL74" s="482"/>
      <c r="AM74" s="483"/>
      <c r="AN74" s="484"/>
      <c r="AO74" s="484"/>
      <c r="AP74" s="482"/>
    </row>
    <row r="75" spans="1:42">
      <c r="A75" s="325">
        <f>IF($D75="","",COUNTA($D$4:$D75))</f>
        <v>72</v>
      </c>
      <c r="B75" s="347" t="str">
        <f>IF($D75="","",IF($L75="","Contact",LOOKUP($K75,$AA$5:$AA$8,$AB$5:$AB$8)))</f>
        <v>Live</v>
      </c>
      <c r="C75" s="347" t="s">
        <v>358</v>
      </c>
      <c r="D75" s="117" t="s">
        <v>370</v>
      </c>
      <c r="E75" s="348" t="s">
        <v>290</v>
      </c>
      <c r="F75" s="117"/>
      <c r="G75" s="118" t="s">
        <v>277</v>
      </c>
      <c r="H75" s="118"/>
      <c r="I75" s="117" t="s">
        <v>291</v>
      </c>
      <c r="J75" s="117" t="s">
        <v>295</v>
      </c>
      <c r="K75" s="356" cm="1">
        <f t="array" ref="K75">IF($D75="","",SUMPRODUCT(MAX(($O75:$Y75&lt;&gt;"")*$AA$3:$AK$3)))</f>
        <v>1</v>
      </c>
      <c r="L75" s="120">
        <f>IF(COUNT($O75:$Y75)=0,"",MAX($O75:$Y75))</f>
        <v>45959</v>
      </c>
      <c r="M75" s="365">
        <f ca="1">IF($L75="","",TODAY()-$L75)</f>
        <v>297</v>
      </c>
      <c r="N75" s="123" t="str">
        <f>IF($L75="","No Record",IF($K75&gt;=1,"Live",IF($M75&gt;=90,"Stalled 90d+",IF($M75&gt;=60,"Stalled 60d+",IF($M75&gt;=30,"Stalled 30d+","In Progress")))))</f>
        <v>Live</v>
      </c>
      <c r="O75" s="357"/>
      <c r="P75" s="358"/>
      <c r="Q75" s="358"/>
      <c r="R75" s="357"/>
      <c r="S75" s="357"/>
      <c r="T75" s="357"/>
      <c r="U75" s="357"/>
      <c r="V75" s="357"/>
      <c r="W75" s="358"/>
      <c r="X75" s="357"/>
      <c r="Y75" s="358">
        <v>45959</v>
      </c>
      <c r="Z75" s="367" t="s">
        <v>266</v>
      </c>
      <c r="AL75" s="482"/>
      <c r="AM75" s="483"/>
      <c r="AN75" s="484"/>
      <c r="AO75" s="484"/>
      <c r="AP75" s="482"/>
    </row>
    <row r="76" spans="1:42">
      <c r="A76" s="325">
        <f>IF($D76="","",COUNTA($D$4:$D76))</f>
        <v>73</v>
      </c>
      <c r="B76" s="347" t="str">
        <f>IF($D76="","",IF($L76="","Contact",LOOKUP($K76,$AA$5:$AA$8,$AB$5:$AB$8)))</f>
        <v>Live</v>
      </c>
      <c r="C76" s="347" t="s">
        <v>259</v>
      </c>
      <c r="D76" s="117" t="s">
        <v>371</v>
      </c>
      <c r="E76" s="348" t="s">
        <v>290</v>
      </c>
      <c r="F76" s="117"/>
      <c r="G76" s="118" t="s">
        <v>277</v>
      </c>
      <c r="H76" s="118"/>
      <c r="I76" s="117" t="s">
        <v>291</v>
      </c>
      <c r="J76" s="117" t="s">
        <v>295</v>
      </c>
      <c r="K76" s="356" cm="1">
        <f t="array" ref="K76">IF($D76="","",SUMPRODUCT(MAX(($O76:$Y76&lt;&gt;"")*$AA$3:$AK$3)))</f>
        <v>1</v>
      </c>
      <c r="L76" s="120">
        <f>IF(COUNT($O76:$Y76)=0,"",MAX($O76:$Y76))</f>
        <v>45959</v>
      </c>
      <c r="M76" s="365">
        <f ca="1">IF($L76="","",TODAY()-$L76)</f>
        <v>297</v>
      </c>
      <c r="N76" s="123" t="str">
        <f>IF($L76="","No Record",IF($K76&gt;=1,"Live",IF($M76&gt;=90,"Stalled 90d+",IF($M76&gt;=60,"Stalled 60d+",IF($M76&gt;=30,"Stalled 30d+","In Progress")))))</f>
        <v>Live</v>
      </c>
      <c r="O76" s="357"/>
      <c r="P76" s="358"/>
      <c r="Q76" s="358"/>
      <c r="R76" s="357"/>
      <c r="S76" s="357"/>
      <c r="T76" s="357"/>
      <c r="U76" s="357"/>
      <c r="V76" s="357"/>
      <c r="W76" s="358"/>
      <c r="X76" s="357"/>
      <c r="Y76" s="358">
        <v>45959</v>
      </c>
      <c r="Z76" s="367" t="s">
        <v>266</v>
      </c>
      <c r="AL76" s="482"/>
      <c r="AM76" s="483"/>
      <c r="AN76" s="484"/>
      <c r="AO76" s="484"/>
      <c r="AP76" s="482"/>
    </row>
    <row r="77" spans="1:42">
      <c r="A77" s="325">
        <f>IF($D77="","",COUNTA($D$4:$D77))</f>
        <v>74</v>
      </c>
      <c r="B77" s="347" t="str">
        <f>IF($D77="","",IF($L77="","Contact",LOOKUP($K77,$AA$5:$AA$8,$AB$5:$AB$8)))</f>
        <v>Live</v>
      </c>
      <c r="C77" s="347" t="s">
        <v>259</v>
      </c>
      <c r="D77" s="117" t="s">
        <v>372</v>
      </c>
      <c r="E77" s="348" t="s">
        <v>290</v>
      </c>
      <c r="F77" s="117"/>
      <c r="G77" s="118" t="s">
        <v>277</v>
      </c>
      <c r="H77" s="118"/>
      <c r="I77" s="117" t="s">
        <v>291</v>
      </c>
      <c r="J77" s="117" t="s">
        <v>295</v>
      </c>
      <c r="K77" s="356" cm="1">
        <f t="array" ref="K77">IF($D77="","",SUMPRODUCT(MAX(($O77:$Y77&lt;&gt;"")*$AA$3:$AK$3)))</f>
        <v>1</v>
      </c>
      <c r="L77" s="120">
        <f>IF(COUNT($O77:$Y77)=0,"",MAX($O77:$Y77))</f>
        <v>45959</v>
      </c>
      <c r="M77" s="365">
        <f ca="1">IF($L77="","",TODAY()-$L77)</f>
        <v>297</v>
      </c>
      <c r="N77" s="123" t="str">
        <f>IF($L77="","No Record",IF($K77&gt;=1,"Live",IF($M77&gt;=90,"Stalled 90d+",IF($M77&gt;=60,"Stalled 60d+",IF($M77&gt;=30,"Stalled 30d+","In Progress")))))</f>
        <v>Live</v>
      </c>
      <c r="O77" s="357"/>
      <c r="P77" s="358"/>
      <c r="Q77" s="358"/>
      <c r="R77" s="357"/>
      <c r="S77" s="357"/>
      <c r="T77" s="357"/>
      <c r="U77" s="357"/>
      <c r="V77" s="357"/>
      <c r="W77" s="358"/>
      <c r="X77" s="357"/>
      <c r="Y77" s="358">
        <v>45959</v>
      </c>
      <c r="Z77" s="367" t="s">
        <v>266</v>
      </c>
      <c r="AL77" s="482"/>
      <c r="AM77" s="483"/>
      <c r="AN77" s="484"/>
      <c r="AO77" s="484"/>
      <c r="AP77" s="482"/>
    </row>
    <row r="78" spans="1:42">
      <c r="A78" s="325">
        <f>IF($D78="","",COUNTA($D$4:$D78))</f>
        <v>75</v>
      </c>
      <c r="B78" s="347" t="str">
        <f>IF($D78="","",IF($L78="","Contact",LOOKUP($K78,$AA$5:$AA$8,$AB$5:$AB$8)))</f>
        <v>Live</v>
      </c>
      <c r="C78" s="347" t="s">
        <v>267</v>
      </c>
      <c r="D78" s="117" t="s">
        <v>373</v>
      </c>
      <c r="E78" s="348" t="s">
        <v>290</v>
      </c>
      <c r="F78" s="117"/>
      <c r="G78" s="118" t="s">
        <v>277</v>
      </c>
      <c r="H78" s="118"/>
      <c r="I78" s="117" t="s">
        <v>291</v>
      </c>
      <c r="J78" s="117" t="s">
        <v>292</v>
      </c>
      <c r="K78" s="356" cm="1">
        <f t="array" ref="K78">IF($D78="","",SUMPRODUCT(MAX(($O78:$Y78&lt;&gt;"")*$AA$3:$AK$3)))</f>
        <v>1</v>
      </c>
      <c r="L78" s="120">
        <f t="shared" ref="L78:L100" si="0">IF(COUNT($O78:$Y78)=0,"",MAX($O78:$Y78))</f>
        <v>45959</v>
      </c>
      <c r="M78" s="365">
        <f t="shared" ref="M78:M100" ca="1" si="1">IF($L78="","",TODAY()-$L78)</f>
        <v>297</v>
      </c>
      <c r="N78" s="123" t="str">
        <f t="shared" ref="N78:N100" si="2">IF($L78="","No Record",IF($K78&gt;=1,"Live",IF($M78&gt;=90,"Stalled 90d+",IF($M78&gt;=60,"Stalled 60d+",IF($M78&gt;=30,"Stalled 30d+","In Progress")))))</f>
        <v>Live</v>
      </c>
      <c r="O78" s="357">
        <v>45195</v>
      </c>
      <c r="P78" s="358">
        <v>45217</v>
      </c>
      <c r="Q78" s="358">
        <v>45217</v>
      </c>
      <c r="R78" s="357"/>
      <c r="S78" s="357"/>
      <c r="T78" s="357"/>
      <c r="U78" s="357"/>
      <c r="V78" s="357"/>
      <c r="W78" s="358"/>
      <c r="X78" s="357"/>
      <c r="Y78" s="358">
        <v>45959</v>
      </c>
      <c r="Z78" s="367" t="s">
        <v>272</v>
      </c>
      <c r="AL78" s="482"/>
      <c r="AM78" s="483"/>
      <c r="AN78" s="484"/>
      <c r="AO78" s="484"/>
      <c r="AP78" s="482"/>
    </row>
    <row r="79" spans="1:42">
      <c r="A79" s="325">
        <f>IF($D79="","",COUNTA($D$4:$D79))</f>
        <v>76</v>
      </c>
      <c r="B79" s="347" t="str">
        <f>IF($D79="","",IF($L79="","Contact",LOOKUP($K79,$AA$5:$AA$8,$AB$5:$AB$8)))</f>
        <v>Live</v>
      </c>
      <c r="C79" s="347" t="s">
        <v>293</v>
      </c>
      <c r="D79" s="117" t="s">
        <v>374</v>
      </c>
      <c r="E79" s="348" t="s">
        <v>290</v>
      </c>
      <c r="F79" s="117"/>
      <c r="G79" s="118" t="s">
        <v>263</v>
      </c>
      <c r="H79" s="118"/>
      <c r="I79" s="117" t="s">
        <v>291</v>
      </c>
      <c r="J79" s="345" t="s">
        <v>298</v>
      </c>
      <c r="K79" s="356" cm="1">
        <f t="array" ref="K79">IF($D79="","",SUMPRODUCT(MAX(($O79:$Y79&lt;&gt;"")*$AA$3:$AK$3)))</f>
        <v>1</v>
      </c>
      <c r="L79" s="120">
        <f t="shared" si="0"/>
        <v>45959</v>
      </c>
      <c r="M79" s="365">
        <f t="shared" ca="1" si="1"/>
        <v>297</v>
      </c>
      <c r="N79" s="123" t="str">
        <f t="shared" si="2"/>
        <v>Live</v>
      </c>
      <c r="O79" s="357"/>
      <c r="P79" s="358"/>
      <c r="Q79" s="358"/>
      <c r="R79" s="357"/>
      <c r="S79" s="357"/>
      <c r="T79" s="357"/>
      <c r="U79" s="357"/>
      <c r="V79" s="357"/>
      <c r="W79" s="358"/>
      <c r="X79" s="357"/>
      <c r="Y79" s="358">
        <v>45959</v>
      </c>
      <c r="Z79" s="367" t="s">
        <v>266</v>
      </c>
      <c r="AL79" s="482"/>
      <c r="AM79" s="483"/>
      <c r="AN79" s="484"/>
      <c r="AO79" s="484"/>
      <c r="AP79" s="482"/>
    </row>
    <row r="80" spans="1:42">
      <c r="A80" s="325">
        <f>IF($D80="","",COUNTA($D$4:$D80))</f>
        <v>77</v>
      </c>
      <c r="B80" s="325" t="str">
        <f>IF($D80="","",IF($L80="","Contact",LOOKUP($K80,$AA$5:$AA$8,$AB$5:$AB$8)))</f>
        <v>Live</v>
      </c>
      <c r="C80" s="325" t="s">
        <v>308</v>
      </c>
      <c r="D80" s="117" t="s">
        <v>375</v>
      </c>
      <c r="E80" s="348" t="s">
        <v>290</v>
      </c>
      <c r="F80" s="117"/>
      <c r="G80" s="118" t="s">
        <v>277</v>
      </c>
      <c r="H80" s="118"/>
      <c r="I80" s="117" t="s">
        <v>291</v>
      </c>
      <c r="J80" s="117" t="s">
        <v>295</v>
      </c>
      <c r="K80" s="356" cm="1">
        <f t="array" ref="K80">IF($D80="","",SUMPRODUCT(MAX(($O80:$Y80&lt;&gt;"")*$AA$3:$AK$3)))</f>
        <v>1</v>
      </c>
      <c r="L80" s="120">
        <f t="shared" si="0"/>
        <v>46029</v>
      </c>
      <c r="M80" s="365">
        <f t="shared" ca="1" si="1"/>
        <v>227</v>
      </c>
      <c r="N80" s="123" t="str">
        <f t="shared" si="2"/>
        <v>Live</v>
      </c>
      <c r="O80" s="357"/>
      <c r="P80" s="358"/>
      <c r="Q80" s="358"/>
      <c r="R80" s="357"/>
      <c r="S80" s="357"/>
      <c r="T80" s="357"/>
      <c r="U80" s="357"/>
      <c r="V80" s="357"/>
      <c r="W80" s="358"/>
      <c r="X80" s="357"/>
      <c r="Y80" s="358">
        <v>46029</v>
      </c>
      <c r="Z80" s="367" t="s">
        <v>282</v>
      </c>
      <c r="AL80" s="482"/>
      <c r="AM80" s="483"/>
      <c r="AN80" s="484"/>
      <c r="AO80" s="484"/>
      <c r="AP80" s="482"/>
    </row>
    <row r="81" spans="1:42">
      <c r="A81" s="325">
        <f>IF($D81="","",COUNTA($D$4:$D81))</f>
        <v>78</v>
      </c>
      <c r="B81" s="325" t="str">
        <f>IF($D81="","",IF($L81="","Contact",LOOKUP($K81,$AA$5:$AA$8,$AB$5:$AB$8)))</f>
        <v>Live</v>
      </c>
      <c r="C81" s="325" t="s">
        <v>358</v>
      </c>
      <c r="D81" s="117" t="s">
        <v>376</v>
      </c>
      <c r="E81" s="348" t="s">
        <v>290</v>
      </c>
      <c r="F81" s="117"/>
      <c r="G81" s="118" t="s">
        <v>277</v>
      </c>
      <c r="H81" s="118"/>
      <c r="I81" s="117" t="s">
        <v>291</v>
      </c>
      <c r="J81" s="117" t="s">
        <v>295</v>
      </c>
      <c r="K81" s="356" cm="1">
        <f t="array" ref="K81">IF($D81="","",SUMPRODUCT(MAX(($O81:$Y81&lt;&gt;"")*$AA$3:$AK$3)))</f>
        <v>1</v>
      </c>
      <c r="L81" s="120">
        <f t="shared" si="0"/>
        <v>46029</v>
      </c>
      <c r="M81" s="365">
        <f t="shared" ca="1" si="1"/>
        <v>227</v>
      </c>
      <c r="N81" s="123" t="str">
        <f t="shared" si="2"/>
        <v>Live</v>
      </c>
      <c r="O81" s="357"/>
      <c r="P81" s="358"/>
      <c r="Q81" s="358"/>
      <c r="R81" s="357"/>
      <c r="S81" s="357"/>
      <c r="T81" s="357"/>
      <c r="U81" s="357"/>
      <c r="V81" s="357"/>
      <c r="W81" s="358"/>
      <c r="X81" s="357"/>
      <c r="Y81" s="358">
        <v>46029</v>
      </c>
      <c r="Z81" s="367" t="s">
        <v>282</v>
      </c>
      <c r="AL81" s="482"/>
      <c r="AM81" s="483"/>
      <c r="AN81" s="484"/>
      <c r="AO81" s="484"/>
      <c r="AP81" s="482"/>
    </row>
    <row r="82" spans="1:42">
      <c r="A82" s="325">
        <f>IF($D82="","",COUNTA($D$4:$D82))</f>
        <v>79</v>
      </c>
      <c r="B82" s="325" t="str">
        <f>IF($D82="","",IF($L82="","Contact",LOOKUP($K82,$AA$5:$AA$8,$AB$5:$AB$8)))</f>
        <v>Live</v>
      </c>
      <c r="C82" s="391" t="s">
        <v>267</v>
      </c>
      <c r="D82" s="117" t="s">
        <v>377</v>
      </c>
      <c r="E82" s="348" t="s">
        <v>290</v>
      </c>
      <c r="F82" s="117"/>
      <c r="G82" s="118" t="s">
        <v>277</v>
      </c>
      <c r="H82" s="118"/>
      <c r="I82" s="117" t="s">
        <v>291</v>
      </c>
      <c r="J82" s="117" t="s">
        <v>292</v>
      </c>
      <c r="K82" s="356" cm="1">
        <f t="array" ref="K82">IF($D82="","",SUMPRODUCT(MAX(($O82:$Y82&lt;&gt;"")*$AA$3:$AK$3)))</f>
        <v>1</v>
      </c>
      <c r="L82" s="120">
        <f t="shared" si="0"/>
        <v>46029</v>
      </c>
      <c r="M82" s="365">
        <f t="shared" ca="1" si="1"/>
        <v>227</v>
      </c>
      <c r="N82" s="123" t="str">
        <f t="shared" si="2"/>
        <v>Live</v>
      </c>
      <c r="O82" s="357">
        <v>45940</v>
      </c>
      <c r="P82" s="358"/>
      <c r="Q82" s="358"/>
      <c r="R82" s="357"/>
      <c r="S82" s="357">
        <v>45974</v>
      </c>
      <c r="T82" s="357">
        <v>45985</v>
      </c>
      <c r="U82" s="357"/>
      <c r="V82" s="357"/>
      <c r="W82" s="358"/>
      <c r="X82" s="357"/>
      <c r="Y82" s="358">
        <v>46029</v>
      </c>
      <c r="Z82" s="367" t="s">
        <v>282</v>
      </c>
      <c r="AL82" s="482"/>
      <c r="AM82" s="483"/>
      <c r="AN82" s="484"/>
      <c r="AO82" s="484"/>
      <c r="AP82" s="482"/>
    </row>
    <row r="83" spans="1:42">
      <c r="A83" s="325">
        <f>IF($D83="","",COUNTA($D$4:$D83))</f>
        <v>80</v>
      </c>
      <c r="B83" s="325" t="str">
        <f>IF($D83="","",IF($L83="","Contact",LOOKUP($K83,$AA$5:$AA$8,$AB$5:$AB$8)))</f>
        <v>Live</v>
      </c>
      <c r="C83" s="325" t="s">
        <v>259</v>
      </c>
      <c r="D83" s="117" t="s">
        <v>378</v>
      </c>
      <c r="E83" s="348" t="s">
        <v>290</v>
      </c>
      <c r="F83" s="117"/>
      <c r="G83" s="118" t="s">
        <v>277</v>
      </c>
      <c r="H83" s="118"/>
      <c r="I83" s="117" t="s">
        <v>291</v>
      </c>
      <c r="J83" s="117" t="s">
        <v>292</v>
      </c>
      <c r="K83" s="356" cm="1">
        <f t="array" ref="K83">IF($D83="","",SUMPRODUCT(MAX(($O83:$Y83&lt;&gt;"")*$AA$3:$AK$3)))</f>
        <v>1</v>
      </c>
      <c r="L83" s="120">
        <f t="shared" si="0"/>
        <v>46149</v>
      </c>
      <c r="M83" s="365">
        <f t="shared" ca="1" si="1"/>
        <v>107</v>
      </c>
      <c r="N83" s="123" t="str">
        <f t="shared" si="2"/>
        <v>Live</v>
      </c>
      <c r="O83" s="357">
        <v>45926</v>
      </c>
      <c r="P83" s="358">
        <v>46031</v>
      </c>
      <c r="Q83" s="358">
        <v>46031</v>
      </c>
      <c r="R83" s="357"/>
      <c r="S83" s="357"/>
      <c r="T83" s="357">
        <v>46141</v>
      </c>
      <c r="U83" s="357">
        <v>46149</v>
      </c>
      <c r="V83" s="357"/>
      <c r="W83" s="358"/>
      <c r="X83" s="357"/>
      <c r="Y83" s="358">
        <v>46029</v>
      </c>
      <c r="Z83" s="367" t="s">
        <v>282</v>
      </c>
      <c r="AL83" s="482"/>
      <c r="AM83" s="483"/>
      <c r="AN83" s="484"/>
      <c r="AO83" s="484"/>
      <c r="AP83" s="482"/>
    </row>
    <row r="84" spans="1:42">
      <c r="A84" s="325">
        <f>IF($D84="","",COUNTA($D$4:$D84))</f>
        <v>81</v>
      </c>
      <c r="B84" s="325" t="str">
        <f>IF($D84="","",IF($L84="","Contact",LOOKUP($K84,$AA$5:$AA$8,$AB$5:$AB$8)))</f>
        <v>Live</v>
      </c>
      <c r="C84" s="325" t="s">
        <v>259</v>
      </c>
      <c r="D84" s="117" t="s">
        <v>379</v>
      </c>
      <c r="E84" s="348" t="s">
        <v>290</v>
      </c>
      <c r="F84" s="117"/>
      <c r="G84" s="118" t="s">
        <v>277</v>
      </c>
      <c r="H84" s="118"/>
      <c r="I84" s="117" t="s">
        <v>291</v>
      </c>
      <c r="J84" s="117" t="s">
        <v>292</v>
      </c>
      <c r="K84" s="356" cm="1">
        <f t="array" ref="K84">IF($D84="","",SUMPRODUCT(MAX(($O84:$Y84&lt;&gt;"")*$AA$3:$AK$3)))</f>
        <v>1</v>
      </c>
      <c r="L84" s="120">
        <f t="shared" si="0"/>
        <v>46029</v>
      </c>
      <c r="M84" s="365">
        <f t="shared" ca="1" si="1"/>
        <v>227</v>
      </c>
      <c r="N84" s="123" t="str">
        <f t="shared" si="2"/>
        <v>Live</v>
      </c>
      <c r="O84" s="357"/>
      <c r="P84" s="358">
        <v>45991</v>
      </c>
      <c r="Q84" s="358"/>
      <c r="R84" s="357">
        <v>45992</v>
      </c>
      <c r="S84" s="357">
        <v>45992</v>
      </c>
      <c r="T84" s="357"/>
      <c r="U84" s="357"/>
      <c r="V84" s="357"/>
      <c r="W84" s="358"/>
      <c r="X84" s="357"/>
      <c r="Y84" s="358">
        <v>46029</v>
      </c>
      <c r="Z84" s="367" t="s">
        <v>282</v>
      </c>
      <c r="AL84" s="482"/>
      <c r="AM84" s="483"/>
      <c r="AN84" s="484"/>
      <c r="AO84" s="484"/>
      <c r="AP84" s="482"/>
    </row>
    <row r="85" spans="1:42">
      <c r="A85" s="325">
        <f>IF($D85="","",COUNTA($D$4:$D85))</f>
        <v>82</v>
      </c>
      <c r="B85" s="325" t="str">
        <f>IF($D85="","",IF($L85="","Contact",LOOKUP($K85,$AA$5:$AA$8,$AB$5:$AB$8)))</f>
        <v>Live</v>
      </c>
      <c r="C85" s="325" t="s">
        <v>267</v>
      </c>
      <c r="D85" s="117" t="s">
        <v>380</v>
      </c>
      <c r="E85" s="348" t="s">
        <v>290</v>
      </c>
      <c r="F85" s="117"/>
      <c r="G85" s="118" t="s">
        <v>277</v>
      </c>
      <c r="H85" s="118"/>
      <c r="I85" s="117" t="s">
        <v>291</v>
      </c>
      <c r="J85" s="117" t="s">
        <v>292</v>
      </c>
      <c r="K85" s="356" cm="1">
        <f t="array" ref="K85">IF($D85="","",SUMPRODUCT(MAX(($O85:$Y85&lt;&gt;"")*$AA$3:$AK$3)))</f>
        <v>1</v>
      </c>
      <c r="L85" s="120">
        <f t="shared" si="0"/>
        <v>46029</v>
      </c>
      <c r="M85" s="365">
        <f t="shared" ca="1" si="1"/>
        <v>227</v>
      </c>
      <c r="N85" s="123" t="str">
        <f t="shared" si="2"/>
        <v>Live</v>
      </c>
      <c r="O85" s="357">
        <v>45922</v>
      </c>
      <c r="P85" s="358"/>
      <c r="Q85" s="358"/>
      <c r="R85" s="357">
        <v>45955</v>
      </c>
      <c r="S85" s="357">
        <v>46013</v>
      </c>
      <c r="T85" s="357"/>
      <c r="U85" s="357"/>
      <c r="V85" s="357"/>
      <c r="W85" s="358"/>
      <c r="X85" s="357"/>
      <c r="Y85" s="358">
        <v>46029</v>
      </c>
      <c r="Z85" s="367" t="s">
        <v>282</v>
      </c>
      <c r="AL85" s="482"/>
      <c r="AM85" s="483"/>
      <c r="AN85" s="484"/>
      <c r="AO85" s="484"/>
      <c r="AP85" s="482"/>
    </row>
    <row r="86" spans="1:42">
      <c r="A86" s="325">
        <f>IF($D86="","",COUNTA($D$4:$D86))</f>
        <v>83</v>
      </c>
      <c r="B86" s="325" t="str">
        <f>IF($D86="","",IF($L86="","Contact",LOOKUP($K86,$AA$5:$AA$8,$AB$5:$AB$8)))</f>
        <v>Live</v>
      </c>
      <c r="C86" s="325" t="s">
        <v>267</v>
      </c>
      <c r="D86" s="117" t="s">
        <v>381</v>
      </c>
      <c r="E86" s="348" t="s">
        <v>290</v>
      </c>
      <c r="F86" s="117"/>
      <c r="G86" s="118" t="s">
        <v>277</v>
      </c>
      <c r="H86" s="118"/>
      <c r="I86" s="117" t="s">
        <v>291</v>
      </c>
      <c r="J86" s="117" t="s">
        <v>292</v>
      </c>
      <c r="K86" s="356" cm="1">
        <f t="array" ref="K86">IF($D86="","",SUMPRODUCT(MAX(($O86:$Y86&lt;&gt;"")*$AA$3:$AK$3)))</f>
        <v>1</v>
      </c>
      <c r="L86" s="120">
        <f t="shared" si="0"/>
        <v>46054</v>
      </c>
      <c r="M86" s="365">
        <f t="shared" ca="1" si="1"/>
        <v>202</v>
      </c>
      <c r="N86" s="123" t="str">
        <f t="shared" si="2"/>
        <v>Live</v>
      </c>
      <c r="O86" s="357">
        <v>46006</v>
      </c>
      <c r="P86" s="358"/>
      <c r="Q86" s="358"/>
      <c r="R86" s="357">
        <v>46054</v>
      </c>
      <c r="S86" s="357"/>
      <c r="T86" s="357"/>
      <c r="U86" s="357"/>
      <c r="V86" s="357"/>
      <c r="W86" s="358"/>
      <c r="X86" s="357"/>
      <c r="Y86" s="358">
        <v>46029</v>
      </c>
      <c r="Z86" s="367" t="s">
        <v>282</v>
      </c>
      <c r="AL86" s="482"/>
      <c r="AM86" s="483"/>
      <c r="AN86" s="484"/>
      <c r="AO86" s="484"/>
      <c r="AP86" s="482"/>
    </row>
    <row r="87" spans="1:42">
      <c r="A87" s="325">
        <f>IF($D87="","",COUNTA($D$4:$D87))</f>
        <v>84</v>
      </c>
      <c r="B87" s="325" t="str">
        <f>IF($D87="","",IF($L87="","Contact",LOOKUP($K87,$AA$5:$AA$8,$AB$5:$AB$8)))</f>
        <v>Live</v>
      </c>
      <c r="C87" s="325" t="s">
        <v>358</v>
      </c>
      <c r="D87" s="117" t="s">
        <v>376</v>
      </c>
      <c r="E87" s="348" t="s">
        <v>350</v>
      </c>
      <c r="F87" s="117"/>
      <c r="G87" s="118" t="s">
        <v>263</v>
      </c>
      <c r="H87" s="118"/>
      <c r="I87" s="117" t="s">
        <v>264</v>
      </c>
      <c r="J87" s="117" t="s">
        <v>265</v>
      </c>
      <c r="K87" s="356" cm="1">
        <f t="array" ref="K87">IF($D87="","",SUMPRODUCT(MAX(($O87:$Y87&lt;&gt;"")*$AA$3:$AK$3)))</f>
        <v>1</v>
      </c>
      <c r="L87" s="120">
        <f t="shared" si="0"/>
        <v>46029</v>
      </c>
      <c r="M87" s="365">
        <f t="shared" ca="1" si="1"/>
        <v>227</v>
      </c>
      <c r="N87" s="123" t="str">
        <f t="shared" si="2"/>
        <v>Live</v>
      </c>
      <c r="O87" s="357"/>
      <c r="P87" s="358"/>
      <c r="Q87" s="358"/>
      <c r="R87" s="357"/>
      <c r="S87" s="357"/>
      <c r="T87" s="357"/>
      <c r="U87" s="357"/>
      <c r="V87" s="357"/>
      <c r="W87" s="358"/>
      <c r="X87" s="357"/>
      <c r="Y87" s="358">
        <v>46029</v>
      </c>
      <c r="Z87" s="367" t="s">
        <v>282</v>
      </c>
      <c r="AL87" s="482"/>
      <c r="AM87" s="483"/>
      <c r="AN87" s="484"/>
      <c r="AO87" s="484"/>
      <c r="AP87" s="482"/>
    </row>
    <row r="88" spans="1:42">
      <c r="A88" s="325">
        <f>IF($D88="","",COUNTA($D$4:$D88))</f>
        <v>85</v>
      </c>
      <c r="B88" s="325" t="str">
        <f>IF($D88="","",IF($L88="","Contact",LOOKUP($K88,$AA$5:$AA$8,$AB$5:$AB$8)))</f>
        <v>Live</v>
      </c>
      <c r="C88" s="325" t="s">
        <v>267</v>
      </c>
      <c r="D88" s="117" t="s">
        <v>382</v>
      </c>
      <c r="E88" s="348" t="s">
        <v>290</v>
      </c>
      <c r="F88" s="117"/>
      <c r="G88" s="118" t="s">
        <v>263</v>
      </c>
      <c r="H88" s="118"/>
      <c r="I88" s="117" t="s">
        <v>291</v>
      </c>
      <c r="J88" s="117" t="s">
        <v>292</v>
      </c>
      <c r="K88" s="356" cm="1">
        <f t="array" ref="K88">IF($D88="","",SUMPRODUCT(MAX(($O88:$Y88&lt;&gt;"")*$AA$3:$AK$3)))</f>
        <v>1</v>
      </c>
      <c r="L88" s="120">
        <f t="shared" si="0"/>
        <v>46016</v>
      </c>
      <c r="M88" s="365">
        <f t="shared" ca="1" si="1"/>
        <v>240</v>
      </c>
      <c r="N88" s="123" t="str">
        <f t="shared" si="2"/>
        <v>Live</v>
      </c>
      <c r="O88" s="357">
        <v>45692</v>
      </c>
      <c r="P88" s="358">
        <v>45721</v>
      </c>
      <c r="Q88" s="358">
        <v>45811</v>
      </c>
      <c r="R88" s="357">
        <v>45925</v>
      </c>
      <c r="S88" s="357">
        <v>45930</v>
      </c>
      <c r="T88" s="357">
        <v>45932</v>
      </c>
      <c r="U88" s="357">
        <v>45955</v>
      </c>
      <c r="V88" s="357">
        <v>45960</v>
      </c>
      <c r="W88" s="358">
        <v>45972</v>
      </c>
      <c r="X88" s="357">
        <v>45973</v>
      </c>
      <c r="Y88" s="358">
        <v>46016</v>
      </c>
      <c r="Z88" s="367" t="s">
        <v>282</v>
      </c>
      <c r="AL88" s="482"/>
      <c r="AM88" s="483"/>
      <c r="AN88" s="484"/>
      <c r="AO88" s="484"/>
      <c r="AP88" s="482"/>
    </row>
    <row r="89" spans="1:42">
      <c r="A89" s="325">
        <f>IF($D89="","",COUNTA($D$4:$D89))</f>
        <v>86</v>
      </c>
      <c r="B89" s="325" t="str">
        <f>IF($D89="","",IF($L89="","Contact",LOOKUP($K89,$AA$5:$AA$8,$AB$5:$AB$8)))</f>
        <v>Live</v>
      </c>
      <c r="C89" s="325" t="s">
        <v>267</v>
      </c>
      <c r="D89" s="117" t="s">
        <v>383</v>
      </c>
      <c r="E89" s="348" t="s">
        <v>290</v>
      </c>
      <c r="F89" s="117"/>
      <c r="G89" s="118" t="s">
        <v>277</v>
      </c>
      <c r="H89" s="118"/>
      <c r="I89" s="117" t="s">
        <v>291</v>
      </c>
      <c r="J89" s="117" t="s">
        <v>292</v>
      </c>
      <c r="K89" s="356" cm="1">
        <f t="array" ref="K89">IF($D89="","",SUMPRODUCT(MAX(($O89:$Y89&lt;&gt;"")*$AA$3:$AK$3)))</f>
        <v>1</v>
      </c>
      <c r="L89" s="120">
        <f t="shared" si="0"/>
        <v>45959</v>
      </c>
      <c r="M89" s="365">
        <f t="shared" ca="1" si="1"/>
        <v>297</v>
      </c>
      <c r="N89" s="123" t="str">
        <f t="shared" si="2"/>
        <v>Live</v>
      </c>
      <c r="O89" s="357"/>
      <c r="P89" s="358">
        <v>44822</v>
      </c>
      <c r="Q89" s="358"/>
      <c r="R89" s="357"/>
      <c r="S89" s="357"/>
      <c r="T89" s="357"/>
      <c r="U89" s="357"/>
      <c r="V89" s="357"/>
      <c r="W89" s="358">
        <v>44876</v>
      </c>
      <c r="X89" s="357"/>
      <c r="Y89" s="358">
        <v>45959</v>
      </c>
      <c r="Z89" s="367" t="s">
        <v>282</v>
      </c>
      <c r="AL89" s="482"/>
      <c r="AM89" s="483"/>
      <c r="AN89" s="484"/>
      <c r="AO89" s="484"/>
      <c r="AP89" s="482"/>
    </row>
    <row r="90" spans="1:42">
      <c r="A90" s="325">
        <f>IF($D90="","",COUNTA($D$4:$D90))</f>
        <v>87</v>
      </c>
      <c r="B90" s="325" t="str">
        <f>IF($D90="","",IF($L90="","Contact",LOOKUP($K90,$AA$5:$AA$8,$AB$5:$AB$8)))</f>
        <v>Live</v>
      </c>
      <c r="C90" s="391" t="s">
        <v>267</v>
      </c>
      <c r="D90" s="117" t="s">
        <v>384</v>
      </c>
      <c r="E90" s="348" t="s">
        <v>290</v>
      </c>
      <c r="F90" s="117"/>
      <c r="G90" s="118" t="s">
        <v>277</v>
      </c>
      <c r="H90" s="118"/>
      <c r="I90" s="117" t="s">
        <v>291</v>
      </c>
      <c r="J90" s="117" t="s">
        <v>292</v>
      </c>
      <c r="K90" s="356" cm="1">
        <f t="array" ref="K90">IF($D90="","",SUMPRODUCT(MAX(($O90:$Y90&lt;&gt;"")*$AA$3:$AK$3)))</f>
        <v>1</v>
      </c>
      <c r="L90" s="120">
        <f t="shared" si="0"/>
        <v>45990</v>
      </c>
      <c r="M90" s="365">
        <f t="shared" ca="1" si="1"/>
        <v>266</v>
      </c>
      <c r="N90" s="123" t="str">
        <f t="shared" si="2"/>
        <v>Live</v>
      </c>
      <c r="O90" s="357">
        <v>45869</v>
      </c>
      <c r="P90" s="358">
        <v>45875</v>
      </c>
      <c r="Q90" s="358">
        <v>45874</v>
      </c>
      <c r="R90" s="357">
        <v>45931</v>
      </c>
      <c r="S90" s="357">
        <v>45908</v>
      </c>
      <c r="T90" s="357">
        <v>45930</v>
      </c>
      <c r="U90" s="357">
        <v>45952</v>
      </c>
      <c r="V90" s="357"/>
      <c r="W90" s="358">
        <v>45960</v>
      </c>
      <c r="X90" s="357">
        <v>45961</v>
      </c>
      <c r="Y90" s="358">
        <v>45990</v>
      </c>
      <c r="Z90" s="367" t="s">
        <v>282</v>
      </c>
      <c r="AL90" s="482"/>
      <c r="AM90" s="483"/>
      <c r="AN90" s="484"/>
      <c r="AO90" s="484"/>
      <c r="AP90" s="482"/>
    </row>
    <row r="91" spans="1:42">
      <c r="A91" s="325">
        <f>IF($D91="","",COUNTA($D$4:$D91))</f>
        <v>88</v>
      </c>
      <c r="B91" s="325" t="str">
        <f>IF($D91="","",IF($L91="","Contact",LOOKUP($K91,$AA$5:$AA$8,$AB$5:$AB$8)))</f>
        <v>Live</v>
      </c>
      <c r="C91" s="325" t="s">
        <v>267</v>
      </c>
      <c r="D91" s="117" t="s">
        <v>385</v>
      </c>
      <c r="E91" s="348" t="s">
        <v>290</v>
      </c>
      <c r="F91" s="117"/>
      <c r="G91" s="118" t="s">
        <v>277</v>
      </c>
      <c r="H91" s="118"/>
      <c r="I91" s="117" t="s">
        <v>291</v>
      </c>
      <c r="J91" s="117" t="s">
        <v>292</v>
      </c>
      <c r="K91" s="356" cm="1">
        <f t="array" ref="K91">IF($D91="","",SUMPRODUCT(MAX(($O91:$Y91&lt;&gt;"")*$AA$3:$AK$3)))</f>
        <v>1</v>
      </c>
      <c r="L91" s="120">
        <f t="shared" si="0"/>
        <v>45965</v>
      </c>
      <c r="M91" s="365">
        <f t="shared" ca="1" si="1"/>
        <v>291</v>
      </c>
      <c r="N91" s="123" t="str">
        <f t="shared" si="2"/>
        <v>Live</v>
      </c>
      <c r="O91" s="357">
        <v>45877</v>
      </c>
      <c r="P91" s="358">
        <v>45926</v>
      </c>
      <c r="Q91" s="358"/>
      <c r="R91" s="357">
        <v>45960</v>
      </c>
      <c r="S91" s="357">
        <v>45915</v>
      </c>
      <c r="T91" s="357">
        <v>45943</v>
      </c>
      <c r="U91" s="357">
        <v>45947</v>
      </c>
      <c r="V91" s="357"/>
      <c r="W91" s="358">
        <v>45951</v>
      </c>
      <c r="X91" s="357">
        <v>45951</v>
      </c>
      <c r="Y91" s="358">
        <v>45965</v>
      </c>
      <c r="Z91" s="367" t="s">
        <v>282</v>
      </c>
      <c r="AL91" s="482"/>
      <c r="AM91" s="483"/>
      <c r="AN91" s="484"/>
      <c r="AO91" s="484"/>
      <c r="AP91" s="482"/>
    </row>
    <row r="92" spans="1:42">
      <c r="A92" s="325">
        <f>IF($D92="","",COUNTA($D$4:$D92))</f>
        <v>89</v>
      </c>
      <c r="B92" s="325" t="str">
        <f>IF($D92="","",IF($L92="","Contact",LOOKUP($K92,$AA$5:$AA$8,$AB$5:$AB$8)))</f>
        <v>Live</v>
      </c>
      <c r="C92" s="395" t="s">
        <v>316</v>
      </c>
      <c r="D92" s="117" t="s">
        <v>386</v>
      </c>
      <c r="E92" s="348" t="s">
        <v>290</v>
      </c>
      <c r="F92" s="117"/>
      <c r="G92" s="118" t="s">
        <v>277</v>
      </c>
      <c r="H92" s="118"/>
      <c r="I92" s="117" t="s">
        <v>291</v>
      </c>
      <c r="J92" s="117" t="s">
        <v>292</v>
      </c>
      <c r="K92" s="356" cm="1">
        <f t="array" ref="K92">IF($D92="","",SUMPRODUCT(MAX(($O92:$Y92&lt;&gt;"")*$AA$3:$AK$3)))</f>
        <v>1</v>
      </c>
      <c r="L92" s="120">
        <f t="shared" si="0"/>
        <v>45990</v>
      </c>
      <c r="M92" s="365">
        <f t="shared" ca="1" si="1"/>
        <v>266</v>
      </c>
      <c r="N92" s="123" t="str">
        <f t="shared" si="2"/>
        <v>Live</v>
      </c>
      <c r="O92" s="357">
        <v>45918</v>
      </c>
      <c r="P92" s="358"/>
      <c r="Q92" s="358"/>
      <c r="R92" s="357"/>
      <c r="S92" s="357"/>
      <c r="T92" s="357">
        <v>45915</v>
      </c>
      <c r="U92" s="357"/>
      <c r="V92" s="357"/>
      <c r="W92" s="358">
        <v>45968</v>
      </c>
      <c r="X92" s="357"/>
      <c r="Y92" s="358">
        <v>45990</v>
      </c>
      <c r="Z92" s="367" t="s">
        <v>282</v>
      </c>
      <c r="AL92" s="482"/>
      <c r="AM92" s="483"/>
      <c r="AN92" s="484"/>
      <c r="AO92" s="484"/>
      <c r="AP92" s="482"/>
    </row>
    <row r="93" spans="1:42">
      <c r="A93" s="325">
        <f>IF($D93="","",COUNTA($D$4:$D93))</f>
        <v>90</v>
      </c>
      <c r="B93" s="325" t="str">
        <f>IF($D93="","",IF($L93="","Contact",LOOKUP($K93,$AA$5:$AA$8,$AB$5:$AB$8)))</f>
        <v>Live</v>
      </c>
      <c r="C93" s="325" t="s">
        <v>267</v>
      </c>
      <c r="D93" s="117" t="s">
        <v>387</v>
      </c>
      <c r="E93" s="348" t="s">
        <v>290</v>
      </c>
      <c r="F93" s="117"/>
      <c r="G93" s="118" t="s">
        <v>277</v>
      </c>
      <c r="H93" s="118"/>
      <c r="I93" s="117" t="s">
        <v>291</v>
      </c>
      <c r="J93" s="117" t="s">
        <v>292</v>
      </c>
      <c r="K93" s="356" cm="1">
        <f t="array" ref="K93">IF($D93="","",SUMPRODUCT(MAX(($O93:$Y93&lt;&gt;"")*$AA$3:$AK$3)))</f>
        <v>1</v>
      </c>
      <c r="L93" s="120">
        <f t="shared" si="0"/>
        <v>45965</v>
      </c>
      <c r="M93" s="365">
        <f t="shared" ca="1" si="1"/>
        <v>291</v>
      </c>
      <c r="N93" s="123" t="str">
        <f t="shared" si="2"/>
        <v>Live</v>
      </c>
      <c r="O93" s="357"/>
      <c r="P93" s="358">
        <v>45904</v>
      </c>
      <c r="Q93" s="358">
        <v>45905</v>
      </c>
      <c r="R93" s="357"/>
      <c r="S93" s="357"/>
      <c r="T93" s="357"/>
      <c r="U93" s="357">
        <v>45916</v>
      </c>
      <c r="V93" s="357"/>
      <c r="W93" s="358">
        <v>45940</v>
      </c>
      <c r="X93" s="357">
        <v>45940</v>
      </c>
      <c r="Y93" s="358">
        <v>45965</v>
      </c>
      <c r="Z93" s="367" t="s">
        <v>282</v>
      </c>
      <c r="AL93" s="482"/>
      <c r="AM93" s="483"/>
      <c r="AN93" s="484"/>
      <c r="AO93" s="484"/>
      <c r="AP93" s="482"/>
    </row>
    <row r="94" spans="1:42" ht="15.75" customHeight="1">
      <c r="A94" s="325">
        <f>IF($D94="","",COUNTA($D$4:$D94))</f>
        <v>91</v>
      </c>
      <c r="B94" s="325" t="str">
        <f>IF($D94="","",IF($L94="","Contact",LOOKUP($K94,$AA$5:$AA$8,$AB$5:$AB$8)))</f>
        <v>Live</v>
      </c>
      <c r="C94" s="325" t="s">
        <v>267</v>
      </c>
      <c r="D94" s="345" t="s">
        <v>388</v>
      </c>
      <c r="E94" s="334" t="s">
        <v>290</v>
      </c>
      <c r="F94" s="328"/>
      <c r="G94" s="118" t="s">
        <v>263</v>
      </c>
      <c r="H94" s="118"/>
      <c r="I94" s="117" t="s">
        <v>291</v>
      </c>
      <c r="J94" s="345" t="s">
        <v>292</v>
      </c>
      <c r="K94" s="329" cm="1">
        <f t="array" ref="K94">IF($D94="","",SUMPRODUCT(MAX(($O94:$Y94&lt;&gt;"")*$AA$3:$AK$3)))</f>
        <v>1</v>
      </c>
      <c r="L94" s="346">
        <f t="shared" si="0"/>
        <v>45959</v>
      </c>
      <c r="M94" s="330">
        <f t="shared" ca="1" si="1"/>
        <v>297</v>
      </c>
      <c r="N94" s="325" t="str">
        <f t="shared" si="2"/>
        <v>Live</v>
      </c>
      <c r="O94" s="359">
        <v>43888</v>
      </c>
      <c r="P94" s="359"/>
      <c r="Q94" s="359"/>
      <c r="R94" s="359"/>
      <c r="S94" s="359"/>
      <c r="T94" s="359"/>
      <c r="U94" s="359"/>
      <c r="V94" s="359"/>
      <c r="W94" s="359"/>
      <c r="X94" s="359"/>
      <c r="Y94" s="359">
        <v>45959</v>
      </c>
      <c r="Z94" s="367" t="s">
        <v>282</v>
      </c>
      <c r="AL94" s="482"/>
      <c r="AM94" s="483"/>
      <c r="AN94" s="484"/>
      <c r="AO94" s="484"/>
      <c r="AP94" s="482"/>
    </row>
    <row r="95" spans="1:42" ht="15.75" customHeight="1">
      <c r="A95" s="325">
        <f>IF($D95="","",COUNTA($D$4:$D95))</f>
        <v>92</v>
      </c>
      <c r="B95" s="325" t="str">
        <f>IF($D95="","",IF($L95="","Contact",LOOKUP($K95,$AA$5:$AA$8,$AB$5:$AB$8)))</f>
        <v>Live</v>
      </c>
      <c r="C95" s="325" t="s">
        <v>267</v>
      </c>
      <c r="D95" s="345" t="s">
        <v>389</v>
      </c>
      <c r="E95" s="334" t="s">
        <v>290</v>
      </c>
      <c r="F95" s="328"/>
      <c r="G95" s="118" t="s">
        <v>263</v>
      </c>
      <c r="H95" s="118"/>
      <c r="I95" s="117" t="s">
        <v>291</v>
      </c>
      <c r="J95" s="345" t="s">
        <v>292</v>
      </c>
      <c r="K95" s="329" cm="1">
        <f t="array" ref="K95">IF($D95="","",SUMPRODUCT(MAX(($O95:$Y95&lt;&gt;"")*$AA$3:$AK$3)))</f>
        <v>1</v>
      </c>
      <c r="L95" s="346">
        <f t="shared" si="0"/>
        <v>45959</v>
      </c>
      <c r="M95" s="330">
        <f t="shared" ca="1" si="1"/>
        <v>297</v>
      </c>
      <c r="N95" s="325" t="str">
        <f t="shared" si="2"/>
        <v>Live</v>
      </c>
      <c r="O95" s="359"/>
      <c r="P95" s="359">
        <v>43960</v>
      </c>
      <c r="Q95" s="359"/>
      <c r="R95" s="359"/>
      <c r="S95" s="359"/>
      <c r="T95" s="359"/>
      <c r="U95" s="359"/>
      <c r="V95" s="359"/>
      <c r="W95" s="359"/>
      <c r="X95" s="359"/>
      <c r="Y95" s="359">
        <v>45959</v>
      </c>
      <c r="Z95" s="367" t="s">
        <v>282</v>
      </c>
      <c r="AL95" s="482"/>
      <c r="AM95" s="483"/>
      <c r="AN95" s="484"/>
      <c r="AO95" s="484"/>
      <c r="AP95" s="482"/>
    </row>
    <row r="96" spans="1:42" ht="15.75" customHeight="1">
      <c r="A96" s="325">
        <f>IF($D96="","",COUNTA($D$4:$D96))</f>
        <v>93</v>
      </c>
      <c r="B96" s="325" t="str">
        <f>IF($D96="","",IF($L96="","Contact",LOOKUP($K96,$AA$5:$AA$8,$AB$5:$AB$8)))</f>
        <v>Live</v>
      </c>
      <c r="C96" s="325" t="s">
        <v>267</v>
      </c>
      <c r="D96" s="345" t="s">
        <v>390</v>
      </c>
      <c r="E96" s="334" t="s">
        <v>290</v>
      </c>
      <c r="F96" s="328"/>
      <c r="G96" s="118" t="s">
        <v>277</v>
      </c>
      <c r="H96" s="118"/>
      <c r="I96" s="117" t="s">
        <v>291</v>
      </c>
      <c r="J96" s="345" t="s">
        <v>292</v>
      </c>
      <c r="K96" s="329" cm="1">
        <f t="array" ref="K96">IF($D96="","",SUMPRODUCT(MAX(($O96:$Y96&lt;&gt;"")*$AA$3:$AK$3)))</f>
        <v>1</v>
      </c>
      <c r="L96" s="346">
        <f t="shared" si="0"/>
        <v>45959</v>
      </c>
      <c r="M96" s="330">
        <f t="shared" ca="1" si="1"/>
        <v>297</v>
      </c>
      <c r="N96" s="325" t="str">
        <f t="shared" si="2"/>
        <v>Live</v>
      </c>
      <c r="O96" s="359">
        <v>45228</v>
      </c>
      <c r="P96" s="359">
        <v>45251</v>
      </c>
      <c r="Q96" s="359">
        <v>45236</v>
      </c>
      <c r="R96" s="359"/>
      <c r="S96" s="359"/>
      <c r="T96" s="359"/>
      <c r="U96" s="359"/>
      <c r="V96" s="359"/>
      <c r="W96" s="359"/>
      <c r="X96" s="359"/>
      <c r="Y96" s="359">
        <v>45959</v>
      </c>
      <c r="Z96" s="367" t="s">
        <v>282</v>
      </c>
      <c r="AL96" s="482"/>
      <c r="AM96" s="483"/>
      <c r="AN96" s="484"/>
      <c r="AO96" s="484"/>
      <c r="AP96" s="482"/>
    </row>
    <row r="97" spans="1:42" ht="15.75" customHeight="1">
      <c r="A97" s="325">
        <f>IF($D97="","",COUNTA($D$4:$D97))</f>
        <v>94</v>
      </c>
      <c r="B97" s="325" t="str">
        <f>IF($D97="","",IF($L97="","Contact",LOOKUP($K97,$AA$5:$AA$8,$AB$5:$AB$8)))</f>
        <v>Live</v>
      </c>
      <c r="C97" s="325" t="s">
        <v>323</v>
      </c>
      <c r="D97" s="345" t="s">
        <v>391</v>
      </c>
      <c r="E97" s="334" t="s">
        <v>290</v>
      </c>
      <c r="F97" s="328"/>
      <c r="G97" s="118" t="s">
        <v>263</v>
      </c>
      <c r="H97" s="118"/>
      <c r="I97" s="117" t="s">
        <v>291</v>
      </c>
      <c r="J97" s="345" t="s">
        <v>295</v>
      </c>
      <c r="K97" s="329" cm="1">
        <f t="array" ref="K97">IF($D97="","",SUMPRODUCT(MAX(($O97:$Y97&lt;&gt;"")*$AA$3:$AK$3)))</f>
        <v>1</v>
      </c>
      <c r="L97" s="346">
        <f t="shared" si="0"/>
        <v>45959</v>
      </c>
      <c r="M97" s="330">
        <f t="shared" ca="1" si="1"/>
        <v>297</v>
      </c>
      <c r="N97" s="325" t="str">
        <f t="shared" si="2"/>
        <v>Live</v>
      </c>
      <c r="O97" s="359"/>
      <c r="P97" s="359"/>
      <c r="Q97" s="359"/>
      <c r="R97" s="359"/>
      <c r="S97" s="359"/>
      <c r="T97" s="359"/>
      <c r="U97" s="359"/>
      <c r="V97" s="359"/>
      <c r="W97" s="359"/>
      <c r="X97" s="359"/>
      <c r="Y97" s="359">
        <v>45959</v>
      </c>
      <c r="Z97" s="367" t="s">
        <v>282</v>
      </c>
      <c r="AL97" s="482"/>
      <c r="AM97" s="483"/>
      <c r="AN97" s="484"/>
      <c r="AO97" s="484"/>
      <c r="AP97" s="482"/>
    </row>
    <row r="98" spans="1:42" ht="15.75" customHeight="1">
      <c r="A98" s="325">
        <f>IF($D98="","",COUNTA($D$4:$D98))</f>
        <v>95</v>
      </c>
      <c r="B98" s="325" t="str">
        <f>IF($D98="","",IF($L98="","Contact",LOOKUP($K98,$AA$5:$AA$8,$AB$5:$AB$8)))</f>
        <v>Live</v>
      </c>
      <c r="C98" s="325" t="s">
        <v>267</v>
      </c>
      <c r="D98" s="345" t="s">
        <v>392</v>
      </c>
      <c r="E98" s="335" t="s">
        <v>290</v>
      </c>
      <c r="F98" s="328"/>
      <c r="G98" s="118" t="s">
        <v>277</v>
      </c>
      <c r="H98" s="118"/>
      <c r="I98" s="117" t="s">
        <v>291</v>
      </c>
      <c r="J98" s="345" t="s">
        <v>292</v>
      </c>
      <c r="K98" s="329" cm="1">
        <f t="array" ref="K98">IF($D98="","",SUMPRODUCT(MAX(($O98:$Y98&lt;&gt;"")*$AA$3:$AK$3)))</f>
        <v>1</v>
      </c>
      <c r="L98" s="346">
        <f t="shared" si="0"/>
        <v>45959</v>
      </c>
      <c r="M98" s="330">
        <f t="shared" ca="1" si="1"/>
        <v>297</v>
      </c>
      <c r="N98" s="325" t="str">
        <f t="shared" si="2"/>
        <v>Live</v>
      </c>
      <c r="O98" s="359"/>
      <c r="P98" s="359">
        <v>45253</v>
      </c>
      <c r="Q98" s="359">
        <v>45244</v>
      </c>
      <c r="R98" s="359"/>
      <c r="S98" s="359"/>
      <c r="T98" s="359"/>
      <c r="U98" s="359"/>
      <c r="V98" s="359"/>
      <c r="W98" s="359"/>
      <c r="X98" s="359"/>
      <c r="Y98" s="359">
        <v>45959</v>
      </c>
      <c r="Z98" s="367" t="s">
        <v>282</v>
      </c>
      <c r="AL98" s="482"/>
      <c r="AM98" s="483"/>
      <c r="AN98" s="484"/>
      <c r="AO98" s="484"/>
      <c r="AP98" s="482"/>
    </row>
    <row r="99" spans="1:42" ht="15.75" customHeight="1">
      <c r="A99" s="325">
        <f>IF($D99="","",COUNTA($D$4:$D99))</f>
        <v>96</v>
      </c>
      <c r="B99" s="325" t="str">
        <f>IF($D99="","",IF($L99="","Contact",LOOKUP($K99,$AA$5:$AA$8,$AB$5:$AB$8)))</f>
        <v>Live</v>
      </c>
      <c r="C99" s="395" t="s">
        <v>259</v>
      </c>
      <c r="D99" s="345" t="s">
        <v>393</v>
      </c>
      <c r="E99" s="335" t="s">
        <v>290</v>
      </c>
      <c r="F99" s="328"/>
      <c r="G99" s="118" t="s">
        <v>277</v>
      </c>
      <c r="H99" s="118"/>
      <c r="I99" s="117" t="s">
        <v>291</v>
      </c>
      <c r="J99" s="345" t="s">
        <v>295</v>
      </c>
      <c r="K99" s="329" cm="1">
        <f t="array" ref="K99">IF($D99="","",SUMPRODUCT(MAX(($O99:$Y99&lt;&gt;"")*$AA$3:$AK$3)))</f>
        <v>1</v>
      </c>
      <c r="L99" s="346">
        <f t="shared" si="0"/>
        <v>45959</v>
      </c>
      <c r="M99" s="330">
        <f t="shared" ca="1" si="1"/>
        <v>297</v>
      </c>
      <c r="N99" s="325" t="str">
        <f t="shared" si="2"/>
        <v>Live</v>
      </c>
      <c r="O99" s="359"/>
      <c r="P99" s="359"/>
      <c r="Q99" s="359"/>
      <c r="R99" s="359"/>
      <c r="S99" s="359"/>
      <c r="T99" s="359"/>
      <c r="U99" s="359"/>
      <c r="V99" s="359"/>
      <c r="W99" s="359"/>
      <c r="X99" s="359"/>
      <c r="Y99" s="359">
        <v>45959</v>
      </c>
      <c r="Z99" s="367" t="s">
        <v>282</v>
      </c>
      <c r="AL99" s="482"/>
      <c r="AM99" s="483"/>
      <c r="AN99" s="484"/>
      <c r="AO99" s="484"/>
      <c r="AP99" s="482"/>
    </row>
    <row r="100" spans="1:42">
      <c r="A100" s="325">
        <f>IF($D100="","",COUNTA($D$4:$D100))</f>
        <v>97</v>
      </c>
      <c r="B100" s="349" t="str">
        <f>IF($D100="","",IF($L100="","Contact",LOOKUP($K100,$AA$5:$AA$8,$AB$5:$AB$8)))</f>
        <v>Live</v>
      </c>
      <c r="C100" s="349" t="s">
        <v>267</v>
      </c>
      <c r="D100" s="350" t="s">
        <v>394</v>
      </c>
      <c r="E100" s="351" t="s">
        <v>290</v>
      </c>
      <c r="F100" s="352"/>
      <c r="G100" s="118" t="s">
        <v>277</v>
      </c>
      <c r="H100" s="368"/>
      <c r="I100" s="117" t="s">
        <v>291</v>
      </c>
      <c r="J100" s="350" t="s">
        <v>292</v>
      </c>
      <c r="K100" s="353" cm="1">
        <f t="array" ref="K100">IF($D100="","",SUMPRODUCT(MAX(($O100:$Y100&lt;&gt;"")*$AA$3:$AK$3)))</f>
        <v>1</v>
      </c>
      <c r="L100" s="354">
        <f t="shared" si="0"/>
        <v>45959</v>
      </c>
      <c r="M100" s="355">
        <f t="shared" ca="1" si="1"/>
        <v>297</v>
      </c>
      <c r="N100" s="349" t="str">
        <f t="shared" si="2"/>
        <v>Live</v>
      </c>
      <c r="O100" s="360"/>
      <c r="P100" s="360">
        <v>45327</v>
      </c>
      <c r="Q100" s="360">
        <v>45327</v>
      </c>
      <c r="R100" s="360"/>
      <c r="S100" s="360"/>
      <c r="T100" s="360"/>
      <c r="U100" s="360"/>
      <c r="V100" s="360"/>
      <c r="W100" s="360"/>
      <c r="X100" s="360"/>
      <c r="Y100" s="360">
        <v>45959</v>
      </c>
      <c r="Z100" s="367" t="s">
        <v>282</v>
      </c>
      <c r="AL100" s="482"/>
      <c r="AM100" s="483"/>
      <c r="AN100" s="484"/>
      <c r="AO100" s="484"/>
      <c r="AP100" s="482"/>
    </row>
    <row r="101" spans="1:42">
      <c r="A101" s="325">
        <f>IF($D101="","",COUNTA($D$4:$D101))</f>
        <v>98</v>
      </c>
      <c r="B101" s="391" t="str">
        <f>IF($D101="","",IF($L101="","Contact",LOOKUP($K101,$AA$5:$AA$8,$AB$5:$AB$8)))</f>
        <v>In Development</v>
      </c>
      <c r="C101" s="326" t="s">
        <v>259</v>
      </c>
      <c r="D101" s="390" t="s">
        <v>395</v>
      </c>
      <c r="E101" s="389" t="s">
        <v>290</v>
      </c>
      <c r="F101" s="390"/>
      <c r="G101" s="388"/>
      <c r="H101" s="388"/>
      <c r="I101" s="390" t="s">
        <v>291</v>
      </c>
      <c r="J101" s="390" t="s">
        <v>396</v>
      </c>
      <c r="K101" s="387" cm="1">
        <f t="array" ref="K101">IF($D101="","",SUMPRODUCT(MAX(($O101:$Y101&lt;&gt;"")*$AA$3:$AK$3)))</f>
        <v>0.5</v>
      </c>
      <c r="L101" s="386">
        <f>IF(COUNT($O101:$Y101)=0,"",MAX($O101:$Y101))</f>
        <v>46255</v>
      </c>
      <c r="M101" s="385">
        <f ca="1">IF($L101="","",TODAY()-$L101)</f>
        <v>1</v>
      </c>
      <c r="N101" s="325" t="str">
        <f ca="1">IF($L101="","No Record",IF($K101&gt;=1,"Live",IF($M101&gt;=90,"Stalled 90d+",IF($M101&gt;=60,"Stalled 60d+",IF($M101&gt;=30,"Stalled 30d+","In Progress")))))</f>
        <v>In Progress</v>
      </c>
      <c r="O101" s="383">
        <v>46217</v>
      </c>
      <c r="P101" s="382">
        <v>46238</v>
      </c>
      <c r="Q101" s="382"/>
      <c r="R101" s="383"/>
      <c r="S101" s="383">
        <v>46255</v>
      </c>
      <c r="T101" s="383"/>
      <c r="U101" s="383"/>
      <c r="V101" s="383"/>
      <c r="W101" s="382"/>
      <c r="X101" s="383"/>
      <c r="Y101" s="382"/>
      <c r="Z101" s="367" t="s">
        <v>266</v>
      </c>
      <c r="AL101" s="482"/>
      <c r="AM101" s="483"/>
      <c r="AN101" s="484"/>
      <c r="AO101" s="484"/>
      <c r="AP101" s="482"/>
    </row>
  </sheetData>
  <autoFilter ref="A3:AK101" xr:uid="{B613BD59-1D2E-489D-892F-E053E2C91BD8}"/>
  <mergeCells count="4">
    <mergeCell ref="A1:Y1"/>
    <mergeCell ref="A2:J2"/>
    <mergeCell ref="K2:N2"/>
    <mergeCell ref="O2:Y2"/>
  </mergeCells>
  <conditionalFormatting sqref="B4:C100">
    <cfRule type="cellIs" dxfId="119" priority="41" operator="equal">
      <formula>"Contact"</formula>
    </cfRule>
  </conditionalFormatting>
  <conditionalFormatting sqref="B4:C100">
    <cfRule type="cellIs" dxfId="118" priority="42" operator="equal">
      <formula>"NDA/Contract"</formula>
    </cfRule>
  </conditionalFormatting>
  <conditionalFormatting sqref="B4:C100">
    <cfRule type="cellIs" dxfId="117" priority="43" operator="equal">
      <formula>"In Development"</formula>
    </cfRule>
  </conditionalFormatting>
  <conditionalFormatting sqref="B4:C100">
    <cfRule type="cellIs" dxfId="116" priority="44" operator="equal">
      <formula>"Testing"</formula>
    </cfRule>
  </conditionalFormatting>
  <conditionalFormatting sqref="B4:C100">
    <cfRule type="cellIs" dxfId="115" priority="45" operator="equal">
      <formula>"Live"</formula>
    </cfRule>
  </conditionalFormatting>
  <conditionalFormatting sqref="F4:F101">
    <cfRule type="containsText" dxfId="114" priority="46" operator="containsText" text="High">
      <formula>NOT(ISERROR(SEARCH("High",F4)))</formula>
    </cfRule>
  </conditionalFormatting>
  <conditionalFormatting sqref="F4:F101">
    <cfRule type="containsText" dxfId="113" priority="47" operator="containsText" text="Mid">
      <formula>NOT(ISERROR(SEARCH("Mid",F4)))</formula>
    </cfRule>
  </conditionalFormatting>
  <conditionalFormatting sqref="F4:F101">
    <cfRule type="containsText" dxfId="112" priority="48" operator="containsText" text="Low">
      <formula>NOT(ISERROR(SEARCH("Low",F4)))</formula>
    </cfRule>
  </conditionalFormatting>
  <conditionalFormatting sqref="N4:N101">
    <cfRule type="containsText" dxfId="111" priority="49" operator="containsText" text="Live">
      <formula>NOT(ISERROR(SEARCH("Live",N4)))</formula>
    </cfRule>
  </conditionalFormatting>
  <conditionalFormatting sqref="N4:N101">
    <cfRule type="containsText" dxfId="110" priority="50" operator="containsText" text="90d">
      <formula>NOT(ISERROR(SEARCH("90d",N4)))</formula>
    </cfRule>
  </conditionalFormatting>
  <conditionalFormatting sqref="N4:N101">
    <cfRule type="containsText" dxfId="109" priority="51" operator="containsText" text="60d">
      <formula>NOT(ISERROR(SEARCH("60d",N4)))</formula>
    </cfRule>
  </conditionalFormatting>
  <conditionalFormatting sqref="N4:N101">
    <cfRule type="containsText" dxfId="108" priority="52" operator="containsText" text="30d">
      <formula>NOT(ISERROR(SEARCH("30d",N4)))</formula>
    </cfRule>
  </conditionalFormatting>
  <conditionalFormatting sqref="N4:N101">
    <cfRule type="containsText" dxfId="107" priority="53" operator="containsText" text="No Record">
      <formula>NOT(ISERROR(SEARCH("No Record",N4)))</formula>
    </cfRule>
  </conditionalFormatting>
  <conditionalFormatting sqref="K4:K101">
    <cfRule type="dataBar" priority="54">
      <dataBar>
        <cfvo type="num" val="0"/>
        <cfvo type="num" val="1"/>
        <color rgb="FF63BE7B"/>
      </dataBar>
      <extLst>
        <ext xmlns:x14="http://schemas.microsoft.com/office/spreadsheetml/2009/9/main" uri="{B025F937-C7B1-47D3-B67F-A62EFF666E3E}">
          <x14:id>{8AFC7AAE-9621-4F46-8238-C55C7935A338}</x14:id>
        </ext>
      </extLst>
    </cfRule>
  </conditionalFormatting>
  <conditionalFormatting sqref="O4:Y100">
    <cfRule type="expression" dxfId="106" priority="55">
      <formula>O4&lt;&gt;""</formula>
    </cfRule>
  </conditionalFormatting>
  <conditionalFormatting sqref="G71:H100">
    <cfRule type="duplicateValues" dxfId="105" priority="650"/>
  </conditionalFormatting>
  <conditionalFormatting sqref="H50:H55">
    <cfRule type="duplicateValues" dxfId="104" priority="712"/>
  </conditionalFormatting>
  <conditionalFormatting sqref="B101">
    <cfRule type="cellIs" dxfId="103" priority="6" operator="equal">
      <formula>"Contact"</formula>
    </cfRule>
  </conditionalFormatting>
  <conditionalFormatting sqref="B101">
    <cfRule type="cellIs" dxfId="102" priority="7" operator="equal">
      <formula>"NDA/Contract"</formula>
    </cfRule>
  </conditionalFormatting>
  <conditionalFormatting sqref="B101">
    <cfRule type="cellIs" dxfId="101" priority="8" operator="equal">
      <formula>"In Development"</formula>
    </cfRule>
  </conditionalFormatting>
  <conditionalFormatting sqref="B101">
    <cfRule type="cellIs" dxfId="100" priority="9" operator="equal">
      <formula>"Testing"</formula>
    </cfRule>
  </conditionalFormatting>
  <conditionalFormatting sqref="B101">
    <cfRule type="cellIs" dxfId="99" priority="10" operator="equal">
      <formula>"Live"</formula>
    </cfRule>
  </conditionalFormatting>
  <conditionalFormatting sqref="O101:Y101">
    <cfRule type="expression" dxfId="98" priority="11">
      <formula>O101&lt;&gt;""</formula>
    </cfRule>
  </conditionalFormatting>
  <conditionalFormatting sqref="G101:H101">
    <cfRule type="duplicateValues" dxfId="97" priority="12"/>
  </conditionalFormatting>
  <conditionalFormatting sqref="C101">
    <cfRule type="cellIs" dxfId="96" priority="1" operator="equal">
      <formula>"Contact"</formula>
    </cfRule>
  </conditionalFormatting>
  <conditionalFormatting sqref="C101">
    <cfRule type="cellIs" dxfId="95" priority="2" operator="equal">
      <formula>"NDA/Contract"</formula>
    </cfRule>
  </conditionalFormatting>
  <conditionalFormatting sqref="C101">
    <cfRule type="cellIs" dxfId="94" priority="3" operator="equal">
      <formula>"In Development"</formula>
    </cfRule>
  </conditionalFormatting>
  <conditionalFormatting sqref="C101">
    <cfRule type="cellIs" dxfId="93" priority="4" operator="equal">
      <formula>"Testing"</formula>
    </cfRule>
  </conditionalFormatting>
  <conditionalFormatting sqref="C101">
    <cfRule type="cellIs" dxfId="92" priority="5" operator="equal">
      <formula>"Live"</formula>
    </cfRule>
  </conditionalFormatting>
  <dataValidations count="1">
    <dataValidation type="list" allowBlank="1" showInputMessage="1" showErrorMessage="1" promptTitle="Biz Impact" prompt="비즈니스 임팩트를 선택하세요 (High / Mid / Low)" sqref="F94:F100 F4:F49 F56:F70" xr:uid="{B6A0C3C2-4578-4FC7-8011-197B4ACEE4B7}">
      <formula1>"High,Mid,Low"</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8AFC7AAE-9621-4F46-8238-C55C7935A338}">
            <x14:dataBar minLength="0" maxLength="100" negativeBarColorSameAsPositive="1" axisPosition="none">
              <x14:cfvo type="num">
                <xm:f>0</xm:f>
              </x14:cfvo>
              <x14:cfvo type="num">
                <xm:f>1</xm:f>
              </x14:cfvo>
            </x14:dataBar>
          </x14:cfRule>
          <xm:sqref>K4:K101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DF33-7331-49F4-9802-97B20A45B101}">
  <sheetPr>
    <tabColor rgb="FFFF0000"/>
  </sheetPr>
  <dimension ref="A1:N28"/>
  <sheetViews>
    <sheetView showGridLines="0" workbookViewId="0">
      <selection activeCell="A4" sqref="A4"/>
    </sheetView>
  </sheetViews>
  <sheetFormatPr defaultColWidth="9" defaultRowHeight="17.100000000000001"/>
  <cols>
    <col min="1" max="1" width="10.875" style="5" customWidth="1"/>
    <col min="2" max="2" width="20" style="5" customWidth="1"/>
    <col min="3" max="3" width="15" style="5" customWidth="1"/>
    <col min="4" max="4" width="23.25" style="5" customWidth="1"/>
    <col min="5" max="6" width="15.875" style="5" customWidth="1"/>
    <col min="7" max="7" width="14.125" style="5" customWidth="1"/>
    <col min="8" max="9" width="16.75" style="5" customWidth="1"/>
    <col min="10" max="10" width="15.875" style="5" customWidth="1"/>
    <col min="11" max="11" width="15" style="5" customWidth="1"/>
    <col min="12" max="12" width="20" style="5" customWidth="1"/>
    <col min="13" max="13" width="23.25" style="5" customWidth="1"/>
    <col min="14" max="14" width="12.25" style="5" customWidth="1"/>
    <col min="15" max="16384" width="9" style="5"/>
  </cols>
  <sheetData>
    <row r="1" spans="1:14" ht="32.25" customHeight="1">
      <c r="A1" s="420" t="s">
        <v>397</v>
      </c>
      <c r="B1" s="420"/>
      <c r="C1" s="420"/>
      <c r="D1" s="420"/>
      <c r="E1" s="420"/>
      <c r="F1" s="420"/>
      <c r="G1" s="420"/>
      <c r="H1" s="420"/>
      <c r="I1" s="420"/>
      <c r="J1" s="420"/>
      <c r="K1" s="420"/>
      <c r="L1" s="4"/>
    </row>
    <row r="2" spans="1:14" ht="21.75" customHeight="1">
      <c r="A2" s="416" t="s">
        <v>398</v>
      </c>
      <c r="B2" s="417"/>
      <c r="C2" s="13"/>
    </row>
    <row r="3" spans="1:14" ht="32.25" customHeight="1">
      <c r="A3" s="18" t="s">
        <v>399</v>
      </c>
      <c r="B3" s="17"/>
      <c r="C3" s="17"/>
      <c r="D3" s="17"/>
    </row>
    <row r="4" spans="1:14" ht="21.75" customHeight="1">
      <c r="A4" s="418" t="s">
        <v>400</v>
      </c>
      <c r="B4" s="419"/>
    </row>
    <row r="5" spans="1:14" ht="32.25" customHeight="1">
      <c r="A5" s="420" t="s">
        <v>401</v>
      </c>
      <c r="B5" s="419"/>
      <c r="C5" s="419"/>
      <c r="D5" s="419"/>
      <c r="E5" s="419"/>
      <c r="F5" s="419"/>
      <c r="G5" s="419"/>
      <c r="H5" s="419"/>
      <c r="I5" s="419"/>
      <c r="J5" s="419"/>
      <c r="K5" s="419"/>
      <c r="L5" s="419"/>
      <c r="M5" s="419"/>
    </row>
    <row r="6" spans="1:14" ht="27.75" customHeight="1">
      <c r="A6" s="6" t="s">
        <v>402</v>
      </c>
      <c r="B6" s="6" t="s">
        <v>403</v>
      </c>
      <c r="C6" s="6" t="s">
        <v>404</v>
      </c>
      <c r="D6" s="6" t="s">
        <v>405</v>
      </c>
      <c r="E6" s="6" t="s">
        <v>406</v>
      </c>
      <c r="F6" s="6" t="s">
        <v>407</v>
      </c>
      <c r="G6" s="6" t="s">
        <v>408</v>
      </c>
      <c r="H6" s="6" t="s">
        <v>409</v>
      </c>
      <c r="I6" s="6" t="s">
        <v>410</v>
      </c>
      <c r="J6" s="6" t="s">
        <v>411</v>
      </c>
      <c r="K6" s="6" t="s">
        <v>412</v>
      </c>
      <c r="L6" s="6" t="s">
        <v>413</v>
      </c>
      <c r="M6" s="6" t="s">
        <v>414</v>
      </c>
      <c r="N6" s="71" t="s">
        <v>415</v>
      </c>
    </row>
    <row r="7" spans="1:14" ht="24" customHeight="1">
      <c r="A7" s="7">
        <v>1</v>
      </c>
      <c r="B7" s="7" t="s">
        <v>394</v>
      </c>
      <c r="C7" s="7" t="s">
        <v>292</v>
      </c>
      <c r="D7" s="7" t="s">
        <v>416</v>
      </c>
      <c r="E7" s="8">
        <v>0.25</v>
      </c>
      <c r="F7" s="8">
        <v>0.22</v>
      </c>
      <c r="G7" s="8">
        <f>F7-E7</f>
        <v>-0.03</v>
      </c>
      <c r="H7" s="9">
        <f>DATE(2026,3,20)</f>
        <v>46101</v>
      </c>
      <c r="I7" s="9">
        <f>DATE(2026,4,3)</f>
        <v>46115</v>
      </c>
      <c r="J7" s="7">
        <f t="shared" ref="J7:J28" si="0">IF(OR(H7="",I7=""),"",I7-H7+1)</f>
        <v>15</v>
      </c>
      <c r="K7" s="7" t="s">
        <v>417</v>
      </c>
      <c r="L7" s="7" t="s">
        <v>418</v>
      </c>
      <c r="M7" s="7" t="s">
        <v>419</v>
      </c>
      <c r="N7" s="21" t="s">
        <v>420</v>
      </c>
    </row>
    <row r="8" spans="1:14" ht="24" customHeight="1">
      <c r="A8" s="10">
        <v>2</v>
      </c>
      <c r="B8" s="10" t="s">
        <v>383</v>
      </c>
      <c r="C8" s="10" t="s">
        <v>292</v>
      </c>
      <c r="D8" s="10" t="s">
        <v>416</v>
      </c>
      <c r="E8" s="19">
        <v>0.25</v>
      </c>
      <c r="F8" s="19">
        <v>0.22</v>
      </c>
      <c r="G8" s="19">
        <f>F8-E8</f>
        <v>-0.03</v>
      </c>
      <c r="H8" s="20">
        <f>DATE(2026,3,27)</f>
        <v>46108</v>
      </c>
      <c r="I8" s="12">
        <v>46115</v>
      </c>
      <c r="J8" s="10">
        <f t="shared" si="0"/>
        <v>8</v>
      </c>
      <c r="K8" s="7" t="s">
        <v>417</v>
      </c>
      <c r="L8" s="10" t="s">
        <v>421</v>
      </c>
      <c r="M8" s="10" t="s">
        <v>419</v>
      </c>
      <c r="N8" s="22" t="s">
        <v>420</v>
      </c>
    </row>
    <row r="9" spans="1:14" ht="24" customHeight="1">
      <c r="A9" s="7">
        <v>3</v>
      </c>
      <c r="B9" s="7" t="s">
        <v>368</v>
      </c>
      <c r="C9" s="7" t="s">
        <v>292</v>
      </c>
      <c r="D9" s="7" t="s">
        <v>416</v>
      </c>
      <c r="E9" s="8">
        <v>0.25</v>
      </c>
      <c r="F9" s="8">
        <v>0.22</v>
      </c>
      <c r="G9" s="8">
        <v>-0.03</v>
      </c>
      <c r="H9" s="9">
        <f>DATE(2026,5,25)</f>
        <v>46167</v>
      </c>
      <c r="I9" s="9">
        <f>DATE(2026,6,8)</f>
        <v>46181</v>
      </c>
      <c r="J9" s="7">
        <f t="shared" si="0"/>
        <v>15</v>
      </c>
      <c r="K9" s="7"/>
      <c r="L9" s="14"/>
      <c r="M9" s="10" t="s">
        <v>419</v>
      </c>
      <c r="N9" s="21" t="s">
        <v>420</v>
      </c>
    </row>
    <row r="10" spans="1:14" ht="24" customHeight="1">
      <c r="A10" s="10">
        <v>4</v>
      </c>
      <c r="B10" s="10" t="s">
        <v>366</v>
      </c>
      <c r="C10" s="10" t="s">
        <v>422</v>
      </c>
      <c r="D10" s="10" t="s">
        <v>416</v>
      </c>
      <c r="E10" s="11">
        <v>0.47</v>
      </c>
      <c r="F10" s="11">
        <v>0.4</v>
      </c>
      <c r="G10" s="11">
        <f t="shared" ref="G10:G28" si="1">IF(OR(E10="",F10=""),"",F10-E10)</f>
        <v>-6.9999999999999951E-2</v>
      </c>
      <c r="H10" s="12">
        <v>46175</v>
      </c>
      <c r="I10" s="12">
        <v>46184</v>
      </c>
      <c r="J10" s="10">
        <f t="shared" si="0"/>
        <v>10</v>
      </c>
      <c r="K10" s="7" t="s">
        <v>417</v>
      </c>
      <c r="L10" s="15"/>
      <c r="M10" s="10" t="s">
        <v>419</v>
      </c>
      <c r="N10" s="21" t="s">
        <v>420</v>
      </c>
    </row>
    <row r="11" spans="1:14" ht="24" customHeight="1">
      <c r="A11" s="7"/>
      <c r="B11" s="7"/>
      <c r="C11" s="7"/>
      <c r="D11" s="7"/>
      <c r="E11" s="8"/>
      <c r="F11" s="8"/>
      <c r="G11" s="8" t="str">
        <f t="shared" si="1"/>
        <v/>
      </c>
      <c r="H11" s="9"/>
      <c r="I11" s="9"/>
      <c r="J11" s="7" t="str">
        <f t="shared" si="0"/>
        <v/>
      </c>
      <c r="K11" s="7"/>
      <c r="L11" s="14"/>
      <c r="M11" s="7"/>
      <c r="N11" s="21"/>
    </row>
    <row r="12" spans="1:14" ht="24" customHeight="1">
      <c r="A12" s="10"/>
      <c r="B12" s="10"/>
      <c r="C12" s="10"/>
      <c r="D12" s="10"/>
      <c r="E12" s="11"/>
      <c r="F12" s="11"/>
      <c r="G12" s="11" t="str">
        <f t="shared" si="1"/>
        <v/>
      </c>
      <c r="H12" s="12"/>
      <c r="I12" s="12"/>
      <c r="J12" s="10" t="str">
        <f t="shared" si="0"/>
        <v/>
      </c>
      <c r="K12" s="10"/>
      <c r="L12" s="15"/>
      <c r="M12" s="10"/>
      <c r="N12" s="22"/>
    </row>
    <row r="13" spans="1:14" ht="24" customHeight="1">
      <c r="A13" s="7"/>
      <c r="B13" s="7"/>
      <c r="C13" s="7"/>
      <c r="D13" s="7"/>
      <c r="E13" s="8"/>
      <c r="F13" s="8"/>
      <c r="G13" s="8" t="str">
        <f t="shared" si="1"/>
        <v/>
      </c>
      <c r="H13" s="9"/>
      <c r="I13" s="9"/>
      <c r="J13" s="7" t="str">
        <f t="shared" si="0"/>
        <v/>
      </c>
      <c r="K13" s="7"/>
      <c r="L13" s="14"/>
      <c r="M13" s="7"/>
      <c r="N13" s="21"/>
    </row>
    <row r="14" spans="1:14" ht="24" customHeight="1">
      <c r="A14" s="10"/>
      <c r="B14" s="10"/>
      <c r="C14" s="10"/>
      <c r="D14" s="10"/>
      <c r="E14" s="11"/>
      <c r="F14" s="11"/>
      <c r="G14" s="11" t="str">
        <f t="shared" si="1"/>
        <v/>
      </c>
      <c r="H14" s="12"/>
      <c r="I14" s="12"/>
      <c r="J14" s="10" t="str">
        <f t="shared" si="0"/>
        <v/>
      </c>
      <c r="K14" s="10"/>
      <c r="L14" s="15"/>
      <c r="M14" s="10"/>
      <c r="N14" s="22"/>
    </row>
    <row r="15" spans="1:14" ht="24" customHeight="1">
      <c r="A15" s="7"/>
      <c r="B15" s="7"/>
      <c r="C15" s="7"/>
      <c r="D15" s="7"/>
      <c r="E15" s="8"/>
      <c r="F15" s="8"/>
      <c r="G15" s="8" t="str">
        <f t="shared" si="1"/>
        <v/>
      </c>
      <c r="H15" s="9"/>
      <c r="I15" s="9"/>
      <c r="J15" s="7" t="str">
        <f t="shared" si="0"/>
        <v/>
      </c>
      <c r="K15" s="7"/>
      <c r="L15" s="14"/>
      <c r="M15" s="7"/>
      <c r="N15" s="21"/>
    </row>
    <row r="16" spans="1:14" ht="24" customHeight="1">
      <c r="A16" s="10"/>
      <c r="B16" s="10"/>
      <c r="C16" s="10"/>
      <c r="D16" s="10"/>
      <c r="E16" s="11"/>
      <c r="F16" s="11"/>
      <c r="G16" s="11" t="str">
        <f t="shared" si="1"/>
        <v/>
      </c>
      <c r="H16" s="12"/>
      <c r="I16" s="12"/>
      <c r="J16" s="10" t="str">
        <f t="shared" si="0"/>
        <v/>
      </c>
      <c r="K16" s="10"/>
      <c r="L16" s="15"/>
      <c r="M16" s="10"/>
      <c r="N16" s="22"/>
    </row>
    <row r="17" spans="1:14" ht="24" customHeight="1">
      <c r="A17" s="7"/>
      <c r="B17" s="7"/>
      <c r="C17" s="7"/>
      <c r="D17" s="7"/>
      <c r="E17" s="8"/>
      <c r="F17" s="8"/>
      <c r="G17" s="8" t="str">
        <f t="shared" si="1"/>
        <v/>
      </c>
      <c r="H17" s="9"/>
      <c r="I17" s="9"/>
      <c r="J17" s="7" t="str">
        <f t="shared" si="0"/>
        <v/>
      </c>
      <c r="K17" s="7"/>
      <c r="L17" s="14"/>
      <c r="M17" s="7"/>
      <c r="N17" s="21"/>
    </row>
    <row r="18" spans="1:14" ht="24" customHeight="1">
      <c r="A18" s="10"/>
      <c r="B18" s="10"/>
      <c r="C18" s="10"/>
      <c r="D18" s="10"/>
      <c r="E18" s="11"/>
      <c r="F18" s="11"/>
      <c r="G18" s="11" t="str">
        <f t="shared" si="1"/>
        <v/>
      </c>
      <c r="H18" s="12"/>
      <c r="I18" s="12"/>
      <c r="J18" s="10" t="str">
        <f t="shared" si="0"/>
        <v/>
      </c>
      <c r="K18" s="10"/>
      <c r="L18" s="15"/>
      <c r="M18" s="10"/>
      <c r="N18" s="22"/>
    </row>
    <row r="19" spans="1:14" ht="24" customHeight="1">
      <c r="A19" s="7"/>
      <c r="B19" s="7"/>
      <c r="C19" s="7"/>
      <c r="D19" s="7"/>
      <c r="E19" s="8"/>
      <c r="F19" s="8"/>
      <c r="G19" s="8" t="str">
        <f t="shared" si="1"/>
        <v/>
      </c>
      <c r="H19" s="9"/>
      <c r="I19" s="9"/>
      <c r="J19" s="7" t="str">
        <f t="shared" si="0"/>
        <v/>
      </c>
      <c r="K19" s="7"/>
      <c r="L19" s="14"/>
      <c r="M19" s="7"/>
      <c r="N19" s="21"/>
    </row>
    <row r="20" spans="1:14" ht="24" customHeight="1">
      <c r="A20" s="10"/>
      <c r="B20" s="10"/>
      <c r="C20" s="10"/>
      <c r="D20" s="10"/>
      <c r="E20" s="11"/>
      <c r="F20" s="11"/>
      <c r="G20" s="11" t="str">
        <f t="shared" si="1"/>
        <v/>
      </c>
      <c r="H20" s="12"/>
      <c r="I20" s="12"/>
      <c r="J20" s="10" t="str">
        <f t="shared" si="0"/>
        <v/>
      </c>
      <c r="K20" s="10"/>
      <c r="L20" s="15"/>
      <c r="M20" s="10"/>
      <c r="N20" s="22"/>
    </row>
    <row r="21" spans="1:14" ht="24" customHeight="1">
      <c r="A21" s="7"/>
      <c r="B21" s="7"/>
      <c r="C21" s="7"/>
      <c r="D21" s="7"/>
      <c r="E21" s="8"/>
      <c r="F21" s="8"/>
      <c r="G21" s="8" t="str">
        <f t="shared" si="1"/>
        <v/>
      </c>
      <c r="H21" s="9"/>
      <c r="I21" s="9"/>
      <c r="J21" s="7" t="str">
        <f t="shared" si="0"/>
        <v/>
      </c>
      <c r="K21" s="7"/>
      <c r="L21" s="14"/>
      <c r="M21" s="7"/>
      <c r="N21" s="21"/>
    </row>
    <row r="22" spans="1:14" ht="24" customHeight="1">
      <c r="A22" s="10"/>
      <c r="B22" s="10"/>
      <c r="C22" s="10"/>
      <c r="D22" s="10"/>
      <c r="E22" s="11"/>
      <c r="F22" s="11"/>
      <c r="G22" s="11" t="str">
        <f t="shared" si="1"/>
        <v/>
      </c>
      <c r="H22" s="12"/>
      <c r="I22" s="12"/>
      <c r="J22" s="10" t="str">
        <f t="shared" si="0"/>
        <v/>
      </c>
      <c r="K22" s="10"/>
      <c r="L22" s="15"/>
      <c r="M22" s="10"/>
      <c r="N22" s="22"/>
    </row>
    <row r="23" spans="1:14" ht="24" customHeight="1">
      <c r="A23" s="7"/>
      <c r="B23" s="7"/>
      <c r="C23" s="7"/>
      <c r="D23" s="7"/>
      <c r="E23" s="8"/>
      <c r="F23" s="8"/>
      <c r="G23" s="8" t="str">
        <f t="shared" si="1"/>
        <v/>
      </c>
      <c r="H23" s="9"/>
      <c r="I23" s="9"/>
      <c r="J23" s="7" t="str">
        <f t="shared" si="0"/>
        <v/>
      </c>
      <c r="K23" s="7"/>
      <c r="L23" s="14"/>
      <c r="M23" s="7"/>
      <c r="N23" s="21"/>
    </row>
    <row r="24" spans="1:14" ht="24" customHeight="1">
      <c r="A24" s="10"/>
      <c r="B24" s="10"/>
      <c r="C24" s="10"/>
      <c r="D24" s="10"/>
      <c r="E24" s="11"/>
      <c r="F24" s="11"/>
      <c r="G24" s="11" t="str">
        <f t="shared" si="1"/>
        <v/>
      </c>
      <c r="H24" s="12"/>
      <c r="I24" s="12"/>
      <c r="J24" s="10" t="str">
        <f t="shared" si="0"/>
        <v/>
      </c>
      <c r="K24" s="10"/>
      <c r="L24" s="15"/>
      <c r="M24" s="10"/>
      <c r="N24" s="22"/>
    </row>
    <row r="25" spans="1:14" ht="24" customHeight="1">
      <c r="A25" s="7"/>
      <c r="B25" s="7"/>
      <c r="C25" s="7"/>
      <c r="D25" s="7"/>
      <c r="E25" s="8"/>
      <c r="F25" s="8"/>
      <c r="G25" s="8" t="str">
        <f t="shared" si="1"/>
        <v/>
      </c>
      <c r="H25" s="9"/>
      <c r="I25" s="9"/>
      <c r="J25" s="7" t="str">
        <f t="shared" si="0"/>
        <v/>
      </c>
      <c r="K25" s="7"/>
      <c r="L25" s="14"/>
      <c r="M25" s="7"/>
      <c r="N25" s="21"/>
    </row>
    <row r="26" spans="1:14" ht="24" customHeight="1">
      <c r="A26" s="10"/>
      <c r="B26" s="10"/>
      <c r="C26" s="10"/>
      <c r="D26" s="10"/>
      <c r="E26" s="11"/>
      <c r="F26" s="11"/>
      <c r="G26" s="11" t="str">
        <f t="shared" si="1"/>
        <v/>
      </c>
      <c r="H26" s="12"/>
      <c r="I26" s="12"/>
      <c r="J26" s="10" t="str">
        <f t="shared" si="0"/>
        <v/>
      </c>
      <c r="K26" s="10"/>
      <c r="L26" s="15"/>
      <c r="M26" s="10"/>
      <c r="N26" s="22"/>
    </row>
    <row r="27" spans="1:14" ht="24" customHeight="1">
      <c r="A27" s="7"/>
      <c r="B27" s="7"/>
      <c r="C27" s="7"/>
      <c r="D27" s="7"/>
      <c r="E27" s="8"/>
      <c r="F27" s="8"/>
      <c r="G27" s="8" t="str">
        <f t="shared" si="1"/>
        <v/>
      </c>
      <c r="H27" s="9"/>
      <c r="I27" s="9"/>
      <c r="J27" s="7" t="str">
        <f t="shared" si="0"/>
        <v/>
      </c>
      <c r="K27" s="7"/>
      <c r="L27" s="14"/>
      <c r="M27" s="7"/>
      <c r="N27" s="21"/>
    </row>
    <row r="28" spans="1:14" ht="24" customHeight="1">
      <c r="A28" s="10"/>
      <c r="B28" s="10"/>
      <c r="C28" s="10"/>
      <c r="D28" s="10"/>
      <c r="E28" s="11"/>
      <c r="F28" s="11"/>
      <c r="G28" s="11" t="str">
        <f t="shared" si="1"/>
        <v/>
      </c>
      <c r="H28" s="12"/>
      <c r="I28" s="12"/>
      <c r="J28" s="10" t="str">
        <f t="shared" si="0"/>
        <v/>
      </c>
      <c r="K28" s="10"/>
      <c r="L28" s="15"/>
      <c r="M28" s="10"/>
      <c r="N28" s="22"/>
    </row>
  </sheetData>
  <mergeCells count="4">
    <mergeCell ref="A2:B2"/>
    <mergeCell ref="A4:B4"/>
    <mergeCell ref="A5:M5"/>
    <mergeCell ref="A1:K1"/>
  </mergeCells>
  <phoneticPr fontId="3" type="noConversion"/>
  <conditionalFormatting sqref="K7:K28">
    <cfRule type="containsText" dxfId="91" priority="1" operator="containsText" text="완료">
      <formula>NOT(ISERROR(SEARCH("완료",K7)))</formula>
    </cfRule>
    <cfRule type="containsText" dxfId="90" priority="2" operator="containsText" text="진행중">
      <formula>NOT(ISERROR(SEARCH("진행중",K7)))</formula>
    </cfRule>
    <cfRule type="containsText" dxfId="89" priority="3" operator="containsText" text="예정">
      <formula>NOT(ISERROR(SEARCH("예정",K7)))</formula>
    </cfRule>
    <cfRule type="containsText" dxfId="88" priority="4" operator="containsText" text="취소">
      <formula>NOT(ISERROR(SEARCH("취소",K7)))</formula>
    </cfRule>
  </conditionalFormatting>
  <conditionalFormatting sqref="L7:L28">
    <cfRule type="containsText" dxfId="87" priority="5" operator="containsText" text="증가">
      <formula>NOT(ISERROR(SEARCH("증가",L7)))</formula>
    </cfRule>
    <cfRule type="containsText" dxfId="86" priority="6" operator="containsText" text="감소">
      <formula>NOT(ISERROR(SEARCH("감소",L7)))</formula>
    </cfRule>
    <cfRule type="containsText" dxfId="85" priority="7" operator="containsText" text="변동 없음">
      <formula>NOT(ISERROR(SEARCH("변동 없음",L7)))</formula>
    </cfRule>
    <cfRule type="containsText" dxfId="84" priority="8" operator="containsText" text="분석중">
      <formula>NOT(ISERROR(SEARCH("분석중",L7)))</formula>
    </cfRule>
  </conditionalFormatting>
  <dataValidations count="2">
    <dataValidation allowBlank="1" showInputMessage="1" showErrorMessage="1" sqref="K7:L28" xr:uid="{0B1CAD91-2E31-43FB-81EE-45C779D2761F}"/>
    <dataValidation type="list" allowBlank="1" showInputMessage="1" showErrorMessage="1" promptTitle="기안상신 여부" prompt="☑ = 상신완료, ☐ = 미상신" sqref="N7:N28" xr:uid="{58C2FDC9-F7EB-4F81-863B-41B2A2D57291}">
      <formul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7815-A2B7-4351-A308-C5373F9480F1}">
  <dimension ref="A1:I30"/>
  <sheetViews>
    <sheetView workbookViewId="0">
      <selection activeCell="E7" sqref="E7"/>
    </sheetView>
  </sheetViews>
  <sheetFormatPr defaultColWidth="9" defaultRowHeight="17.100000000000001"/>
  <cols>
    <col min="1" max="1" width="6" style="5" customWidth="1"/>
    <col min="2" max="2" width="13.125" style="5" bestFit="1" customWidth="1"/>
    <col min="3" max="3" width="14.25" style="5" bestFit="1" customWidth="1"/>
    <col min="4" max="4" width="11.75" style="5" customWidth="1"/>
    <col min="5" max="5" width="34.125" style="5" customWidth="1"/>
    <col min="6" max="6" width="25.25" style="5" customWidth="1"/>
    <col min="7" max="7" width="28" style="5" customWidth="1"/>
    <col min="8" max="16384" width="9" style="5"/>
  </cols>
  <sheetData>
    <row r="1" spans="1:9" ht="24" customHeight="1">
      <c r="A1" s="44" t="s">
        <v>228</v>
      </c>
      <c r="B1" s="44" t="s">
        <v>423</v>
      </c>
      <c r="C1" s="44" t="s">
        <v>424</v>
      </c>
      <c r="D1" s="45" t="s">
        <v>425</v>
      </c>
      <c r="E1" s="44" t="s">
        <v>426</v>
      </c>
      <c r="F1" s="46" t="s">
        <v>427</v>
      </c>
      <c r="G1" s="46" t="s">
        <v>428</v>
      </c>
      <c r="H1" s="47"/>
      <c r="I1" s="47"/>
    </row>
    <row r="2" spans="1:9">
      <c r="A2" s="48">
        <v>1</v>
      </c>
      <c r="B2" s="48" t="s">
        <v>429</v>
      </c>
      <c r="C2" s="49" t="s">
        <v>430</v>
      </c>
      <c r="D2" s="50">
        <v>46083</v>
      </c>
      <c r="E2" s="57" t="s">
        <v>431</v>
      </c>
      <c r="F2" s="72">
        <v>46143</v>
      </c>
      <c r="G2" s="59" t="s">
        <v>432</v>
      </c>
      <c r="H2" s="47" t="s">
        <v>433</v>
      </c>
      <c r="I2" s="47"/>
    </row>
    <row r="3" spans="1:9">
      <c r="A3" s="48">
        <v>2</v>
      </c>
      <c r="B3" s="48" t="s">
        <v>434</v>
      </c>
      <c r="C3" s="49" t="s">
        <v>430</v>
      </c>
      <c r="D3" s="48"/>
      <c r="E3" s="57" t="s">
        <v>435</v>
      </c>
      <c r="F3" s="72">
        <v>46174</v>
      </c>
      <c r="G3" s="59" t="s">
        <v>436</v>
      </c>
      <c r="H3" s="47" t="s">
        <v>437</v>
      </c>
      <c r="I3" s="47"/>
    </row>
    <row r="4" spans="1:9">
      <c r="A4" s="48">
        <v>3</v>
      </c>
      <c r="B4" s="51" t="s">
        <v>438</v>
      </c>
      <c r="C4" s="49" t="s">
        <v>430</v>
      </c>
      <c r="D4" s="50">
        <v>46083</v>
      </c>
      <c r="E4" s="58" t="s">
        <v>439</v>
      </c>
      <c r="F4" s="64">
        <v>46125</v>
      </c>
      <c r="G4" s="59" t="s">
        <v>440</v>
      </c>
      <c r="H4" s="47"/>
      <c r="I4" s="47"/>
    </row>
    <row r="5" spans="1:9">
      <c r="A5" s="48">
        <v>4</v>
      </c>
      <c r="B5" s="51" t="s">
        <v>441</v>
      </c>
      <c r="C5" s="49" t="s">
        <v>430</v>
      </c>
      <c r="D5" s="50">
        <v>46083</v>
      </c>
      <c r="E5" s="58" t="s">
        <v>442</v>
      </c>
      <c r="F5" s="64">
        <v>46104</v>
      </c>
      <c r="G5" s="59" t="s">
        <v>443</v>
      </c>
      <c r="H5" s="47"/>
      <c r="I5" s="47"/>
    </row>
    <row r="6" spans="1:9">
      <c r="A6" s="48">
        <v>5</v>
      </c>
      <c r="B6" s="48" t="s">
        <v>374</v>
      </c>
      <c r="C6" s="48" t="s">
        <v>444</v>
      </c>
      <c r="D6" s="48"/>
      <c r="E6" s="57" t="s">
        <v>445</v>
      </c>
      <c r="F6" s="72">
        <v>46143</v>
      </c>
      <c r="G6" s="59" t="s">
        <v>446</v>
      </c>
      <c r="H6" s="47"/>
      <c r="I6" s="47"/>
    </row>
    <row r="7" spans="1:9">
      <c r="A7" s="48">
        <v>6</v>
      </c>
      <c r="B7" s="51" t="s">
        <v>447</v>
      </c>
      <c r="C7" s="48" t="s">
        <v>448</v>
      </c>
      <c r="D7" s="50">
        <v>46097</v>
      </c>
      <c r="E7" s="58" t="s">
        <v>449</v>
      </c>
      <c r="F7" s="64">
        <v>46113</v>
      </c>
      <c r="G7" s="59" t="s">
        <v>450</v>
      </c>
      <c r="H7" s="47"/>
      <c r="I7" s="47"/>
    </row>
    <row r="8" spans="1:9">
      <c r="A8" s="48">
        <v>7</v>
      </c>
      <c r="B8" s="51" t="s">
        <v>451</v>
      </c>
      <c r="C8" s="48" t="s">
        <v>448</v>
      </c>
      <c r="D8" s="50">
        <v>46097</v>
      </c>
      <c r="E8" s="58" t="s">
        <v>452</v>
      </c>
      <c r="F8" s="64">
        <v>46113</v>
      </c>
      <c r="G8" s="59" t="s">
        <v>450</v>
      </c>
      <c r="H8" s="47"/>
      <c r="I8" s="47"/>
    </row>
    <row r="9" spans="1:9">
      <c r="A9" s="48">
        <v>8</v>
      </c>
      <c r="B9" s="51" t="s">
        <v>453</v>
      </c>
      <c r="C9" s="48" t="s">
        <v>448</v>
      </c>
      <c r="D9" s="50">
        <v>46113</v>
      </c>
      <c r="E9" s="57" t="s">
        <v>454</v>
      </c>
      <c r="F9" s="72">
        <v>46143</v>
      </c>
      <c r="G9" s="59" t="s">
        <v>455</v>
      </c>
      <c r="H9" s="47"/>
      <c r="I9" s="47"/>
    </row>
    <row r="10" spans="1:9">
      <c r="A10" s="48">
        <v>9</v>
      </c>
      <c r="B10" s="51" t="s">
        <v>456</v>
      </c>
      <c r="C10" s="48" t="s">
        <v>448</v>
      </c>
      <c r="D10" s="50">
        <v>46097</v>
      </c>
      <c r="E10" s="57" t="s">
        <v>454</v>
      </c>
      <c r="F10" s="63">
        <v>46113</v>
      </c>
      <c r="G10" s="59" t="s">
        <v>450</v>
      </c>
      <c r="H10" s="47"/>
      <c r="I10" s="47"/>
    </row>
    <row r="11" spans="1:9">
      <c r="A11" s="48">
        <v>10</v>
      </c>
      <c r="B11" s="48" t="s">
        <v>457</v>
      </c>
      <c r="C11" s="48" t="s">
        <v>448</v>
      </c>
      <c r="D11" s="50">
        <v>46143</v>
      </c>
      <c r="E11" s="57" t="s">
        <v>458</v>
      </c>
      <c r="F11" s="72">
        <v>46143</v>
      </c>
      <c r="G11" s="59" t="s">
        <v>459</v>
      </c>
      <c r="H11" s="47" t="s">
        <v>460</v>
      </c>
      <c r="I11" s="47"/>
    </row>
    <row r="12" spans="1:9">
      <c r="A12" s="48">
        <v>11</v>
      </c>
      <c r="B12" s="51" t="s">
        <v>384</v>
      </c>
      <c r="C12" s="48" t="s">
        <v>448</v>
      </c>
      <c r="D12" s="50">
        <v>46113</v>
      </c>
      <c r="E12" s="57" t="s">
        <v>461</v>
      </c>
      <c r="F12" s="63">
        <v>46113</v>
      </c>
      <c r="G12" s="59" t="s">
        <v>450</v>
      </c>
      <c r="H12" s="47"/>
      <c r="I12" s="47"/>
    </row>
    <row r="13" spans="1:9">
      <c r="A13" s="48">
        <v>12</v>
      </c>
      <c r="B13" s="51" t="s">
        <v>462</v>
      </c>
      <c r="C13" s="48" t="s">
        <v>448</v>
      </c>
      <c r="D13" s="50">
        <v>46082</v>
      </c>
      <c r="E13" s="58" t="s">
        <v>463</v>
      </c>
      <c r="F13" s="64">
        <v>46113</v>
      </c>
      <c r="G13" s="59" t="s">
        <v>450</v>
      </c>
      <c r="H13" s="47"/>
      <c r="I13" s="47"/>
    </row>
    <row r="14" spans="1:9">
      <c r="A14" s="48">
        <v>13</v>
      </c>
      <c r="B14" s="51" t="s">
        <v>464</v>
      </c>
      <c r="C14" s="48" t="s">
        <v>448</v>
      </c>
      <c r="D14" s="50">
        <v>46097</v>
      </c>
      <c r="E14" s="58" t="s">
        <v>452</v>
      </c>
      <c r="F14" s="64">
        <v>46097</v>
      </c>
      <c r="G14" s="59" t="s">
        <v>452</v>
      </c>
      <c r="H14" s="47"/>
      <c r="I14" s="47"/>
    </row>
    <row r="15" spans="1:9">
      <c r="A15" s="48">
        <v>14</v>
      </c>
      <c r="B15" s="51" t="s">
        <v>465</v>
      </c>
      <c r="C15" s="48" t="s">
        <v>448</v>
      </c>
      <c r="D15" s="50">
        <v>46082</v>
      </c>
      <c r="E15" s="58" t="s">
        <v>463</v>
      </c>
      <c r="F15" s="64">
        <v>46113</v>
      </c>
      <c r="G15" s="59" t="s">
        <v>450</v>
      </c>
      <c r="H15" s="47"/>
      <c r="I15" s="47"/>
    </row>
    <row r="16" spans="1:9">
      <c r="A16" s="48">
        <v>15</v>
      </c>
      <c r="B16" s="51" t="s">
        <v>466</v>
      </c>
      <c r="C16" s="48" t="s">
        <v>448</v>
      </c>
      <c r="D16" s="50">
        <v>46082</v>
      </c>
      <c r="E16" s="58" t="s">
        <v>467</v>
      </c>
      <c r="F16" s="64">
        <v>46113</v>
      </c>
      <c r="G16" s="59" t="s">
        <v>468</v>
      </c>
      <c r="H16" s="47"/>
      <c r="I16" s="47"/>
    </row>
    <row r="17" spans="1:9">
      <c r="A17" s="53">
        <v>16</v>
      </c>
      <c r="B17" s="53" t="s">
        <v>469</v>
      </c>
      <c r="C17" s="53" t="s">
        <v>448</v>
      </c>
      <c r="D17" s="69">
        <v>46097</v>
      </c>
      <c r="E17" s="70" t="s">
        <v>470</v>
      </c>
      <c r="F17" s="72">
        <v>46188</v>
      </c>
      <c r="G17" s="60" t="s">
        <v>471</v>
      </c>
      <c r="H17" s="47"/>
      <c r="I17" s="47"/>
    </row>
    <row r="18" spans="1:9">
      <c r="A18" s="66">
        <v>17</v>
      </c>
      <c r="B18" s="66" t="s">
        <v>472</v>
      </c>
      <c r="C18" s="49" t="s">
        <v>430</v>
      </c>
      <c r="D18" s="67">
        <v>46143</v>
      </c>
      <c r="E18" s="54"/>
      <c r="F18" s="72">
        <v>46143</v>
      </c>
      <c r="G18" s="68" t="s">
        <v>473</v>
      </c>
      <c r="H18" s="47"/>
      <c r="I18" s="47"/>
    </row>
    <row r="19" spans="1:9">
      <c r="A19" s="54">
        <v>18</v>
      </c>
      <c r="B19" s="54" t="s">
        <v>366</v>
      </c>
      <c r="C19" s="54"/>
      <c r="D19" s="54"/>
      <c r="E19" s="54"/>
      <c r="F19" s="54"/>
      <c r="G19" s="66"/>
      <c r="H19" s="47"/>
      <c r="I19" s="47"/>
    </row>
    <row r="20" spans="1:9">
      <c r="A20" s="47"/>
      <c r="B20" s="47"/>
      <c r="C20" s="47"/>
      <c r="D20" s="47"/>
      <c r="E20" s="47"/>
      <c r="F20" s="47"/>
      <c r="G20" s="52"/>
      <c r="H20" s="47"/>
      <c r="I20" s="47"/>
    </row>
    <row r="21" spans="1:9">
      <c r="A21" s="44" t="s">
        <v>474</v>
      </c>
      <c r="B21" s="44" t="s">
        <v>475</v>
      </c>
      <c r="C21" s="44" t="s">
        <v>476</v>
      </c>
      <c r="D21" s="45" t="s">
        <v>477</v>
      </c>
      <c r="E21" s="61" t="s">
        <v>478</v>
      </c>
      <c r="F21" s="46" t="s">
        <v>427</v>
      </c>
      <c r="G21" s="46" t="s">
        <v>428</v>
      </c>
      <c r="H21" s="52"/>
      <c r="I21" s="47"/>
    </row>
    <row r="22" spans="1:9">
      <c r="A22" s="48">
        <v>1</v>
      </c>
      <c r="B22" s="51" t="s">
        <v>479</v>
      </c>
      <c r="C22" s="48" t="s">
        <v>448</v>
      </c>
      <c r="D22" s="50">
        <v>46082</v>
      </c>
      <c r="E22" s="58" t="s">
        <v>480</v>
      </c>
      <c r="F22" s="64">
        <v>46113</v>
      </c>
      <c r="G22" s="59" t="s">
        <v>450</v>
      </c>
      <c r="H22" s="47"/>
      <c r="I22" s="47"/>
    </row>
    <row r="23" spans="1:9">
      <c r="A23" s="48">
        <v>2</v>
      </c>
      <c r="B23" s="48" t="s">
        <v>481</v>
      </c>
      <c r="C23" s="48" t="s">
        <v>448</v>
      </c>
      <c r="D23" s="50">
        <v>46097</v>
      </c>
      <c r="E23" s="58" t="s">
        <v>482</v>
      </c>
      <c r="F23" s="64">
        <v>46113</v>
      </c>
      <c r="G23" s="59" t="s">
        <v>450</v>
      </c>
      <c r="H23" s="47"/>
      <c r="I23" s="47"/>
    </row>
    <row r="24" spans="1:9">
      <c r="A24" s="48">
        <v>3</v>
      </c>
      <c r="B24" s="48" t="s">
        <v>483</v>
      </c>
      <c r="C24" s="48" t="s">
        <v>448</v>
      </c>
      <c r="D24" s="50">
        <v>46082</v>
      </c>
      <c r="E24" s="62" t="s">
        <v>484</v>
      </c>
      <c r="F24" s="65">
        <v>46113</v>
      </c>
      <c r="G24" s="59" t="s">
        <v>450</v>
      </c>
      <c r="H24" s="47"/>
      <c r="I24" s="47"/>
    </row>
    <row r="25" spans="1:9">
      <c r="A25" s="48">
        <v>4</v>
      </c>
      <c r="B25" s="48" t="s">
        <v>485</v>
      </c>
      <c r="C25" s="48" t="s">
        <v>448</v>
      </c>
      <c r="D25" s="50">
        <v>46082</v>
      </c>
      <c r="E25" s="57" t="s">
        <v>486</v>
      </c>
      <c r="F25" s="63">
        <v>46113</v>
      </c>
      <c r="G25" s="73" t="s">
        <v>487</v>
      </c>
      <c r="H25" s="47"/>
      <c r="I25" s="47"/>
    </row>
    <row r="26" spans="1:9">
      <c r="A26" s="48">
        <v>5</v>
      </c>
      <c r="B26" s="48" t="s">
        <v>488</v>
      </c>
      <c r="C26" s="48" t="s">
        <v>448</v>
      </c>
      <c r="D26" s="50">
        <v>46082</v>
      </c>
      <c r="E26" s="62" t="s">
        <v>484</v>
      </c>
      <c r="F26" s="65">
        <v>46113</v>
      </c>
      <c r="G26" s="59" t="s">
        <v>450</v>
      </c>
      <c r="H26" s="47"/>
      <c r="I26" s="47"/>
    </row>
    <row r="27" spans="1:9">
      <c r="A27" s="53">
        <v>6</v>
      </c>
      <c r="B27" s="48" t="s">
        <v>489</v>
      </c>
      <c r="C27" s="48" t="s">
        <v>448</v>
      </c>
      <c r="D27" s="50">
        <v>46082</v>
      </c>
      <c r="E27" s="57" t="s">
        <v>490</v>
      </c>
      <c r="F27" s="63">
        <v>46113</v>
      </c>
      <c r="G27" s="73" t="s">
        <v>450</v>
      </c>
      <c r="H27" s="47"/>
      <c r="I27" s="47"/>
    </row>
    <row r="28" spans="1:9">
      <c r="A28" s="54">
        <v>7</v>
      </c>
      <c r="B28" s="66" t="s">
        <v>329</v>
      </c>
      <c r="C28" s="66" t="s">
        <v>448</v>
      </c>
      <c r="D28" s="55"/>
      <c r="E28" s="56"/>
      <c r="F28" s="63">
        <v>46113</v>
      </c>
      <c r="G28" s="59" t="s">
        <v>450</v>
      </c>
      <c r="H28" s="47"/>
      <c r="I28" s="47"/>
    </row>
    <row r="29" spans="1:9">
      <c r="A29" s="54">
        <v>8</v>
      </c>
      <c r="B29" s="66" t="s">
        <v>381</v>
      </c>
      <c r="C29" s="74" t="s">
        <v>430</v>
      </c>
      <c r="D29" s="55"/>
      <c r="E29" s="56"/>
      <c r="F29" s="63">
        <v>46113</v>
      </c>
      <c r="G29" s="59" t="s">
        <v>450</v>
      </c>
      <c r="H29" s="47"/>
      <c r="I29" s="47"/>
    </row>
    <row r="30" spans="1:9">
      <c r="A30" s="47"/>
      <c r="B30" s="47"/>
      <c r="C30" s="47"/>
      <c r="D30" s="47"/>
      <c r="E30" s="47"/>
      <c r="F30" s="47"/>
      <c r="G30" s="52"/>
      <c r="H30" s="47"/>
      <c r="I30" s="47"/>
    </row>
  </sheetData>
  <phoneticPr fontId="3"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FF95-C62C-4BBB-BC2C-4DEE2E79B908}">
  <sheetPr>
    <tabColor theme="7" tint="0.39997558519241921"/>
  </sheetPr>
  <dimension ref="A1:BI191"/>
  <sheetViews>
    <sheetView zoomScaleNormal="100" workbookViewId="0">
      <pane xSplit="2" ySplit="3" topLeftCell="C4" activePane="bottomRight" state="frozen"/>
      <selection pane="bottomRight" activeCell="I8" sqref="I8"/>
      <selection pane="bottomLeft" activeCell="A4" sqref="A4"/>
      <selection pane="topRight" activeCell="C1" sqref="C1"/>
    </sheetView>
  </sheetViews>
  <sheetFormatPr defaultRowHeight="17.100000000000001"/>
  <cols>
    <col min="1" max="1" width="13.25" customWidth="1"/>
    <col min="2" max="2" width="21.75" customWidth="1"/>
    <col min="3" max="3" width="7.5" customWidth="1"/>
    <col min="4" max="4" width="5.125" customWidth="1"/>
    <col min="5" max="5" width="15" style="77" bestFit="1" customWidth="1"/>
    <col min="6" max="6" width="10.25" bestFit="1" customWidth="1"/>
    <col min="7" max="7" width="16.375" customWidth="1"/>
    <col min="8" max="8" width="17.25" customWidth="1"/>
    <col min="9" max="9" width="39.125" customWidth="1"/>
    <col min="10" max="22" width="5.25" hidden="1" customWidth="1"/>
    <col min="23" max="62" width="5.25" customWidth="1"/>
  </cols>
  <sheetData>
    <row r="1" spans="1:61" s="17" customFormat="1" ht="21.95" customHeight="1">
      <c r="A1" s="95" t="s">
        <v>491</v>
      </c>
      <c r="E1" s="104"/>
      <c r="J1" s="425" t="s">
        <v>492</v>
      </c>
      <c r="K1" s="425"/>
      <c r="L1" s="425"/>
      <c r="M1" s="425"/>
      <c r="N1" s="425"/>
      <c r="O1" s="425"/>
      <c r="P1" s="425"/>
      <c r="Q1" s="425"/>
      <c r="R1" s="425"/>
      <c r="S1" s="425"/>
      <c r="T1" s="425"/>
      <c r="U1" s="425"/>
      <c r="V1" s="425"/>
      <c r="W1" s="426" t="s">
        <v>493</v>
      </c>
      <c r="X1" s="426"/>
      <c r="Y1" s="426"/>
      <c r="Z1" s="426"/>
      <c r="AA1" s="426"/>
      <c r="AB1" s="426"/>
      <c r="AC1" s="426"/>
      <c r="AD1" s="426"/>
      <c r="AE1" s="426"/>
      <c r="AF1" s="426"/>
      <c r="AG1" s="426"/>
      <c r="AH1" s="426"/>
      <c r="AI1" s="426"/>
      <c r="AJ1" s="427" t="s">
        <v>494</v>
      </c>
      <c r="AK1" s="427"/>
      <c r="AL1" s="427"/>
      <c r="AM1" s="427"/>
      <c r="AN1" s="427"/>
      <c r="AO1" s="427"/>
      <c r="AP1" s="427"/>
      <c r="AQ1" s="427"/>
      <c r="AR1" s="427"/>
      <c r="AS1" s="427"/>
      <c r="AT1" s="427"/>
      <c r="AU1" s="427"/>
      <c r="AV1" s="427"/>
      <c r="AW1" s="424" t="s">
        <v>495</v>
      </c>
      <c r="AX1" s="424"/>
      <c r="AY1" s="424"/>
      <c r="AZ1" s="424"/>
      <c r="BA1" s="424"/>
      <c r="BB1" s="424"/>
      <c r="BC1" s="424"/>
      <c r="BD1" s="424"/>
      <c r="BE1" s="424"/>
      <c r="BF1" s="424"/>
      <c r="BG1" s="424"/>
      <c r="BH1" s="424"/>
      <c r="BI1" s="424"/>
    </row>
    <row r="2" spans="1:61" s="17" customFormat="1" ht="20.100000000000001" customHeight="1">
      <c r="E2" s="104"/>
      <c r="J2" s="428" t="s">
        <v>496</v>
      </c>
      <c r="K2" s="428"/>
      <c r="L2" s="428"/>
      <c r="M2" s="428"/>
      <c r="N2" s="428" t="s">
        <v>497</v>
      </c>
      <c r="O2" s="428"/>
      <c r="P2" s="428"/>
      <c r="Q2" s="428"/>
      <c r="R2" s="428" t="s">
        <v>498</v>
      </c>
      <c r="S2" s="428"/>
      <c r="T2" s="428"/>
      <c r="U2" s="428"/>
      <c r="V2" s="428"/>
      <c r="W2" s="426" t="s">
        <v>499</v>
      </c>
      <c r="X2" s="426"/>
      <c r="Y2" s="426"/>
      <c r="Z2" s="426"/>
      <c r="AA2" s="426" t="s">
        <v>500</v>
      </c>
      <c r="AB2" s="426"/>
      <c r="AC2" s="426"/>
      <c r="AD2" s="426"/>
      <c r="AE2" s="426" t="s">
        <v>501</v>
      </c>
      <c r="AF2" s="426"/>
      <c r="AG2" s="426"/>
      <c r="AH2" s="426"/>
      <c r="AI2" s="426"/>
      <c r="AJ2" s="427" t="s">
        <v>502</v>
      </c>
      <c r="AK2" s="427"/>
      <c r="AL2" s="427"/>
      <c r="AM2" s="427"/>
      <c r="AN2" s="427" t="s">
        <v>503</v>
      </c>
      <c r="AO2" s="427"/>
      <c r="AP2" s="427"/>
      <c r="AQ2" s="427"/>
      <c r="AR2" s="427"/>
      <c r="AS2" s="427" t="s">
        <v>504</v>
      </c>
      <c r="AT2" s="427"/>
      <c r="AU2" s="427"/>
      <c r="AV2" s="427"/>
      <c r="AW2" s="424" t="s">
        <v>505</v>
      </c>
      <c r="AX2" s="424"/>
      <c r="AY2" s="424"/>
      <c r="AZ2" s="424"/>
      <c r="BA2" s="424" t="s">
        <v>506</v>
      </c>
      <c r="BB2" s="424"/>
      <c r="BC2" s="424"/>
      <c r="BD2" s="424"/>
      <c r="BE2" s="424"/>
      <c r="BF2" s="424" t="s">
        <v>507</v>
      </c>
      <c r="BG2" s="424"/>
      <c r="BH2" s="424"/>
      <c r="BI2" s="424"/>
    </row>
    <row r="3" spans="1:61" s="17" customFormat="1" ht="30" customHeight="1">
      <c r="A3" s="100" t="s">
        <v>232</v>
      </c>
      <c r="B3" s="101" t="s">
        <v>231</v>
      </c>
      <c r="C3" s="102" t="s">
        <v>236</v>
      </c>
      <c r="D3" s="102" t="s">
        <v>508</v>
      </c>
      <c r="E3" s="101" t="s">
        <v>509</v>
      </c>
      <c r="F3" s="101" t="s">
        <v>229</v>
      </c>
      <c r="G3" s="101" t="s">
        <v>510</v>
      </c>
      <c r="H3" s="101" t="s">
        <v>511</v>
      </c>
      <c r="I3" s="103" t="s">
        <v>512</v>
      </c>
      <c r="J3" s="96" t="s">
        <v>513</v>
      </c>
      <c r="K3" s="96" t="s">
        <v>514</v>
      </c>
      <c r="L3" s="96" t="s">
        <v>515</v>
      </c>
      <c r="M3" s="96" t="s">
        <v>516</v>
      </c>
      <c r="N3" s="96" t="s">
        <v>513</v>
      </c>
      <c r="O3" s="96" t="s">
        <v>514</v>
      </c>
      <c r="P3" s="96" t="s">
        <v>515</v>
      </c>
      <c r="Q3" s="96" t="s">
        <v>516</v>
      </c>
      <c r="R3" s="96" t="s">
        <v>513</v>
      </c>
      <c r="S3" s="96" t="s">
        <v>514</v>
      </c>
      <c r="T3" s="96" t="s">
        <v>515</v>
      </c>
      <c r="U3" s="96" t="s">
        <v>516</v>
      </c>
      <c r="V3" s="96" t="s">
        <v>517</v>
      </c>
      <c r="W3" s="97" t="s">
        <v>513</v>
      </c>
      <c r="X3" s="97" t="s">
        <v>514</v>
      </c>
      <c r="Y3" s="97" t="s">
        <v>515</v>
      </c>
      <c r="Z3" s="97" t="s">
        <v>516</v>
      </c>
      <c r="AA3" s="97" t="s">
        <v>513</v>
      </c>
      <c r="AB3" s="97" t="s">
        <v>514</v>
      </c>
      <c r="AC3" s="97" t="s">
        <v>515</v>
      </c>
      <c r="AD3" s="97" t="s">
        <v>516</v>
      </c>
      <c r="AE3" s="97" t="s">
        <v>513</v>
      </c>
      <c r="AF3" s="97" t="s">
        <v>514</v>
      </c>
      <c r="AG3" s="97" t="s">
        <v>515</v>
      </c>
      <c r="AH3" s="97" t="s">
        <v>516</v>
      </c>
      <c r="AI3" s="97" t="s">
        <v>517</v>
      </c>
      <c r="AJ3" s="98" t="s">
        <v>513</v>
      </c>
      <c r="AK3" s="98" t="s">
        <v>514</v>
      </c>
      <c r="AL3" s="98" t="s">
        <v>515</v>
      </c>
      <c r="AM3" s="98" t="s">
        <v>516</v>
      </c>
      <c r="AN3" s="98" t="s">
        <v>513</v>
      </c>
      <c r="AO3" s="98" t="s">
        <v>514</v>
      </c>
      <c r="AP3" s="98" t="s">
        <v>515</v>
      </c>
      <c r="AQ3" s="98" t="s">
        <v>516</v>
      </c>
      <c r="AR3" s="98" t="s">
        <v>517</v>
      </c>
      <c r="AS3" s="98" t="s">
        <v>513</v>
      </c>
      <c r="AT3" s="98" t="s">
        <v>514</v>
      </c>
      <c r="AU3" s="98" t="s">
        <v>515</v>
      </c>
      <c r="AV3" s="98" t="s">
        <v>516</v>
      </c>
      <c r="AW3" s="99" t="s">
        <v>513</v>
      </c>
      <c r="AX3" s="99" t="s">
        <v>514</v>
      </c>
      <c r="AY3" s="99" t="s">
        <v>515</v>
      </c>
      <c r="AZ3" s="99" t="s">
        <v>516</v>
      </c>
      <c r="BA3" s="99" t="s">
        <v>513</v>
      </c>
      <c r="BB3" s="99" t="s">
        <v>514</v>
      </c>
      <c r="BC3" s="99" t="s">
        <v>515</v>
      </c>
      <c r="BD3" s="99" t="s">
        <v>516</v>
      </c>
      <c r="BE3" s="99" t="s">
        <v>517</v>
      </c>
      <c r="BF3" s="99" t="s">
        <v>513</v>
      </c>
      <c r="BG3" s="99" t="s">
        <v>514</v>
      </c>
      <c r="BH3" s="99" t="s">
        <v>515</v>
      </c>
      <c r="BI3" s="99" t="s">
        <v>516</v>
      </c>
    </row>
    <row r="4" spans="1:61" s="17" customFormat="1" ht="36" customHeight="1">
      <c r="A4" s="421" t="s">
        <v>518</v>
      </c>
      <c r="B4" s="105" t="s">
        <v>519</v>
      </c>
      <c r="C4" s="88" t="s">
        <v>520</v>
      </c>
      <c r="D4" s="88"/>
      <c r="E4" s="105" t="s">
        <v>521</v>
      </c>
      <c r="F4" s="87" t="s">
        <v>522</v>
      </c>
      <c r="G4" s="89">
        <v>46188</v>
      </c>
      <c r="H4" s="89">
        <v>46199</v>
      </c>
      <c r="I4" s="92" t="s">
        <v>523</v>
      </c>
      <c r="J4" s="91" t="str">
        <f t="shared" ref="J4:S8" si="0">IF(AND(ISNUMBER($G4),ISNUMBER($H4),J$191+6&gt;=$G4,J$191&lt;=$H4),"●","")</f>
        <v/>
      </c>
      <c r="K4" s="91" t="str">
        <f t="shared" si="0"/>
        <v/>
      </c>
      <c r="L4" s="91" t="str">
        <f t="shared" si="0"/>
        <v/>
      </c>
      <c r="M4" s="91" t="str">
        <f t="shared" si="0"/>
        <v/>
      </c>
      <c r="N4" s="91" t="str">
        <f t="shared" si="0"/>
        <v/>
      </c>
      <c r="O4" s="91" t="str">
        <f t="shared" si="0"/>
        <v/>
      </c>
      <c r="P4" s="91" t="str">
        <f t="shared" si="0"/>
        <v/>
      </c>
      <c r="Q4" s="91" t="str">
        <f t="shared" si="0"/>
        <v/>
      </c>
      <c r="R4" s="91" t="str">
        <f t="shared" si="0"/>
        <v/>
      </c>
      <c r="S4" s="91" t="str">
        <f t="shared" si="0"/>
        <v/>
      </c>
      <c r="T4" s="91" t="str">
        <f t="shared" ref="T4:AC8" si="1">IF(AND(ISNUMBER($G4),ISNUMBER($H4),T$191+6&gt;=$G4,T$191&lt;=$H4),"●","")</f>
        <v/>
      </c>
      <c r="U4" s="91" t="str">
        <f t="shared" si="1"/>
        <v/>
      </c>
      <c r="V4" s="91" t="str">
        <f t="shared" si="1"/>
        <v/>
      </c>
      <c r="W4" s="91" t="str">
        <f t="shared" si="1"/>
        <v/>
      </c>
      <c r="X4" s="91" t="str">
        <f t="shared" si="1"/>
        <v/>
      </c>
      <c r="Y4" s="91" t="str">
        <f t="shared" si="1"/>
        <v/>
      </c>
      <c r="Z4" s="91" t="str">
        <f t="shared" si="1"/>
        <v/>
      </c>
      <c r="AA4" s="91" t="str">
        <f t="shared" si="1"/>
        <v/>
      </c>
      <c r="AB4" s="91" t="str">
        <f t="shared" si="1"/>
        <v/>
      </c>
      <c r="AC4" s="91" t="str">
        <f t="shared" si="1"/>
        <v/>
      </c>
      <c r="AD4" s="91" t="str">
        <f t="shared" ref="AD4:AM8" si="2">IF(AND(ISNUMBER($G4),ISNUMBER($H4),AD$191+6&gt;=$G4,AD$191&lt;=$H4),"●","")</f>
        <v/>
      </c>
      <c r="AE4" s="91" t="str">
        <f t="shared" si="2"/>
        <v/>
      </c>
      <c r="AF4" s="91" t="str">
        <f t="shared" si="2"/>
        <v/>
      </c>
      <c r="AG4" s="91" t="str">
        <f t="shared" si="2"/>
        <v>●</v>
      </c>
      <c r="AH4" s="91" t="str">
        <f t="shared" si="2"/>
        <v>●</v>
      </c>
      <c r="AI4" s="91" t="str">
        <f t="shared" si="2"/>
        <v/>
      </c>
      <c r="AJ4" s="91" t="str">
        <f t="shared" si="2"/>
        <v/>
      </c>
      <c r="AK4" s="91" t="str">
        <f t="shared" si="2"/>
        <v/>
      </c>
      <c r="AL4" s="91" t="str">
        <f t="shared" si="2"/>
        <v/>
      </c>
      <c r="AM4" s="91" t="str">
        <f t="shared" si="2"/>
        <v/>
      </c>
      <c r="AN4" s="91" t="str">
        <f t="shared" ref="AN4:AW8" si="3">IF(AND(ISNUMBER($G4),ISNUMBER($H4),AN$191+6&gt;=$G4,AN$191&lt;=$H4),"●","")</f>
        <v/>
      </c>
      <c r="AO4" s="91" t="str">
        <f t="shared" si="3"/>
        <v/>
      </c>
      <c r="AP4" s="91" t="str">
        <f t="shared" si="3"/>
        <v/>
      </c>
      <c r="AQ4" s="91" t="str">
        <f t="shared" si="3"/>
        <v/>
      </c>
      <c r="AR4" s="91" t="str">
        <f t="shared" si="3"/>
        <v/>
      </c>
      <c r="AS4" s="91" t="str">
        <f t="shared" si="3"/>
        <v/>
      </c>
      <c r="AT4" s="91" t="str">
        <f t="shared" si="3"/>
        <v/>
      </c>
      <c r="AU4" s="91" t="str">
        <f t="shared" si="3"/>
        <v/>
      </c>
      <c r="AV4" s="91" t="str">
        <f t="shared" si="3"/>
        <v/>
      </c>
      <c r="AW4" s="91" t="str">
        <f t="shared" si="3"/>
        <v/>
      </c>
      <c r="AX4" s="91" t="str">
        <f t="shared" ref="AX4:BI8" si="4">IF(AND(ISNUMBER($G4),ISNUMBER($H4),AX$191+6&gt;=$G4,AX$191&lt;=$H4),"●","")</f>
        <v/>
      </c>
      <c r="AY4" s="91" t="str">
        <f t="shared" si="4"/>
        <v/>
      </c>
      <c r="AZ4" s="91" t="str">
        <f t="shared" si="4"/>
        <v/>
      </c>
      <c r="BA4" s="91" t="str">
        <f t="shared" si="4"/>
        <v/>
      </c>
      <c r="BB4" s="91" t="str">
        <f t="shared" si="4"/>
        <v/>
      </c>
      <c r="BC4" s="91" t="str">
        <f t="shared" si="4"/>
        <v/>
      </c>
      <c r="BD4" s="91" t="str">
        <f t="shared" si="4"/>
        <v/>
      </c>
      <c r="BE4" s="91" t="str">
        <f t="shared" si="4"/>
        <v/>
      </c>
      <c r="BF4" s="91" t="str">
        <f t="shared" si="4"/>
        <v/>
      </c>
      <c r="BG4" s="91" t="str">
        <f t="shared" si="4"/>
        <v/>
      </c>
      <c r="BH4" s="91" t="str">
        <f t="shared" si="4"/>
        <v/>
      </c>
      <c r="BI4" s="91" t="str">
        <f t="shared" si="4"/>
        <v/>
      </c>
    </row>
    <row r="5" spans="1:61" s="17" customFormat="1" ht="38.25" customHeight="1">
      <c r="A5" s="422"/>
      <c r="B5" s="88" t="s">
        <v>524</v>
      </c>
      <c r="C5" s="88" t="s">
        <v>520</v>
      </c>
      <c r="D5" s="88"/>
      <c r="E5" s="105" t="s">
        <v>525</v>
      </c>
      <c r="F5" s="87" t="s">
        <v>526</v>
      </c>
      <c r="G5" s="89">
        <v>46174</v>
      </c>
      <c r="H5" s="89">
        <v>46241</v>
      </c>
      <c r="I5" s="92" t="s">
        <v>527</v>
      </c>
      <c r="J5" s="93" t="str">
        <f t="shared" si="0"/>
        <v/>
      </c>
      <c r="K5" s="93" t="str">
        <f t="shared" si="0"/>
        <v/>
      </c>
      <c r="L5" s="93" t="str">
        <f t="shared" si="0"/>
        <v/>
      </c>
      <c r="M5" s="93" t="str">
        <f t="shared" si="0"/>
        <v/>
      </c>
      <c r="N5" s="93" t="str">
        <f t="shared" si="0"/>
        <v/>
      </c>
      <c r="O5" s="93" t="str">
        <f t="shared" si="0"/>
        <v/>
      </c>
      <c r="P5" s="93" t="str">
        <f t="shared" si="0"/>
        <v/>
      </c>
      <c r="Q5" s="93" t="str">
        <f t="shared" si="0"/>
        <v/>
      </c>
      <c r="R5" s="93" t="str">
        <f t="shared" si="0"/>
        <v/>
      </c>
      <c r="S5" s="93" t="str">
        <f t="shared" si="0"/>
        <v/>
      </c>
      <c r="T5" s="93" t="str">
        <f t="shared" si="1"/>
        <v/>
      </c>
      <c r="U5" s="93" t="str">
        <f t="shared" si="1"/>
        <v/>
      </c>
      <c r="V5" s="93" t="str">
        <f t="shared" si="1"/>
        <v/>
      </c>
      <c r="W5" s="93" t="str">
        <f t="shared" si="1"/>
        <v/>
      </c>
      <c r="X5" s="93" t="str">
        <f t="shared" si="1"/>
        <v/>
      </c>
      <c r="Y5" s="93" t="str">
        <f t="shared" si="1"/>
        <v/>
      </c>
      <c r="Z5" s="93" t="str">
        <f t="shared" si="1"/>
        <v/>
      </c>
      <c r="AA5" s="93" t="str">
        <f t="shared" si="1"/>
        <v/>
      </c>
      <c r="AB5" s="93" t="str">
        <f t="shared" si="1"/>
        <v/>
      </c>
      <c r="AC5" s="93" t="str">
        <f t="shared" si="1"/>
        <v/>
      </c>
      <c r="AD5" s="93" t="str">
        <f t="shared" si="2"/>
        <v/>
      </c>
      <c r="AE5" s="93" t="str">
        <f t="shared" si="2"/>
        <v>●</v>
      </c>
      <c r="AF5" s="93" t="str">
        <f t="shared" si="2"/>
        <v>●</v>
      </c>
      <c r="AG5" s="93" t="str">
        <f t="shared" si="2"/>
        <v>●</v>
      </c>
      <c r="AH5" s="93" t="str">
        <f t="shared" si="2"/>
        <v>●</v>
      </c>
      <c r="AI5" s="93" t="str">
        <f t="shared" si="2"/>
        <v>●</v>
      </c>
      <c r="AJ5" s="93" t="str">
        <f t="shared" si="2"/>
        <v>●</v>
      </c>
      <c r="AK5" s="93" t="str">
        <f t="shared" si="2"/>
        <v>●</v>
      </c>
      <c r="AL5" s="93" t="str">
        <f t="shared" si="2"/>
        <v>●</v>
      </c>
      <c r="AM5" s="93" t="str">
        <f t="shared" si="2"/>
        <v>●</v>
      </c>
      <c r="AN5" s="93" t="str">
        <f t="shared" si="3"/>
        <v>●</v>
      </c>
      <c r="AO5" s="93" t="str">
        <f t="shared" si="3"/>
        <v/>
      </c>
      <c r="AP5" s="93" t="str">
        <f t="shared" si="3"/>
        <v/>
      </c>
      <c r="AQ5" s="93" t="str">
        <f t="shared" si="3"/>
        <v/>
      </c>
      <c r="AR5" s="93" t="str">
        <f t="shared" si="3"/>
        <v/>
      </c>
      <c r="AS5" s="93" t="str">
        <f t="shared" si="3"/>
        <v/>
      </c>
      <c r="AT5" s="93" t="str">
        <f t="shared" si="3"/>
        <v/>
      </c>
      <c r="AU5" s="93" t="str">
        <f t="shared" si="3"/>
        <v/>
      </c>
      <c r="AV5" s="93" t="str">
        <f t="shared" si="3"/>
        <v/>
      </c>
      <c r="AW5" s="93" t="str">
        <f t="shared" si="3"/>
        <v/>
      </c>
      <c r="AX5" s="93" t="str">
        <f t="shared" si="4"/>
        <v/>
      </c>
      <c r="AY5" s="93" t="str">
        <f t="shared" si="4"/>
        <v/>
      </c>
      <c r="AZ5" s="93" t="str">
        <f t="shared" si="4"/>
        <v/>
      </c>
      <c r="BA5" s="93" t="str">
        <f t="shared" si="4"/>
        <v/>
      </c>
      <c r="BB5" s="93" t="str">
        <f t="shared" si="4"/>
        <v/>
      </c>
      <c r="BC5" s="93" t="str">
        <f t="shared" si="4"/>
        <v/>
      </c>
      <c r="BD5" s="93" t="str">
        <f t="shared" si="4"/>
        <v/>
      </c>
      <c r="BE5" s="93" t="str">
        <f t="shared" si="4"/>
        <v/>
      </c>
      <c r="BF5" s="93" t="str">
        <f t="shared" si="4"/>
        <v/>
      </c>
      <c r="BG5" s="93" t="str">
        <f t="shared" si="4"/>
        <v/>
      </c>
      <c r="BH5" s="93" t="str">
        <f t="shared" si="4"/>
        <v/>
      </c>
      <c r="BI5" s="93" t="str">
        <f t="shared" si="4"/>
        <v/>
      </c>
    </row>
    <row r="6" spans="1:61" s="17" customFormat="1" ht="38.25" customHeight="1">
      <c r="A6" s="422"/>
      <c r="B6" s="105" t="s">
        <v>528</v>
      </c>
      <c r="C6" s="88" t="s">
        <v>520</v>
      </c>
      <c r="D6" s="88"/>
      <c r="E6" s="105" t="s">
        <v>521</v>
      </c>
      <c r="F6" s="87" t="s">
        <v>526</v>
      </c>
      <c r="G6" s="89">
        <v>46244</v>
      </c>
      <c r="H6" s="89"/>
      <c r="I6" s="92" t="s">
        <v>529</v>
      </c>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row>
    <row r="7" spans="1:61" s="17" customFormat="1" ht="33.75" customHeight="1">
      <c r="A7" s="422"/>
      <c r="B7" s="105" t="s">
        <v>530</v>
      </c>
      <c r="C7" s="88" t="s">
        <v>520</v>
      </c>
      <c r="D7" s="88"/>
      <c r="E7" s="105"/>
      <c r="F7" s="87" t="s">
        <v>531</v>
      </c>
      <c r="G7" s="89">
        <v>46247</v>
      </c>
      <c r="H7" s="89">
        <v>46261</v>
      </c>
      <c r="I7" s="90" t="s">
        <v>532</v>
      </c>
      <c r="J7" s="93" t="str">
        <f t="shared" si="0"/>
        <v/>
      </c>
      <c r="K7" s="93" t="str">
        <f t="shared" si="0"/>
        <v/>
      </c>
      <c r="L7" s="93" t="str">
        <f t="shared" si="0"/>
        <v/>
      </c>
      <c r="M7" s="93" t="str">
        <f t="shared" si="0"/>
        <v/>
      </c>
      <c r="N7" s="93" t="str">
        <f t="shared" si="0"/>
        <v/>
      </c>
      <c r="O7" s="93" t="str">
        <f t="shared" si="0"/>
        <v/>
      </c>
      <c r="P7" s="93" t="str">
        <f t="shared" si="0"/>
        <v/>
      </c>
      <c r="Q7" s="93" t="str">
        <f t="shared" si="0"/>
        <v/>
      </c>
      <c r="R7" s="93" t="str">
        <f t="shared" si="0"/>
        <v/>
      </c>
      <c r="S7" s="93" t="str">
        <f t="shared" si="0"/>
        <v/>
      </c>
      <c r="T7" s="93" t="str">
        <f t="shared" si="1"/>
        <v/>
      </c>
      <c r="U7" s="93" t="str">
        <f t="shared" si="1"/>
        <v/>
      </c>
      <c r="V7" s="93" t="str">
        <f t="shared" si="1"/>
        <v/>
      </c>
      <c r="W7" s="93" t="str">
        <f t="shared" si="1"/>
        <v/>
      </c>
      <c r="X7" s="93" t="str">
        <f t="shared" si="1"/>
        <v/>
      </c>
      <c r="Y7" s="93" t="str">
        <f t="shared" si="1"/>
        <v/>
      </c>
      <c r="Z7" s="93" t="str">
        <f t="shared" si="1"/>
        <v/>
      </c>
      <c r="AA7" s="93" t="str">
        <f t="shared" si="1"/>
        <v/>
      </c>
      <c r="AB7" s="93" t="str">
        <f t="shared" si="1"/>
        <v/>
      </c>
      <c r="AC7" s="93" t="str">
        <f t="shared" si="1"/>
        <v/>
      </c>
      <c r="AD7" s="93" t="str">
        <f t="shared" si="2"/>
        <v/>
      </c>
      <c r="AE7" s="93" t="str">
        <f t="shared" si="2"/>
        <v/>
      </c>
      <c r="AF7" s="93" t="str">
        <f t="shared" si="2"/>
        <v/>
      </c>
      <c r="AG7" s="93" t="str">
        <f t="shared" si="2"/>
        <v/>
      </c>
      <c r="AH7" s="93" t="str">
        <f t="shared" si="2"/>
        <v/>
      </c>
      <c r="AI7" s="93" t="str">
        <f t="shared" si="2"/>
        <v/>
      </c>
      <c r="AJ7" s="93" t="str">
        <f t="shared" si="2"/>
        <v/>
      </c>
      <c r="AK7" s="93" t="str">
        <f t="shared" si="2"/>
        <v/>
      </c>
      <c r="AL7" s="93" t="str">
        <f t="shared" si="2"/>
        <v/>
      </c>
      <c r="AM7" s="93" t="str">
        <f t="shared" si="2"/>
        <v/>
      </c>
      <c r="AN7" s="93" t="str">
        <f t="shared" si="3"/>
        <v/>
      </c>
      <c r="AO7" s="93" t="str">
        <f t="shared" si="3"/>
        <v>●</v>
      </c>
      <c r="AP7" s="93" t="str">
        <f t="shared" si="3"/>
        <v>●</v>
      </c>
      <c r="AQ7" s="93" t="str">
        <f t="shared" si="3"/>
        <v>●</v>
      </c>
      <c r="AR7" s="93" t="str">
        <f t="shared" si="3"/>
        <v/>
      </c>
      <c r="AS7" s="93" t="str">
        <f t="shared" si="3"/>
        <v/>
      </c>
      <c r="AT7" s="93" t="str">
        <f t="shared" si="3"/>
        <v/>
      </c>
      <c r="AU7" s="93" t="str">
        <f t="shared" si="3"/>
        <v/>
      </c>
      <c r="AV7" s="93" t="str">
        <f t="shared" si="3"/>
        <v/>
      </c>
      <c r="AW7" s="93" t="str">
        <f t="shared" si="3"/>
        <v/>
      </c>
      <c r="AX7" s="93" t="str">
        <f t="shared" si="4"/>
        <v/>
      </c>
      <c r="AY7" s="93" t="str">
        <f t="shared" si="4"/>
        <v/>
      </c>
      <c r="AZ7" s="93" t="str">
        <f t="shared" si="4"/>
        <v/>
      </c>
      <c r="BA7" s="93" t="str">
        <f t="shared" si="4"/>
        <v/>
      </c>
      <c r="BB7" s="93" t="str">
        <f t="shared" si="4"/>
        <v/>
      </c>
      <c r="BC7" s="93" t="str">
        <f t="shared" si="4"/>
        <v/>
      </c>
      <c r="BD7" s="93" t="str">
        <f t="shared" si="4"/>
        <v/>
      </c>
      <c r="BE7" s="93" t="str">
        <f t="shared" si="4"/>
        <v/>
      </c>
      <c r="BF7" s="93" t="str">
        <f t="shared" si="4"/>
        <v/>
      </c>
      <c r="BG7" s="93" t="str">
        <f t="shared" si="4"/>
        <v/>
      </c>
      <c r="BH7" s="93" t="str">
        <f t="shared" si="4"/>
        <v/>
      </c>
      <c r="BI7" s="93" t="str">
        <f t="shared" si="4"/>
        <v/>
      </c>
    </row>
    <row r="8" spans="1:61" s="17" customFormat="1" ht="33.75" customHeight="1">
      <c r="A8" s="423"/>
      <c r="B8" s="105" t="s">
        <v>533</v>
      </c>
      <c r="C8" s="88" t="s">
        <v>520</v>
      </c>
      <c r="D8" s="88"/>
      <c r="E8" s="105"/>
      <c r="F8" s="87" t="s">
        <v>534</v>
      </c>
      <c r="G8" s="94"/>
      <c r="H8" s="94"/>
      <c r="I8" s="90"/>
      <c r="J8" s="93" t="str">
        <f t="shared" si="0"/>
        <v/>
      </c>
      <c r="K8" s="93" t="str">
        <f t="shared" si="0"/>
        <v/>
      </c>
      <c r="L8" s="93" t="str">
        <f t="shared" si="0"/>
        <v/>
      </c>
      <c r="M8" s="93" t="str">
        <f t="shared" si="0"/>
        <v/>
      </c>
      <c r="N8" s="93" t="str">
        <f t="shared" si="0"/>
        <v/>
      </c>
      <c r="O8" s="93" t="str">
        <f t="shared" si="0"/>
        <v/>
      </c>
      <c r="P8" s="93" t="str">
        <f t="shared" si="0"/>
        <v/>
      </c>
      <c r="Q8" s="93" t="str">
        <f t="shared" si="0"/>
        <v/>
      </c>
      <c r="R8" s="93" t="str">
        <f t="shared" si="0"/>
        <v/>
      </c>
      <c r="S8" s="93" t="str">
        <f t="shared" si="0"/>
        <v/>
      </c>
      <c r="T8" s="93" t="str">
        <f t="shared" si="1"/>
        <v/>
      </c>
      <c r="U8" s="93" t="str">
        <f t="shared" si="1"/>
        <v/>
      </c>
      <c r="V8" s="93" t="str">
        <f t="shared" si="1"/>
        <v/>
      </c>
      <c r="W8" s="93" t="str">
        <f t="shared" si="1"/>
        <v/>
      </c>
      <c r="X8" s="93" t="str">
        <f t="shared" si="1"/>
        <v/>
      </c>
      <c r="Y8" s="93" t="str">
        <f t="shared" si="1"/>
        <v/>
      </c>
      <c r="Z8" s="93" t="str">
        <f t="shared" si="1"/>
        <v/>
      </c>
      <c r="AA8" s="93" t="str">
        <f t="shared" si="1"/>
        <v/>
      </c>
      <c r="AB8" s="93" t="str">
        <f t="shared" si="1"/>
        <v/>
      </c>
      <c r="AC8" s="93" t="str">
        <f t="shared" si="1"/>
        <v/>
      </c>
      <c r="AD8" s="93" t="str">
        <f t="shared" si="2"/>
        <v/>
      </c>
      <c r="AE8" s="93" t="str">
        <f t="shared" si="2"/>
        <v/>
      </c>
      <c r="AF8" s="93" t="str">
        <f t="shared" si="2"/>
        <v/>
      </c>
      <c r="AG8" s="93" t="str">
        <f t="shared" si="2"/>
        <v/>
      </c>
      <c r="AH8" s="93" t="str">
        <f t="shared" si="2"/>
        <v/>
      </c>
      <c r="AI8" s="93" t="str">
        <f t="shared" si="2"/>
        <v/>
      </c>
      <c r="AJ8" s="93" t="str">
        <f t="shared" si="2"/>
        <v/>
      </c>
      <c r="AK8" s="93" t="str">
        <f t="shared" si="2"/>
        <v/>
      </c>
      <c r="AL8" s="93" t="str">
        <f t="shared" si="2"/>
        <v/>
      </c>
      <c r="AM8" s="93" t="str">
        <f t="shared" si="2"/>
        <v/>
      </c>
      <c r="AN8" s="93" t="str">
        <f t="shared" si="3"/>
        <v/>
      </c>
      <c r="AO8" s="93" t="str">
        <f t="shared" si="3"/>
        <v/>
      </c>
      <c r="AP8" s="93" t="str">
        <f t="shared" si="3"/>
        <v/>
      </c>
      <c r="AQ8" s="93" t="str">
        <f t="shared" si="3"/>
        <v/>
      </c>
      <c r="AR8" s="93" t="str">
        <f t="shared" si="3"/>
        <v/>
      </c>
      <c r="AS8" s="93" t="str">
        <f t="shared" si="3"/>
        <v/>
      </c>
      <c r="AT8" s="93" t="str">
        <f t="shared" si="3"/>
        <v/>
      </c>
      <c r="AU8" s="93" t="str">
        <f t="shared" si="3"/>
        <v/>
      </c>
      <c r="AV8" s="93" t="str">
        <f t="shared" si="3"/>
        <v/>
      </c>
      <c r="AW8" s="93" t="str">
        <f t="shared" si="3"/>
        <v/>
      </c>
      <c r="AX8" s="93" t="str">
        <f t="shared" si="4"/>
        <v/>
      </c>
      <c r="AY8" s="93" t="str">
        <f t="shared" si="4"/>
        <v/>
      </c>
      <c r="AZ8" s="93" t="str">
        <f t="shared" si="4"/>
        <v/>
      </c>
      <c r="BA8" s="93" t="str">
        <f t="shared" si="4"/>
        <v/>
      </c>
      <c r="BB8" s="93" t="str">
        <f t="shared" si="4"/>
        <v/>
      </c>
      <c r="BC8" s="93" t="str">
        <f t="shared" si="4"/>
        <v/>
      </c>
      <c r="BD8" s="93" t="str">
        <f t="shared" si="4"/>
        <v/>
      </c>
      <c r="BE8" s="93" t="str">
        <f t="shared" si="4"/>
        <v/>
      </c>
      <c r="BF8" s="93" t="str">
        <f t="shared" si="4"/>
        <v/>
      </c>
      <c r="BG8" s="93" t="str">
        <f t="shared" si="4"/>
        <v/>
      </c>
      <c r="BH8" s="93" t="str">
        <f t="shared" si="4"/>
        <v/>
      </c>
      <c r="BI8" s="93" t="str">
        <f t="shared" si="4"/>
        <v/>
      </c>
    </row>
    <row r="9" spans="1:61">
      <c r="F9" s="81"/>
      <c r="P9" s="82" t="s">
        <v>534</v>
      </c>
    </row>
    <row r="10" spans="1:61">
      <c r="F10" s="81"/>
      <c r="P10" s="83" t="s">
        <v>531</v>
      </c>
    </row>
    <row r="11" spans="1:61">
      <c r="F11" s="81"/>
      <c r="P11" s="84" t="s">
        <v>535</v>
      </c>
    </row>
    <row r="12" spans="1:61">
      <c r="F12" s="81"/>
      <c r="P12" s="85" t="s">
        <v>526</v>
      </c>
    </row>
    <row r="13" spans="1:61">
      <c r="F13" s="81"/>
      <c r="P13" s="86" t="s">
        <v>522</v>
      </c>
    </row>
    <row r="14" spans="1:61">
      <c r="F14" s="81"/>
    </row>
    <row r="15" spans="1:61">
      <c r="F15" s="81"/>
    </row>
    <row r="16" spans="1:61">
      <c r="F16" s="81"/>
    </row>
    <row r="17" spans="6:6">
      <c r="F17" s="81"/>
    </row>
    <row r="18" spans="6:6">
      <c r="F18" s="81"/>
    </row>
    <row r="19" spans="6:6">
      <c r="F19" s="81"/>
    </row>
    <row r="20" spans="6:6">
      <c r="F20" s="81"/>
    </row>
    <row r="21" spans="6:6">
      <c r="F21" s="81"/>
    </row>
    <row r="22" spans="6:6">
      <c r="F22" s="81"/>
    </row>
    <row r="23" spans="6:6">
      <c r="F23" s="81"/>
    </row>
    <row r="24" spans="6:6">
      <c r="F24" s="81"/>
    </row>
    <row r="25" spans="6:6">
      <c r="F25" s="81"/>
    </row>
    <row r="26" spans="6:6">
      <c r="F26" s="81"/>
    </row>
    <row r="27" spans="6:6">
      <c r="F27" s="81"/>
    </row>
    <row r="28" spans="6:6">
      <c r="F28" s="81"/>
    </row>
    <row r="29" spans="6:6">
      <c r="F29" s="81"/>
    </row>
    <row r="30" spans="6:6">
      <c r="F30" s="81"/>
    </row>
    <row r="31" spans="6:6">
      <c r="F31" s="81"/>
    </row>
    <row r="32" spans="6:6">
      <c r="F32" s="81"/>
    </row>
    <row r="33" spans="6:6">
      <c r="F33" s="81"/>
    </row>
    <row r="34" spans="6:6">
      <c r="F34" s="81"/>
    </row>
    <row r="35" spans="6:6">
      <c r="F35" s="81"/>
    </row>
    <row r="36" spans="6:6">
      <c r="F36" s="81"/>
    </row>
    <row r="37" spans="6:6">
      <c r="F37" s="81"/>
    </row>
    <row r="38" spans="6:6">
      <c r="F38" s="81"/>
    </row>
    <row r="39" spans="6:6">
      <c r="F39" s="81"/>
    </row>
    <row r="40" spans="6:6">
      <c r="F40" s="81"/>
    </row>
    <row r="41" spans="6:6">
      <c r="F41" s="81"/>
    </row>
    <row r="42" spans="6:6">
      <c r="F42" s="81"/>
    </row>
    <row r="43" spans="6:6">
      <c r="F43" s="81"/>
    </row>
    <row r="44" spans="6:6">
      <c r="F44" s="81"/>
    </row>
    <row r="45" spans="6:6">
      <c r="F45" s="81"/>
    </row>
    <row r="46" spans="6:6">
      <c r="F46" s="81"/>
    </row>
    <row r="47" spans="6:6">
      <c r="F47" s="81"/>
    </row>
    <row r="48" spans="6:6">
      <c r="F48" s="81"/>
    </row>
    <row r="49" spans="6:6">
      <c r="F49" s="81"/>
    </row>
    <row r="50" spans="6:6">
      <c r="F50" s="81"/>
    </row>
    <row r="51" spans="6:6">
      <c r="F51" s="81"/>
    </row>
    <row r="52" spans="6:6">
      <c r="F52" s="81"/>
    </row>
    <row r="53" spans="6:6">
      <c r="F53" s="81"/>
    </row>
    <row r="54" spans="6:6">
      <c r="F54" s="81"/>
    </row>
    <row r="55" spans="6:6">
      <c r="F55" s="81"/>
    </row>
    <row r="56" spans="6:6">
      <c r="F56" s="81"/>
    </row>
    <row r="57" spans="6:6">
      <c r="F57" s="81"/>
    </row>
    <row r="58" spans="6:6">
      <c r="F58" s="81"/>
    </row>
    <row r="59" spans="6:6">
      <c r="F59" s="81"/>
    </row>
    <row r="60" spans="6:6">
      <c r="F60" s="81"/>
    </row>
    <row r="61" spans="6:6">
      <c r="F61" s="81"/>
    </row>
    <row r="62" spans="6:6">
      <c r="F62" s="81"/>
    </row>
    <row r="63" spans="6:6">
      <c r="F63" s="81"/>
    </row>
    <row r="64" spans="6:6">
      <c r="F64" s="81"/>
    </row>
    <row r="65" spans="6:6">
      <c r="F65" s="81"/>
    </row>
    <row r="66" spans="6:6">
      <c r="F66" s="81"/>
    </row>
    <row r="67" spans="6:6">
      <c r="F67" s="81"/>
    </row>
    <row r="68" spans="6:6">
      <c r="F68" s="81"/>
    </row>
    <row r="69" spans="6:6">
      <c r="F69" s="81"/>
    </row>
    <row r="70" spans="6:6">
      <c r="F70" s="81"/>
    </row>
    <row r="71" spans="6:6">
      <c r="F71" s="81"/>
    </row>
    <row r="72" spans="6:6">
      <c r="F72" s="81"/>
    </row>
    <row r="73" spans="6:6">
      <c r="F73" s="81"/>
    </row>
    <row r="74" spans="6:6">
      <c r="F74" s="81"/>
    </row>
    <row r="75" spans="6:6">
      <c r="F75" s="81"/>
    </row>
    <row r="76" spans="6:6">
      <c r="F76" s="81"/>
    </row>
    <row r="77" spans="6:6">
      <c r="F77" s="81"/>
    </row>
    <row r="78" spans="6:6">
      <c r="F78" s="81"/>
    </row>
    <row r="79" spans="6:6">
      <c r="F79" s="81"/>
    </row>
    <row r="80" spans="6:6">
      <c r="F80" s="81"/>
    </row>
    <row r="81" spans="6:6">
      <c r="F81" s="81"/>
    </row>
    <row r="82" spans="6:6">
      <c r="F82" s="81"/>
    </row>
    <row r="83" spans="6:6">
      <c r="F83" s="81"/>
    </row>
    <row r="84" spans="6:6">
      <c r="F84" s="81"/>
    </row>
    <row r="85" spans="6:6">
      <c r="F85" s="81"/>
    </row>
    <row r="86" spans="6:6">
      <c r="F86" s="81"/>
    </row>
    <row r="87" spans="6:6">
      <c r="F87" s="81"/>
    </row>
    <row r="88" spans="6:6">
      <c r="F88" s="81"/>
    </row>
    <row r="89" spans="6:6">
      <c r="F89" s="81"/>
    </row>
    <row r="90" spans="6:6">
      <c r="F90" s="81"/>
    </row>
    <row r="91" spans="6:6">
      <c r="F91" s="81"/>
    </row>
    <row r="191" spans="10:61">
      <c r="J191" s="80">
        <v>46027</v>
      </c>
      <c r="K191" s="80">
        <v>46034</v>
      </c>
      <c r="L191" s="80">
        <v>46041</v>
      </c>
      <c r="M191" s="80">
        <v>46048</v>
      </c>
      <c r="N191" s="80">
        <v>46055</v>
      </c>
      <c r="O191" s="80">
        <v>46062</v>
      </c>
      <c r="P191" s="80">
        <v>46069</v>
      </c>
      <c r="Q191" s="80">
        <v>46076</v>
      </c>
      <c r="R191" s="80">
        <v>46083</v>
      </c>
      <c r="S191" s="80">
        <v>46090</v>
      </c>
      <c r="T191" s="80">
        <v>46097</v>
      </c>
      <c r="U191" s="80">
        <v>46104</v>
      </c>
      <c r="V191" s="80">
        <v>46111</v>
      </c>
      <c r="W191" s="80">
        <v>46118</v>
      </c>
      <c r="X191" s="80">
        <v>46125</v>
      </c>
      <c r="Y191" s="80">
        <v>46132</v>
      </c>
      <c r="Z191" s="80">
        <v>46139</v>
      </c>
      <c r="AA191" s="80">
        <v>46146</v>
      </c>
      <c r="AB191" s="80">
        <v>46153</v>
      </c>
      <c r="AC191" s="80">
        <v>46160</v>
      </c>
      <c r="AD191" s="80">
        <v>46167</v>
      </c>
      <c r="AE191" s="80">
        <v>46174</v>
      </c>
      <c r="AF191" s="80">
        <v>46181</v>
      </c>
      <c r="AG191" s="80">
        <v>46188</v>
      </c>
      <c r="AH191" s="80">
        <v>46195</v>
      </c>
      <c r="AI191" s="80">
        <v>46202</v>
      </c>
      <c r="AJ191" s="80">
        <v>46209</v>
      </c>
      <c r="AK191" s="80">
        <v>46216</v>
      </c>
      <c r="AL191" s="80">
        <v>46223</v>
      </c>
      <c r="AM191" s="80">
        <v>46230</v>
      </c>
      <c r="AN191" s="80">
        <v>46237</v>
      </c>
      <c r="AO191" s="80">
        <v>46244</v>
      </c>
      <c r="AP191" s="80">
        <v>46251</v>
      </c>
      <c r="AQ191" s="80">
        <v>46258</v>
      </c>
      <c r="AR191" s="80">
        <v>46265</v>
      </c>
      <c r="AS191" s="80">
        <v>46272</v>
      </c>
      <c r="AT191" s="80">
        <v>46279</v>
      </c>
      <c r="AU191" s="80">
        <v>46286</v>
      </c>
      <c r="AV191" s="80">
        <v>46293</v>
      </c>
      <c r="AW191" s="80">
        <v>46300</v>
      </c>
      <c r="AX191" s="80">
        <v>46307</v>
      </c>
      <c r="AY191" s="80">
        <v>46314</v>
      </c>
      <c r="AZ191" s="80">
        <v>46321</v>
      </c>
      <c r="BA191" s="80">
        <v>46328</v>
      </c>
      <c r="BB191" s="80">
        <v>46335</v>
      </c>
      <c r="BC191" s="80">
        <v>46342</v>
      </c>
      <c r="BD191" s="80">
        <v>46349</v>
      </c>
      <c r="BE191" s="80">
        <v>46356</v>
      </c>
      <c r="BF191" s="80">
        <v>46363</v>
      </c>
      <c r="BG191" s="80">
        <v>46370</v>
      </c>
      <c r="BH191" s="80">
        <v>46377</v>
      </c>
      <c r="BI191" s="80">
        <v>46384</v>
      </c>
    </row>
  </sheetData>
  <mergeCells count="17">
    <mergeCell ref="AW2:AZ2"/>
    <mergeCell ref="A4:A8"/>
    <mergeCell ref="BA2:BE2"/>
    <mergeCell ref="BF2:BI2"/>
    <mergeCell ref="J1:V1"/>
    <mergeCell ref="W1:AI1"/>
    <mergeCell ref="AJ1:AV1"/>
    <mergeCell ref="AW1:BI1"/>
    <mergeCell ref="J2:M2"/>
    <mergeCell ref="N2:Q2"/>
    <mergeCell ref="R2:V2"/>
    <mergeCell ref="W2:Z2"/>
    <mergeCell ref="AA2:AD2"/>
    <mergeCell ref="AE2:AI2"/>
    <mergeCell ref="AJ2:AM2"/>
    <mergeCell ref="AN2:AR2"/>
    <mergeCell ref="AS2:AV2"/>
  </mergeCells>
  <phoneticPr fontId="3" type="noConversion"/>
  <conditionalFormatting sqref="F4:F8">
    <cfRule type="cellIs" dxfId="83" priority="4" operator="equal">
      <formula>"Not Started"</formula>
    </cfRule>
    <cfRule type="cellIs" dxfId="82" priority="5" operator="equal">
      <formula>"In Progress"</formula>
    </cfRule>
    <cfRule type="cellIs" dxfId="81" priority="6" operator="equal">
      <formula>"Blocked"</formula>
    </cfRule>
    <cfRule type="cellIs" dxfId="80" priority="7" operator="equal">
      <formula>"On Hold"</formula>
    </cfRule>
    <cfRule type="cellIs" dxfId="79" priority="8" operator="equal">
      <formula>"Done"</formula>
    </cfRule>
  </conditionalFormatting>
  <conditionalFormatting sqref="F16:F91">
    <cfRule type="cellIs" dxfId="78" priority="9" operator="equal">
      <formula>"Not Started"</formula>
    </cfRule>
    <cfRule type="cellIs" dxfId="77" priority="10" operator="equal">
      <formula>"In Progress"</formula>
    </cfRule>
    <cfRule type="cellIs" dxfId="76" priority="11" operator="equal">
      <formula>"Blocked"</formula>
    </cfRule>
    <cfRule type="cellIs" dxfId="75" priority="12" operator="equal">
      <formula>"On Hold"</formula>
    </cfRule>
    <cfRule type="cellIs" dxfId="74" priority="13" operator="equal">
      <formula>"Done"</formula>
    </cfRule>
  </conditionalFormatting>
  <conditionalFormatting sqref="J4:BI4">
    <cfRule type="containsText" dxfId="73" priority="1" operator="containsText" text="●">
      <formula>NOT(ISERROR(SEARCH("●",J4)))</formula>
    </cfRule>
  </conditionalFormatting>
  <conditionalFormatting sqref="J5:BI6">
    <cfRule type="containsText" dxfId="72" priority="2" operator="containsText" text="●">
      <formula>NOT(ISERROR(SEARCH("●",J5)))</formula>
    </cfRule>
  </conditionalFormatting>
  <conditionalFormatting sqref="J7:BI8">
    <cfRule type="containsText" dxfId="71" priority="3" operator="containsText" text="●">
      <formula>NOT(ISERROR(SEARCH("●",J7)))</formula>
    </cfRule>
  </conditionalFormatting>
  <dataValidations count="2">
    <dataValidation type="list" allowBlank="1" showInputMessage="1" showErrorMessage="1" sqref="F16:F91 F4:F8" xr:uid="{45708343-EA51-4BCC-BAFB-5A15F1B80AD3}">
      <formula1>"Not Started,In Progress,Blocked,On Hold,Done"</formula1>
    </dataValidation>
    <dataValidation type="list" allowBlank="1" showInputMessage="1" showErrorMessage="1" sqref="E4:E8" xr:uid="{C2BE8CDC-6C4F-4C06-A1E2-F3A2733E53B6}">
      <formula1>"Receive Room List, Manual Check/Map, SCM Review, Manual Map after SCM Review, Done"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D389-2043-4AB0-82F8-3AB95EEE1F84}">
  <sheetPr>
    <tabColor rgb="FF00B050"/>
  </sheetPr>
  <dimension ref="A1:G202"/>
  <sheetViews>
    <sheetView workbookViewId="0">
      <pane ySplit="1" topLeftCell="A74" activePane="bottomLeft" state="frozen"/>
      <selection pane="bottomLeft" activeCell="D98" sqref="D98"/>
    </sheetView>
  </sheetViews>
  <sheetFormatPr defaultColWidth="16.25" defaultRowHeight="14.45"/>
  <cols>
    <col min="1" max="2" width="16.25" style="43"/>
    <col min="3" max="3" width="26" style="43" customWidth="1"/>
    <col min="4" max="4" width="16.25" style="43"/>
    <col min="5" max="5" width="42.875" style="43" customWidth="1"/>
    <col min="6" max="6" width="52.25" style="43" customWidth="1"/>
    <col min="7" max="16384" width="16.25" style="43"/>
  </cols>
  <sheetData>
    <row r="1" spans="1:7" ht="29.1">
      <c r="A1" s="24" t="s">
        <v>536</v>
      </c>
      <c r="B1" s="24" t="s">
        <v>537</v>
      </c>
      <c r="C1" s="24" t="s">
        <v>538</v>
      </c>
      <c r="D1" s="24" t="s">
        <v>539</v>
      </c>
      <c r="E1" s="24" t="s">
        <v>540</v>
      </c>
      <c r="F1" s="24" t="s">
        <v>541</v>
      </c>
      <c r="G1" s="24" t="s">
        <v>542</v>
      </c>
    </row>
    <row r="2" spans="1:7" ht="29.1">
      <c r="A2" s="26" t="s">
        <v>543</v>
      </c>
      <c r="B2" s="26" t="s">
        <v>544</v>
      </c>
      <c r="C2" s="26" t="s">
        <v>545</v>
      </c>
      <c r="D2" s="26" t="s">
        <v>546</v>
      </c>
      <c r="E2" s="26" t="s">
        <v>547</v>
      </c>
      <c r="F2" s="26" t="s">
        <v>548</v>
      </c>
      <c r="G2" s="27"/>
    </row>
    <row r="3" spans="1:7" ht="29.1" customHeight="1">
      <c r="A3" s="429" t="s">
        <v>549</v>
      </c>
      <c r="B3" s="29" t="s">
        <v>396</v>
      </c>
      <c r="C3" s="29" t="s">
        <v>550</v>
      </c>
      <c r="D3" s="29" t="s">
        <v>551</v>
      </c>
      <c r="E3" s="30" t="s">
        <v>552</v>
      </c>
      <c r="F3" s="30" t="s">
        <v>553</v>
      </c>
      <c r="G3" s="31"/>
    </row>
    <row r="4" spans="1:7" ht="43.5" customHeight="1">
      <c r="A4" s="430"/>
      <c r="B4" s="33" t="s">
        <v>396</v>
      </c>
      <c r="C4" s="33" t="s">
        <v>554</v>
      </c>
      <c r="D4" s="33" t="s">
        <v>551</v>
      </c>
      <c r="E4" s="34" t="s">
        <v>555</v>
      </c>
      <c r="F4" s="34" t="s">
        <v>556</v>
      </c>
      <c r="G4" s="35"/>
    </row>
    <row r="5" spans="1:7" ht="29.1">
      <c r="A5" s="36" t="s">
        <v>557</v>
      </c>
      <c r="B5" s="33" t="s">
        <v>396</v>
      </c>
      <c r="C5" s="34" t="s">
        <v>558</v>
      </c>
      <c r="D5" s="33" t="s">
        <v>559</v>
      </c>
      <c r="E5" s="34" t="s">
        <v>560</v>
      </c>
      <c r="F5" s="34" t="s">
        <v>561</v>
      </c>
      <c r="G5" s="35"/>
    </row>
    <row r="6" spans="1:7" ht="12" customHeight="1">
      <c r="A6" s="429" t="s">
        <v>562</v>
      </c>
      <c r="B6" s="434" t="s">
        <v>396</v>
      </c>
      <c r="C6" s="33" t="s">
        <v>563</v>
      </c>
      <c r="D6" s="33" t="s">
        <v>564</v>
      </c>
      <c r="E6" s="34" t="s">
        <v>565</v>
      </c>
      <c r="F6" s="34" t="s">
        <v>566</v>
      </c>
      <c r="G6" s="37"/>
    </row>
    <row r="7" spans="1:7" ht="12" customHeight="1">
      <c r="A7" s="429"/>
      <c r="B7" s="435"/>
      <c r="C7" s="33" t="s">
        <v>567</v>
      </c>
      <c r="D7" s="33" t="s">
        <v>564</v>
      </c>
      <c r="E7" s="34" t="s">
        <v>568</v>
      </c>
      <c r="F7" s="34" t="s">
        <v>569</v>
      </c>
      <c r="G7" s="35"/>
    </row>
    <row r="8" spans="1:7" ht="12" customHeight="1">
      <c r="A8" s="429"/>
      <c r="B8" s="435"/>
      <c r="C8" s="33" t="s">
        <v>570</v>
      </c>
      <c r="D8" s="33" t="s">
        <v>564</v>
      </c>
      <c r="E8" s="34" t="s">
        <v>571</v>
      </c>
      <c r="F8" s="34" t="s">
        <v>572</v>
      </c>
      <c r="G8" s="35"/>
    </row>
    <row r="9" spans="1:7" ht="72.599999999999994">
      <c r="A9" s="429"/>
      <c r="B9" s="436"/>
      <c r="C9" s="33" t="s">
        <v>570</v>
      </c>
      <c r="D9" s="33" t="s">
        <v>573</v>
      </c>
      <c r="E9" s="34" t="s">
        <v>574</v>
      </c>
      <c r="F9" s="34" t="s">
        <v>575</v>
      </c>
      <c r="G9" s="35"/>
    </row>
    <row r="10" spans="1:7" ht="12" customHeight="1">
      <c r="A10" s="429" t="s">
        <v>576</v>
      </c>
      <c r="B10" s="33" t="s">
        <v>396</v>
      </c>
      <c r="C10" s="33" t="s">
        <v>577</v>
      </c>
      <c r="D10" s="33" t="s">
        <v>564</v>
      </c>
      <c r="E10" s="34" t="s">
        <v>578</v>
      </c>
      <c r="F10" s="34" t="s">
        <v>579</v>
      </c>
      <c r="G10" s="35"/>
    </row>
    <row r="11" spans="1:7" ht="12" customHeight="1">
      <c r="A11" s="429"/>
      <c r="B11" s="33" t="s">
        <v>396</v>
      </c>
      <c r="C11" s="33" t="s">
        <v>563</v>
      </c>
      <c r="D11" s="33" t="s">
        <v>564</v>
      </c>
      <c r="E11" s="34" t="s">
        <v>568</v>
      </c>
      <c r="F11" s="34" t="s">
        <v>580</v>
      </c>
      <c r="G11" s="35"/>
    </row>
    <row r="12" spans="1:7" ht="29.1">
      <c r="A12" s="430"/>
      <c r="B12" s="33" t="s">
        <v>396</v>
      </c>
      <c r="C12" s="33" t="s">
        <v>554</v>
      </c>
      <c r="D12" s="33" t="s">
        <v>581</v>
      </c>
      <c r="E12" s="34" t="s">
        <v>582</v>
      </c>
      <c r="F12" s="34" t="s">
        <v>583</v>
      </c>
      <c r="G12" s="35"/>
    </row>
    <row r="13" spans="1:7" ht="12" customHeight="1">
      <c r="A13" s="437" t="s">
        <v>584</v>
      </c>
      <c r="B13" s="33" t="s">
        <v>396</v>
      </c>
      <c r="C13" s="33" t="s">
        <v>585</v>
      </c>
      <c r="D13" s="33" t="s">
        <v>581</v>
      </c>
      <c r="E13" s="34" t="s">
        <v>586</v>
      </c>
      <c r="F13" s="34" t="s">
        <v>587</v>
      </c>
      <c r="G13" s="35"/>
    </row>
    <row r="14" spans="1:7" ht="12" customHeight="1">
      <c r="A14" s="429"/>
      <c r="B14" s="33" t="s">
        <v>396</v>
      </c>
      <c r="C14" s="33" t="s">
        <v>558</v>
      </c>
      <c r="D14" s="33" t="s">
        <v>581</v>
      </c>
      <c r="E14" s="34" t="s">
        <v>588</v>
      </c>
      <c r="F14" s="34" t="s">
        <v>589</v>
      </c>
      <c r="G14" s="35"/>
    </row>
    <row r="15" spans="1:7" ht="12" customHeight="1">
      <c r="A15" s="429"/>
      <c r="B15" s="33" t="s">
        <v>396</v>
      </c>
      <c r="C15" s="33" t="s">
        <v>590</v>
      </c>
      <c r="D15" s="33" t="s">
        <v>581</v>
      </c>
      <c r="E15" s="34" t="s">
        <v>591</v>
      </c>
      <c r="F15" s="34" t="s">
        <v>592</v>
      </c>
      <c r="G15" s="35"/>
    </row>
    <row r="16" spans="1:7" ht="12" customHeight="1">
      <c r="A16" s="429"/>
      <c r="B16" s="33" t="s">
        <v>396</v>
      </c>
      <c r="C16" s="33" t="s">
        <v>554</v>
      </c>
      <c r="D16" s="33" t="s">
        <v>581</v>
      </c>
      <c r="E16" s="34" t="s">
        <v>593</v>
      </c>
      <c r="F16" s="34" t="s">
        <v>594</v>
      </c>
      <c r="G16" s="35"/>
    </row>
    <row r="17" spans="1:7" ht="12" customHeight="1">
      <c r="A17" s="431" t="s">
        <v>595</v>
      </c>
      <c r="B17" s="33" t="s">
        <v>396</v>
      </c>
      <c r="C17" s="33" t="s">
        <v>590</v>
      </c>
      <c r="D17" s="33" t="s">
        <v>581</v>
      </c>
      <c r="E17" s="34" t="s">
        <v>588</v>
      </c>
      <c r="F17" s="34" t="s">
        <v>596</v>
      </c>
      <c r="G17" s="35"/>
    </row>
    <row r="18" spans="1:7" ht="30.75" customHeight="1">
      <c r="A18" s="431"/>
      <c r="B18" s="33" t="s">
        <v>396</v>
      </c>
      <c r="C18" s="33" t="s">
        <v>554</v>
      </c>
      <c r="D18" s="33" t="s">
        <v>581</v>
      </c>
      <c r="E18" s="34" t="s">
        <v>597</v>
      </c>
      <c r="F18" s="34" t="s">
        <v>594</v>
      </c>
      <c r="G18" s="35"/>
    </row>
    <row r="19" spans="1:7" ht="12" customHeight="1">
      <c r="A19" s="431"/>
      <c r="B19" s="33" t="s">
        <v>396</v>
      </c>
      <c r="C19" s="33" t="s">
        <v>598</v>
      </c>
      <c r="D19" s="33" t="s">
        <v>581</v>
      </c>
      <c r="E19" s="34" t="s">
        <v>599</v>
      </c>
      <c r="F19" s="34" t="s">
        <v>600</v>
      </c>
      <c r="G19" s="35"/>
    </row>
    <row r="20" spans="1:7" ht="12" customHeight="1">
      <c r="A20" s="431"/>
      <c r="B20" s="33" t="s">
        <v>396</v>
      </c>
      <c r="C20" s="33" t="s">
        <v>601</v>
      </c>
      <c r="D20" s="33" t="s">
        <v>581</v>
      </c>
      <c r="E20" s="34" t="s">
        <v>602</v>
      </c>
      <c r="F20" s="34" t="s">
        <v>603</v>
      </c>
      <c r="G20" s="35"/>
    </row>
    <row r="21" spans="1:7" ht="30" customHeight="1">
      <c r="A21" s="431"/>
      <c r="B21" s="33" t="s">
        <v>396</v>
      </c>
      <c r="C21" s="33" t="s">
        <v>371</v>
      </c>
      <c r="D21" s="33" t="s">
        <v>581</v>
      </c>
      <c r="E21" s="34" t="s">
        <v>604</v>
      </c>
      <c r="F21" s="34" t="s">
        <v>605</v>
      </c>
      <c r="G21" s="35"/>
    </row>
    <row r="22" spans="1:7" ht="12" customHeight="1">
      <c r="A22" s="431"/>
      <c r="B22" s="33" t="s">
        <v>396</v>
      </c>
      <c r="C22" s="33" t="s">
        <v>567</v>
      </c>
      <c r="D22" s="33" t="s">
        <v>581</v>
      </c>
      <c r="E22" s="34" t="s">
        <v>606</v>
      </c>
      <c r="F22" s="34" t="s">
        <v>607</v>
      </c>
      <c r="G22" s="37"/>
    </row>
    <row r="23" spans="1:7" ht="12" customHeight="1">
      <c r="A23" s="431" t="s">
        <v>608</v>
      </c>
      <c r="B23" s="33" t="s">
        <v>396</v>
      </c>
      <c r="C23" s="33" t="s">
        <v>554</v>
      </c>
      <c r="D23" s="33" t="s">
        <v>581</v>
      </c>
      <c r="E23" s="34" t="s">
        <v>609</v>
      </c>
      <c r="F23" s="34" t="s">
        <v>610</v>
      </c>
      <c r="G23" s="35"/>
    </row>
    <row r="24" spans="1:7" ht="12" customHeight="1">
      <c r="A24" s="431"/>
      <c r="B24" s="33" t="s">
        <v>396</v>
      </c>
      <c r="C24" s="33" t="s">
        <v>601</v>
      </c>
      <c r="D24" s="33" t="s">
        <v>581</v>
      </c>
      <c r="E24" s="34" t="s">
        <v>611</v>
      </c>
      <c r="F24" s="34" t="s">
        <v>612</v>
      </c>
      <c r="G24" s="35"/>
    </row>
    <row r="25" spans="1:7" ht="12" customHeight="1">
      <c r="A25" s="431"/>
      <c r="B25" s="33" t="s">
        <v>396</v>
      </c>
      <c r="C25" s="33" t="s">
        <v>613</v>
      </c>
      <c r="D25" s="33" t="s">
        <v>581</v>
      </c>
      <c r="E25" s="34" t="s">
        <v>611</v>
      </c>
      <c r="F25" s="34" t="s">
        <v>614</v>
      </c>
      <c r="G25" s="35"/>
    </row>
    <row r="26" spans="1:7" ht="12" customHeight="1">
      <c r="A26" s="431"/>
      <c r="B26" s="33" t="s">
        <v>396</v>
      </c>
      <c r="C26" s="33" t="s">
        <v>558</v>
      </c>
      <c r="D26" s="33" t="s">
        <v>581</v>
      </c>
      <c r="E26" s="34" t="s">
        <v>599</v>
      </c>
      <c r="F26" s="34" t="s">
        <v>615</v>
      </c>
      <c r="G26" s="35"/>
    </row>
    <row r="27" spans="1:7" ht="12" customHeight="1">
      <c r="A27" s="431"/>
      <c r="B27" s="33" t="s">
        <v>396</v>
      </c>
      <c r="C27" s="33" t="s">
        <v>616</v>
      </c>
      <c r="D27" s="29" t="s">
        <v>581</v>
      </c>
      <c r="E27" s="34" t="s">
        <v>617</v>
      </c>
      <c r="F27" s="34" t="s">
        <v>618</v>
      </c>
      <c r="G27" s="35"/>
    </row>
    <row r="28" spans="1:7" ht="12" customHeight="1">
      <c r="A28" s="431"/>
      <c r="B28" s="33" t="s">
        <v>396</v>
      </c>
      <c r="C28" s="33" t="s">
        <v>619</v>
      </c>
      <c r="D28" s="29" t="s">
        <v>581</v>
      </c>
      <c r="E28" s="34" t="s">
        <v>617</v>
      </c>
      <c r="F28" s="34" t="s">
        <v>618</v>
      </c>
      <c r="G28" s="35"/>
    </row>
    <row r="29" spans="1:7" ht="12" customHeight="1">
      <c r="A29" s="431"/>
      <c r="B29" s="33" t="s">
        <v>396</v>
      </c>
      <c r="C29" s="33" t="s">
        <v>620</v>
      </c>
      <c r="D29" s="29" t="s">
        <v>581</v>
      </c>
      <c r="E29" s="34" t="s">
        <v>599</v>
      </c>
      <c r="F29" s="34" t="s">
        <v>621</v>
      </c>
      <c r="G29" s="35"/>
    </row>
    <row r="30" spans="1:7" ht="12" customHeight="1">
      <c r="A30" s="431"/>
      <c r="B30" s="33" t="s">
        <v>396</v>
      </c>
      <c r="C30" s="33" t="s">
        <v>472</v>
      </c>
      <c r="D30" s="29" t="s">
        <v>573</v>
      </c>
      <c r="E30" s="34" t="s">
        <v>622</v>
      </c>
      <c r="F30" s="34" t="s">
        <v>623</v>
      </c>
      <c r="G30" s="35"/>
    </row>
    <row r="31" spans="1:7" ht="12" customHeight="1">
      <c r="A31" s="431"/>
      <c r="B31" s="33" t="s">
        <v>396</v>
      </c>
      <c r="C31" s="33" t="s">
        <v>371</v>
      </c>
      <c r="D31" s="29" t="s">
        <v>573</v>
      </c>
      <c r="E31" s="34" t="s">
        <v>624</v>
      </c>
      <c r="F31" s="34" t="s">
        <v>625</v>
      </c>
      <c r="G31" s="35"/>
    </row>
    <row r="32" spans="1:7" ht="12" customHeight="1">
      <c r="A32" s="431"/>
      <c r="B32" s="33" t="s">
        <v>396</v>
      </c>
      <c r="C32" s="33" t="s">
        <v>315</v>
      </c>
      <c r="D32" s="29" t="s">
        <v>581</v>
      </c>
      <c r="E32" s="34" t="s">
        <v>626</v>
      </c>
      <c r="F32" s="34" t="s">
        <v>627</v>
      </c>
      <c r="G32" s="35"/>
    </row>
    <row r="33" spans="1:7" ht="12" customHeight="1">
      <c r="A33" s="431"/>
      <c r="B33" s="33" t="s">
        <v>396</v>
      </c>
      <c r="C33" s="33" t="s">
        <v>598</v>
      </c>
      <c r="D33" s="29" t="s">
        <v>581</v>
      </c>
      <c r="E33" s="34" t="s">
        <v>628</v>
      </c>
      <c r="F33" s="34" t="s">
        <v>629</v>
      </c>
      <c r="G33" s="35"/>
    </row>
    <row r="34" spans="1:7" ht="12" customHeight="1">
      <c r="A34" s="438" t="s">
        <v>630</v>
      </c>
      <c r="B34" s="33" t="s">
        <v>396</v>
      </c>
      <c r="C34" s="33" t="s">
        <v>558</v>
      </c>
      <c r="D34" s="29" t="s">
        <v>581</v>
      </c>
      <c r="E34" s="34" t="s">
        <v>631</v>
      </c>
      <c r="F34" s="34" t="s">
        <v>632</v>
      </c>
      <c r="G34" s="37"/>
    </row>
    <row r="35" spans="1:7" ht="12" customHeight="1">
      <c r="A35" s="438"/>
      <c r="B35" s="33" t="s">
        <v>396</v>
      </c>
      <c r="C35" s="33" t="s">
        <v>613</v>
      </c>
      <c r="D35" s="29" t="s">
        <v>573</v>
      </c>
      <c r="E35" s="34" t="s">
        <v>633</v>
      </c>
      <c r="F35" s="34" t="s">
        <v>634</v>
      </c>
      <c r="G35" s="35"/>
    </row>
    <row r="36" spans="1:7" ht="12" customHeight="1">
      <c r="A36" s="438"/>
      <c r="B36" s="33" t="s">
        <v>396</v>
      </c>
      <c r="C36" s="33" t="s">
        <v>601</v>
      </c>
      <c r="D36" s="33" t="s">
        <v>581</v>
      </c>
      <c r="E36" s="34" t="s">
        <v>611</v>
      </c>
      <c r="F36" s="34" t="s">
        <v>612</v>
      </c>
      <c r="G36" s="35"/>
    </row>
    <row r="37" spans="1:7">
      <c r="A37" s="438"/>
      <c r="B37" s="33" t="s">
        <v>396</v>
      </c>
      <c r="C37" s="33" t="s">
        <v>613</v>
      </c>
      <c r="D37" s="33" t="s">
        <v>581</v>
      </c>
      <c r="E37" s="34" t="s">
        <v>611</v>
      </c>
      <c r="F37" s="34" t="s">
        <v>614</v>
      </c>
      <c r="G37" s="35"/>
    </row>
    <row r="38" spans="1:7">
      <c r="A38" s="438"/>
      <c r="B38" s="33" t="s">
        <v>396</v>
      </c>
      <c r="C38" s="33" t="s">
        <v>635</v>
      </c>
      <c r="D38" s="33" t="s">
        <v>581</v>
      </c>
      <c r="E38" s="34" t="s">
        <v>636</v>
      </c>
      <c r="F38" s="34" t="s">
        <v>637</v>
      </c>
      <c r="G38" s="35"/>
    </row>
    <row r="39" spans="1:7">
      <c r="A39" s="438"/>
      <c r="B39" s="33" t="s">
        <v>396</v>
      </c>
      <c r="C39" s="33" t="s">
        <v>616</v>
      </c>
      <c r="D39" s="29" t="s">
        <v>581</v>
      </c>
      <c r="E39" s="34" t="s">
        <v>638</v>
      </c>
      <c r="F39" s="34" t="s">
        <v>618</v>
      </c>
      <c r="G39" s="35"/>
    </row>
    <row r="40" spans="1:7">
      <c r="A40" s="438"/>
      <c r="B40" s="33" t="s">
        <v>396</v>
      </c>
      <c r="C40" s="33" t="s">
        <v>639</v>
      </c>
      <c r="D40" s="29" t="s">
        <v>581</v>
      </c>
      <c r="E40" s="34" t="s">
        <v>640</v>
      </c>
      <c r="F40" s="34" t="s">
        <v>618</v>
      </c>
      <c r="G40" s="35"/>
    </row>
    <row r="41" spans="1:7">
      <c r="A41" s="439"/>
      <c r="B41" s="33" t="s">
        <v>396</v>
      </c>
      <c r="C41" s="33" t="s">
        <v>619</v>
      </c>
      <c r="D41" s="29" t="s">
        <v>581</v>
      </c>
      <c r="E41" s="34" t="s">
        <v>617</v>
      </c>
      <c r="F41" s="34" t="s">
        <v>618</v>
      </c>
      <c r="G41" s="35"/>
    </row>
    <row r="42" spans="1:7">
      <c r="A42" s="432" t="s">
        <v>641</v>
      </c>
      <c r="B42" s="33" t="s">
        <v>396</v>
      </c>
      <c r="C42" s="33" t="s">
        <v>642</v>
      </c>
      <c r="D42" s="29" t="s">
        <v>581</v>
      </c>
      <c r="E42" s="34" t="s">
        <v>643</v>
      </c>
      <c r="F42" s="34" t="s">
        <v>644</v>
      </c>
      <c r="G42" s="35"/>
    </row>
    <row r="43" spans="1:7">
      <c r="A43" s="431"/>
      <c r="B43" s="33" t="s">
        <v>396</v>
      </c>
      <c r="C43" s="33" t="s">
        <v>645</v>
      </c>
      <c r="D43" s="29" t="s">
        <v>581</v>
      </c>
      <c r="E43" s="34" t="s">
        <v>646</v>
      </c>
      <c r="F43" s="34" t="s">
        <v>647</v>
      </c>
      <c r="G43" s="35"/>
    </row>
    <row r="44" spans="1:7">
      <c r="A44" s="431"/>
      <c r="B44" s="33" t="s">
        <v>396</v>
      </c>
      <c r="C44" s="33" t="s">
        <v>648</v>
      </c>
      <c r="D44" s="29" t="s">
        <v>581</v>
      </c>
      <c r="E44" s="34" t="s">
        <v>649</v>
      </c>
      <c r="F44" s="34" t="s">
        <v>647</v>
      </c>
      <c r="G44" s="35"/>
    </row>
    <row r="45" spans="1:7">
      <c r="A45" s="431"/>
      <c r="B45" s="33" t="s">
        <v>396</v>
      </c>
      <c r="C45" s="33" t="s">
        <v>601</v>
      </c>
      <c r="D45" s="29" t="s">
        <v>581</v>
      </c>
      <c r="E45" s="34" t="s">
        <v>650</v>
      </c>
      <c r="F45" s="34" t="s">
        <v>651</v>
      </c>
      <c r="G45" s="35"/>
    </row>
    <row r="46" spans="1:7">
      <c r="A46" s="431"/>
      <c r="B46" s="33" t="s">
        <v>396</v>
      </c>
      <c r="C46" s="33" t="s">
        <v>652</v>
      </c>
      <c r="D46" s="29" t="s">
        <v>581</v>
      </c>
      <c r="E46" s="34" t="s">
        <v>653</v>
      </c>
      <c r="F46" s="34" t="s">
        <v>654</v>
      </c>
      <c r="G46" s="35"/>
    </row>
    <row r="47" spans="1:7">
      <c r="A47" s="431"/>
      <c r="B47" s="33" t="s">
        <v>396</v>
      </c>
      <c r="C47" s="33" t="s">
        <v>620</v>
      </c>
      <c r="D47" s="29" t="s">
        <v>581</v>
      </c>
      <c r="E47" s="34" t="s">
        <v>599</v>
      </c>
      <c r="F47" s="34" t="s">
        <v>655</v>
      </c>
      <c r="G47" s="35"/>
    </row>
    <row r="48" spans="1:7">
      <c r="A48" s="431"/>
      <c r="B48" s="33" t="s">
        <v>396</v>
      </c>
      <c r="C48" s="33" t="s">
        <v>645</v>
      </c>
      <c r="D48" s="29" t="s">
        <v>581</v>
      </c>
      <c r="E48" s="34" t="s">
        <v>656</v>
      </c>
      <c r="F48" s="34" t="s">
        <v>657</v>
      </c>
      <c r="G48" s="35"/>
    </row>
    <row r="49" spans="1:7">
      <c r="A49" s="431"/>
      <c r="B49" s="33" t="s">
        <v>396</v>
      </c>
      <c r="C49" s="33" t="s">
        <v>371</v>
      </c>
      <c r="D49" s="29" t="s">
        <v>581</v>
      </c>
      <c r="E49" s="34" t="s">
        <v>599</v>
      </c>
      <c r="F49" s="34" t="s">
        <v>655</v>
      </c>
      <c r="G49" s="35"/>
    </row>
    <row r="50" spans="1:7">
      <c r="A50" s="433"/>
      <c r="B50" s="33" t="s">
        <v>396</v>
      </c>
      <c r="C50" s="33" t="s">
        <v>658</v>
      </c>
      <c r="D50" s="29" t="s">
        <v>581</v>
      </c>
      <c r="E50" s="34" t="s">
        <v>617</v>
      </c>
      <c r="F50" s="34" t="s">
        <v>659</v>
      </c>
      <c r="G50" s="35"/>
    </row>
    <row r="51" spans="1:7" ht="29.1">
      <c r="A51" s="432" t="s">
        <v>660</v>
      </c>
      <c r="B51" s="33" t="s">
        <v>396</v>
      </c>
      <c r="C51" s="34" t="s">
        <v>661</v>
      </c>
      <c r="D51" s="29" t="s">
        <v>581</v>
      </c>
      <c r="E51" s="34" t="s">
        <v>662</v>
      </c>
      <c r="F51" s="34" t="s">
        <v>663</v>
      </c>
      <c r="G51" s="35"/>
    </row>
    <row r="52" spans="1:7">
      <c r="A52" s="431"/>
      <c r="B52" s="33" t="s">
        <v>396</v>
      </c>
      <c r="C52" s="33" t="s">
        <v>619</v>
      </c>
      <c r="D52" s="29" t="s">
        <v>581</v>
      </c>
      <c r="E52" s="34" t="s">
        <v>617</v>
      </c>
      <c r="F52" s="34" t="s">
        <v>664</v>
      </c>
      <c r="G52" s="35"/>
    </row>
    <row r="53" spans="1:7">
      <c r="A53" s="431"/>
      <c r="B53" s="33" t="s">
        <v>396</v>
      </c>
      <c r="C53" s="33" t="s">
        <v>665</v>
      </c>
      <c r="D53" s="29" t="s">
        <v>581</v>
      </c>
      <c r="E53" s="34" t="s">
        <v>666</v>
      </c>
      <c r="F53" s="34" t="s">
        <v>667</v>
      </c>
      <c r="G53" s="35"/>
    </row>
    <row r="54" spans="1:7">
      <c r="A54" s="431"/>
      <c r="B54" s="33" t="s">
        <v>396</v>
      </c>
      <c r="C54" s="41" t="s">
        <v>601</v>
      </c>
      <c r="D54" s="29" t="s">
        <v>581</v>
      </c>
      <c r="E54" s="38" t="s">
        <v>650</v>
      </c>
      <c r="F54" s="38" t="s">
        <v>668</v>
      </c>
      <c r="G54" s="42"/>
    </row>
    <row r="55" spans="1:7">
      <c r="A55" s="431"/>
      <c r="B55" s="33" t="s">
        <v>396</v>
      </c>
      <c r="C55" s="2" t="s">
        <v>669</v>
      </c>
      <c r="D55" s="29" t="s">
        <v>581</v>
      </c>
      <c r="E55" s="25" t="s">
        <v>670</v>
      </c>
      <c r="F55" s="25" t="s">
        <v>671</v>
      </c>
      <c r="G55" s="2"/>
    </row>
    <row r="56" spans="1:7">
      <c r="A56" s="431"/>
      <c r="B56" s="33" t="s">
        <v>396</v>
      </c>
      <c r="C56" s="2" t="s">
        <v>315</v>
      </c>
      <c r="D56" s="29" t="s">
        <v>581</v>
      </c>
      <c r="E56" s="25" t="s">
        <v>672</v>
      </c>
      <c r="F56" s="25" t="s">
        <v>673</v>
      </c>
      <c r="G56" s="2"/>
    </row>
    <row r="57" spans="1:7" ht="29.1">
      <c r="A57" s="431" t="s">
        <v>674</v>
      </c>
      <c r="B57" s="33" t="s">
        <v>396</v>
      </c>
      <c r="C57" s="25" t="s">
        <v>661</v>
      </c>
      <c r="D57" s="29" t="s">
        <v>581</v>
      </c>
      <c r="E57" s="34" t="s">
        <v>662</v>
      </c>
      <c r="F57" s="25" t="s">
        <v>675</v>
      </c>
      <c r="G57" s="2"/>
    </row>
    <row r="58" spans="1:7">
      <c r="A58" s="431"/>
      <c r="B58" s="33" t="s">
        <v>396</v>
      </c>
      <c r="C58" s="33" t="s">
        <v>665</v>
      </c>
      <c r="D58" s="29" t="s">
        <v>581</v>
      </c>
      <c r="E58" s="34" t="s">
        <v>666</v>
      </c>
      <c r="F58" s="25" t="s">
        <v>676</v>
      </c>
      <c r="G58" s="2"/>
    </row>
    <row r="59" spans="1:7">
      <c r="A59" s="431"/>
      <c r="B59" s="33" t="s">
        <v>396</v>
      </c>
      <c r="C59" s="2" t="s">
        <v>564</v>
      </c>
      <c r="D59" s="29" t="s">
        <v>581</v>
      </c>
      <c r="E59" s="25" t="s">
        <v>677</v>
      </c>
      <c r="F59" s="25" t="s">
        <v>678</v>
      </c>
      <c r="G59" s="2"/>
    </row>
    <row r="60" spans="1:7">
      <c r="A60" s="431"/>
      <c r="B60" s="33" t="s">
        <v>396</v>
      </c>
      <c r="C60" s="2" t="s">
        <v>679</v>
      </c>
      <c r="D60" s="29" t="s">
        <v>581</v>
      </c>
      <c r="E60" s="25" t="s">
        <v>680</v>
      </c>
      <c r="F60" s="25" t="s">
        <v>681</v>
      </c>
      <c r="G60" s="2"/>
    </row>
    <row r="61" spans="1:7">
      <c r="A61" s="431"/>
      <c r="B61" s="33" t="s">
        <v>396</v>
      </c>
      <c r="C61" s="2" t="s">
        <v>601</v>
      </c>
      <c r="D61" s="29" t="s">
        <v>581</v>
      </c>
      <c r="E61" s="38" t="s">
        <v>650</v>
      </c>
      <c r="F61" s="25" t="s">
        <v>682</v>
      </c>
      <c r="G61" s="2"/>
    </row>
    <row r="62" spans="1:7">
      <c r="A62" s="431"/>
      <c r="B62" s="33" t="s">
        <v>396</v>
      </c>
      <c r="C62" s="2" t="s">
        <v>645</v>
      </c>
      <c r="D62" s="29" t="s">
        <v>581</v>
      </c>
      <c r="E62" s="25" t="s">
        <v>683</v>
      </c>
      <c r="F62" s="25" t="s">
        <v>684</v>
      </c>
      <c r="G62" s="2"/>
    </row>
    <row r="63" spans="1:7">
      <c r="A63" s="431"/>
      <c r="B63" s="33" t="s">
        <v>396</v>
      </c>
      <c r="C63" s="2" t="s">
        <v>601</v>
      </c>
      <c r="D63" s="29" t="s">
        <v>581</v>
      </c>
      <c r="E63" s="25" t="s">
        <v>685</v>
      </c>
      <c r="F63" s="25" t="s">
        <v>686</v>
      </c>
      <c r="G63" s="2"/>
    </row>
    <row r="64" spans="1:7">
      <c r="A64" s="431" t="s">
        <v>687</v>
      </c>
      <c r="B64" s="33" t="s">
        <v>396</v>
      </c>
      <c r="C64" s="2" t="s">
        <v>688</v>
      </c>
      <c r="D64" s="29" t="s">
        <v>581</v>
      </c>
      <c r="E64" s="25" t="s">
        <v>689</v>
      </c>
      <c r="F64" s="25" t="s">
        <v>690</v>
      </c>
      <c r="G64" s="2"/>
    </row>
    <row r="65" spans="1:7">
      <c r="A65" s="431"/>
      <c r="B65" s="33" t="s">
        <v>396</v>
      </c>
      <c r="C65" s="41" t="s">
        <v>601</v>
      </c>
      <c r="D65" s="29" t="s">
        <v>581</v>
      </c>
      <c r="E65" s="38" t="s">
        <v>650</v>
      </c>
      <c r="F65" s="25" t="s">
        <v>691</v>
      </c>
      <c r="G65" s="2"/>
    </row>
    <row r="66" spans="1:7">
      <c r="A66" s="431"/>
      <c r="B66" s="33" t="s">
        <v>396</v>
      </c>
      <c r="C66" s="41" t="s">
        <v>601</v>
      </c>
      <c r="D66" s="29" t="s">
        <v>581</v>
      </c>
      <c r="E66" s="25" t="s">
        <v>692</v>
      </c>
      <c r="F66" s="25" t="s">
        <v>691</v>
      </c>
      <c r="G66" s="2"/>
    </row>
    <row r="67" spans="1:7">
      <c r="A67" s="431"/>
      <c r="B67" s="33" t="s">
        <v>396</v>
      </c>
      <c r="C67" s="2" t="s">
        <v>679</v>
      </c>
      <c r="D67" s="29" t="s">
        <v>581</v>
      </c>
      <c r="E67" s="25" t="s">
        <v>693</v>
      </c>
      <c r="F67" s="25" t="s">
        <v>694</v>
      </c>
      <c r="G67" s="2"/>
    </row>
    <row r="68" spans="1:7">
      <c r="A68" s="431"/>
      <c r="B68" s="33" t="s">
        <v>396</v>
      </c>
      <c r="C68" s="2" t="s">
        <v>567</v>
      </c>
      <c r="D68" s="29" t="s">
        <v>581</v>
      </c>
      <c r="E68" s="25" t="s">
        <v>695</v>
      </c>
      <c r="F68" s="25" t="s">
        <v>696</v>
      </c>
      <c r="G68" s="2"/>
    </row>
    <row r="69" spans="1:7">
      <c r="A69" s="431"/>
      <c r="B69" s="33" t="s">
        <v>396</v>
      </c>
      <c r="C69" s="33" t="s">
        <v>665</v>
      </c>
      <c r="D69" s="29" t="s">
        <v>581</v>
      </c>
      <c r="E69" s="34" t="s">
        <v>666</v>
      </c>
      <c r="F69" s="25" t="s">
        <v>697</v>
      </c>
      <c r="G69" s="2"/>
    </row>
    <row r="70" spans="1:7">
      <c r="A70" s="431"/>
      <c r="B70" s="33" t="s">
        <v>396</v>
      </c>
      <c r="C70" s="2" t="s">
        <v>645</v>
      </c>
      <c r="D70" s="29" t="s">
        <v>581</v>
      </c>
      <c r="E70" s="25" t="s">
        <v>683</v>
      </c>
      <c r="F70" s="25" t="s">
        <v>698</v>
      </c>
      <c r="G70" s="2"/>
    </row>
    <row r="71" spans="1:7">
      <c r="A71" s="431" t="s">
        <v>699</v>
      </c>
      <c r="B71" s="33" t="s">
        <v>396</v>
      </c>
      <c r="C71" s="2" t="s">
        <v>645</v>
      </c>
      <c r="D71" s="29" t="s">
        <v>581</v>
      </c>
      <c r="E71" s="25" t="s">
        <v>683</v>
      </c>
      <c r="F71" s="25" t="s">
        <v>698</v>
      </c>
      <c r="G71" s="2"/>
    </row>
    <row r="72" spans="1:7">
      <c r="A72" s="431"/>
      <c r="B72" s="33" t="s">
        <v>396</v>
      </c>
      <c r="C72" s="2" t="s">
        <v>679</v>
      </c>
      <c r="D72" s="29" t="s">
        <v>581</v>
      </c>
      <c r="E72" s="25" t="s">
        <v>693</v>
      </c>
      <c r="F72" s="25" t="s">
        <v>700</v>
      </c>
      <c r="G72" s="2"/>
    </row>
    <row r="73" spans="1:7">
      <c r="A73" s="431"/>
      <c r="B73" s="33" t="s">
        <v>396</v>
      </c>
      <c r="C73" s="2" t="s">
        <v>567</v>
      </c>
      <c r="D73" s="29" t="s">
        <v>581</v>
      </c>
      <c r="E73" s="25" t="s">
        <v>695</v>
      </c>
      <c r="F73" s="25" t="s">
        <v>701</v>
      </c>
      <c r="G73" s="2"/>
    </row>
    <row r="74" spans="1:7">
      <c r="A74" s="431"/>
      <c r="B74" s="33" t="s">
        <v>396</v>
      </c>
      <c r="C74" s="2" t="s">
        <v>702</v>
      </c>
      <c r="D74" s="2" t="s">
        <v>564</v>
      </c>
      <c r="E74" s="25" t="s">
        <v>703</v>
      </c>
      <c r="F74" s="25" t="s">
        <v>696</v>
      </c>
      <c r="G74" s="2"/>
    </row>
    <row r="75" spans="1:7">
      <c r="A75" s="431"/>
      <c r="B75" s="33" t="s">
        <v>396</v>
      </c>
      <c r="C75" s="2" t="s">
        <v>704</v>
      </c>
      <c r="D75" s="2" t="s">
        <v>564</v>
      </c>
      <c r="E75" s="25" t="s">
        <v>705</v>
      </c>
      <c r="F75" s="25" t="s">
        <v>706</v>
      </c>
      <c r="G75" s="2"/>
    </row>
    <row r="76" spans="1:7">
      <c r="A76" s="431" t="s">
        <v>707</v>
      </c>
      <c r="B76" s="33" t="s">
        <v>396</v>
      </c>
      <c r="C76" s="2" t="s">
        <v>645</v>
      </c>
      <c r="D76" s="29" t="s">
        <v>581</v>
      </c>
      <c r="E76" s="25" t="s">
        <v>708</v>
      </c>
      <c r="F76" s="25" t="s">
        <v>709</v>
      </c>
      <c r="G76" s="2"/>
    </row>
    <row r="77" spans="1:7">
      <c r="A77" s="431"/>
      <c r="B77" s="33" t="s">
        <v>396</v>
      </c>
      <c r="C77" s="2" t="s">
        <v>679</v>
      </c>
      <c r="D77" s="29" t="s">
        <v>710</v>
      </c>
      <c r="E77" s="25" t="s">
        <v>711</v>
      </c>
      <c r="F77" s="25" t="s">
        <v>712</v>
      </c>
      <c r="G77" s="2"/>
    </row>
    <row r="78" spans="1:7">
      <c r="A78" s="431"/>
      <c r="B78" s="33" t="s">
        <v>396</v>
      </c>
      <c r="C78" s="2" t="s">
        <v>704</v>
      </c>
      <c r="D78" s="2" t="s">
        <v>564</v>
      </c>
      <c r="E78" s="25" t="s">
        <v>705</v>
      </c>
      <c r="F78" s="25" t="s">
        <v>713</v>
      </c>
      <c r="G78" s="2"/>
    </row>
    <row r="79" spans="1:7">
      <c r="A79" s="431"/>
      <c r="B79" s="33" t="s">
        <v>396</v>
      </c>
      <c r="C79" s="33" t="s">
        <v>554</v>
      </c>
      <c r="D79" s="33" t="s">
        <v>581</v>
      </c>
      <c r="E79" s="34" t="s">
        <v>714</v>
      </c>
      <c r="F79" s="34" t="s">
        <v>594</v>
      </c>
      <c r="G79" s="2"/>
    </row>
    <row r="80" spans="1:7">
      <c r="A80" s="431"/>
      <c r="B80" s="33" t="s">
        <v>396</v>
      </c>
      <c r="C80" s="2" t="s">
        <v>645</v>
      </c>
      <c r="D80" s="33" t="s">
        <v>581</v>
      </c>
      <c r="E80" s="25" t="s">
        <v>715</v>
      </c>
      <c r="F80" s="25" t="s">
        <v>716</v>
      </c>
      <c r="G80" s="2"/>
    </row>
    <row r="81" spans="1:7">
      <c r="A81" s="431"/>
      <c r="B81" s="33" t="s">
        <v>396</v>
      </c>
      <c r="C81" s="41" t="s">
        <v>601</v>
      </c>
      <c r="D81" s="2" t="s">
        <v>559</v>
      </c>
      <c r="E81" s="25" t="s">
        <v>717</v>
      </c>
      <c r="F81" s="25" t="s">
        <v>618</v>
      </c>
      <c r="G81" s="2"/>
    </row>
    <row r="82" spans="1:7" ht="12.75">
      <c r="A82" s="431"/>
      <c r="B82" s="33" t="s">
        <v>396</v>
      </c>
      <c r="C82" s="2" t="s">
        <v>718</v>
      </c>
      <c r="D82" s="29" t="s">
        <v>710</v>
      </c>
      <c r="E82" s="25" t="s">
        <v>719</v>
      </c>
      <c r="F82" s="25" t="s">
        <v>720</v>
      </c>
      <c r="G82" s="2"/>
    </row>
    <row r="83" spans="1:7" ht="12.75">
      <c r="A83" s="431" t="s">
        <v>721</v>
      </c>
      <c r="B83" s="33" t="s">
        <v>396</v>
      </c>
      <c r="C83" s="2" t="s">
        <v>645</v>
      </c>
      <c r="D83" s="29" t="s">
        <v>581</v>
      </c>
      <c r="E83" s="25" t="s">
        <v>708</v>
      </c>
      <c r="F83" s="25" t="s">
        <v>722</v>
      </c>
      <c r="G83" s="2"/>
    </row>
    <row r="84" spans="1:7" ht="12.75">
      <c r="A84" s="431"/>
      <c r="B84" s="33" t="s">
        <v>396</v>
      </c>
      <c r="C84" s="2" t="s">
        <v>679</v>
      </c>
      <c r="D84" s="29" t="s">
        <v>710</v>
      </c>
      <c r="E84" s="25" t="s">
        <v>723</v>
      </c>
      <c r="F84" s="25" t="s">
        <v>724</v>
      </c>
      <c r="G84" s="2"/>
    </row>
    <row r="85" spans="1:7" ht="12.75">
      <c r="A85" s="431"/>
      <c r="B85" s="33" t="s">
        <v>396</v>
      </c>
      <c r="C85" s="2" t="s">
        <v>645</v>
      </c>
      <c r="D85" s="33" t="s">
        <v>581</v>
      </c>
      <c r="E85" s="25" t="s">
        <v>715</v>
      </c>
      <c r="F85" s="25" t="s">
        <v>725</v>
      </c>
      <c r="G85" s="2"/>
    </row>
    <row r="86" spans="1:7" ht="12.75">
      <c r="A86" s="431"/>
      <c r="B86" s="33" t="s">
        <v>396</v>
      </c>
      <c r="C86" s="2" t="s">
        <v>558</v>
      </c>
      <c r="D86" s="33" t="s">
        <v>581</v>
      </c>
      <c r="E86" s="25" t="s">
        <v>726</v>
      </c>
      <c r="F86" s="25" t="s">
        <v>618</v>
      </c>
      <c r="G86" s="2"/>
    </row>
    <row r="87" spans="1:7" ht="12.75">
      <c r="A87" s="431"/>
      <c r="B87" s="33" t="s">
        <v>396</v>
      </c>
      <c r="C87" s="2" t="s">
        <v>645</v>
      </c>
      <c r="D87" s="33" t="s">
        <v>581</v>
      </c>
      <c r="E87" s="25" t="s">
        <v>727</v>
      </c>
      <c r="F87" s="25" t="s">
        <v>728</v>
      </c>
      <c r="G87" s="2"/>
    </row>
    <row r="88" spans="1:7" ht="12.75">
      <c r="A88" s="440" t="s">
        <v>729</v>
      </c>
      <c r="B88" s="33" t="s">
        <v>396</v>
      </c>
      <c r="C88" s="2" t="s">
        <v>704</v>
      </c>
      <c r="D88" s="2" t="s">
        <v>564</v>
      </c>
      <c r="E88" s="25" t="s">
        <v>705</v>
      </c>
      <c r="F88" s="25" t="s">
        <v>730</v>
      </c>
      <c r="G88" s="2"/>
    </row>
    <row r="89" spans="1:7" ht="12.75">
      <c r="A89" s="440"/>
      <c r="B89" s="33" t="s">
        <v>396</v>
      </c>
      <c r="C89" s="2" t="s">
        <v>679</v>
      </c>
      <c r="D89" s="29" t="s">
        <v>710</v>
      </c>
      <c r="E89" s="25" t="s">
        <v>723</v>
      </c>
      <c r="F89" s="25" t="s">
        <v>731</v>
      </c>
      <c r="G89" s="2"/>
    </row>
    <row r="90" spans="1:7" ht="12.75">
      <c r="A90" s="440"/>
      <c r="B90" s="33" t="s">
        <v>396</v>
      </c>
      <c r="C90" s="2" t="s">
        <v>732</v>
      </c>
      <c r="D90" s="33" t="s">
        <v>581</v>
      </c>
      <c r="E90" s="25" t="s">
        <v>708</v>
      </c>
      <c r="F90" s="25" t="s">
        <v>733</v>
      </c>
      <c r="G90" s="2"/>
    </row>
    <row r="91" spans="1:7" ht="12.75">
      <c r="A91" s="440"/>
      <c r="B91" s="33" t="s">
        <v>396</v>
      </c>
      <c r="C91" s="2" t="s">
        <v>734</v>
      </c>
      <c r="D91" s="33" t="s">
        <v>581</v>
      </c>
      <c r="E91" s="25" t="s">
        <v>708</v>
      </c>
      <c r="F91" s="25" t="s">
        <v>735</v>
      </c>
      <c r="G91" s="2"/>
    </row>
    <row r="92" spans="1:7" ht="12.75">
      <c r="A92" s="440"/>
      <c r="B92" s="33" t="s">
        <v>396</v>
      </c>
      <c r="C92" s="2" t="s">
        <v>736</v>
      </c>
      <c r="D92" s="33" t="s">
        <v>581</v>
      </c>
      <c r="E92" s="25" t="s">
        <v>708</v>
      </c>
      <c r="F92" s="25" t="s">
        <v>737</v>
      </c>
      <c r="G92" s="2"/>
    </row>
    <row r="93" spans="1:7" ht="12.75">
      <c r="A93" s="431" t="s">
        <v>738</v>
      </c>
      <c r="B93" s="33" t="s">
        <v>396</v>
      </c>
      <c r="C93" s="2" t="s">
        <v>704</v>
      </c>
      <c r="D93" s="29" t="s">
        <v>710</v>
      </c>
      <c r="E93" s="25" t="s">
        <v>705</v>
      </c>
      <c r="F93" s="25" t="s">
        <v>739</v>
      </c>
      <c r="G93" s="2"/>
    </row>
    <row r="94" spans="1:7" ht="12.75">
      <c r="A94" s="431"/>
      <c r="B94" s="33" t="s">
        <v>396</v>
      </c>
      <c r="C94" s="2" t="s">
        <v>679</v>
      </c>
      <c r="D94" s="29" t="s">
        <v>710</v>
      </c>
      <c r="E94" s="25" t="s">
        <v>740</v>
      </c>
      <c r="F94" s="25" t="s">
        <v>741</v>
      </c>
      <c r="G94" s="2"/>
    </row>
    <row r="95" spans="1:7" ht="12.75">
      <c r="A95" s="431"/>
      <c r="B95" s="33" t="s">
        <v>396</v>
      </c>
      <c r="C95" s="2" t="s">
        <v>736</v>
      </c>
      <c r="D95" s="33" t="s">
        <v>581</v>
      </c>
      <c r="E95" s="25" t="s">
        <v>742</v>
      </c>
      <c r="F95" s="25" t="s">
        <v>743</v>
      </c>
      <c r="G95" s="2"/>
    </row>
    <row r="96" spans="1:7" ht="12.75">
      <c r="A96" s="431"/>
      <c r="B96" s="33" t="s">
        <v>396</v>
      </c>
      <c r="C96" s="2" t="s">
        <v>732</v>
      </c>
      <c r="D96" s="33" t="s">
        <v>581</v>
      </c>
      <c r="E96" s="25" t="s">
        <v>744</v>
      </c>
      <c r="F96" s="25" t="s">
        <v>745</v>
      </c>
      <c r="G96" s="2"/>
    </row>
    <row r="97" spans="1:7" ht="12.75">
      <c r="A97" s="431" t="s">
        <v>746</v>
      </c>
      <c r="B97" s="33" t="s">
        <v>396</v>
      </c>
      <c r="C97" s="2" t="s">
        <v>372</v>
      </c>
      <c r="D97" s="2" t="s">
        <v>564</v>
      </c>
      <c r="E97" s="25" t="s">
        <v>747</v>
      </c>
      <c r="F97" s="25" t="s">
        <v>748</v>
      </c>
      <c r="G97" s="2"/>
    </row>
    <row r="98" spans="1:7" ht="12.75">
      <c r="A98" s="431"/>
      <c r="B98" s="33" t="s">
        <v>396</v>
      </c>
      <c r="C98" s="2" t="s">
        <v>749</v>
      </c>
      <c r="D98" s="2" t="s">
        <v>564</v>
      </c>
      <c r="E98" s="25" t="s">
        <v>750</v>
      </c>
      <c r="F98" s="25" t="s">
        <v>751</v>
      </c>
      <c r="G98" s="2"/>
    </row>
    <row r="99" spans="1:7" ht="12.75">
      <c r="A99" s="431"/>
      <c r="B99" s="33" t="s">
        <v>396</v>
      </c>
      <c r="C99" s="2" t="s">
        <v>558</v>
      </c>
      <c r="D99" s="2" t="s">
        <v>564</v>
      </c>
      <c r="E99" s="25" t="s">
        <v>752</v>
      </c>
      <c r="F99" s="25" t="s">
        <v>618</v>
      </c>
      <c r="G99" s="2"/>
    </row>
    <row r="100" spans="1:7" ht="12.75">
      <c r="A100" s="431"/>
      <c r="B100" s="33" t="s">
        <v>396</v>
      </c>
      <c r="C100" s="2" t="s">
        <v>734</v>
      </c>
      <c r="D100" s="2" t="s">
        <v>564</v>
      </c>
      <c r="E100" s="25" t="s">
        <v>753</v>
      </c>
      <c r="F100" s="25" t="s">
        <v>618</v>
      </c>
      <c r="G100" s="2"/>
    </row>
    <row r="101" spans="1:7" ht="12.75">
      <c r="A101" s="431"/>
      <c r="B101" s="33" t="s">
        <v>396</v>
      </c>
      <c r="C101" s="2" t="s">
        <v>645</v>
      </c>
      <c r="D101" s="2" t="s">
        <v>564</v>
      </c>
      <c r="E101" s="25" t="s">
        <v>754</v>
      </c>
      <c r="F101" s="25" t="s">
        <v>755</v>
      </c>
      <c r="G101" s="2"/>
    </row>
    <row r="102" spans="1:7">
      <c r="A102" s="2"/>
      <c r="B102" s="2"/>
      <c r="C102" s="2"/>
      <c r="D102" s="2"/>
      <c r="E102" s="25"/>
      <c r="F102" s="25"/>
      <c r="G102" s="2"/>
    </row>
    <row r="103" spans="1:7">
      <c r="A103" s="2"/>
      <c r="B103" s="2"/>
      <c r="C103" s="2"/>
      <c r="D103" s="2"/>
      <c r="E103" s="25"/>
      <c r="F103" s="25"/>
      <c r="G103" s="2"/>
    </row>
    <row r="104" spans="1:7">
      <c r="A104" s="2"/>
      <c r="B104" s="2"/>
      <c r="C104" s="2"/>
      <c r="D104" s="2"/>
      <c r="E104" s="25"/>
      <c r="F104" s="25"/>
      <c r="G104" s="2"/>
    </row>
    <row r="105" spans="1:7">
      <c r="A105" s="2"/>
      <c r="B105" s="2"/>
      <c r="C105" s="2"/>
      <c r="D105" s="2"/>
      <c r="E105" s="25"/>
      <c r="F105" s="25"/>
      <c r="G105" s="2"/>
    </row>
    <row r="106" spans="1:7">
      <c r="A106" s="2"/>
      <c r="B106" s="2"/>
      <c r="C106" s="2"/>
      <c r="D106" s="2"/>
      <c r="E106" s="25"/>
      <c r="F106" s="25"/>
      <c r="G106" s="2"/>
    </row>
    <row r="107" spans="1:7">
      <c r="A107" s="2"/>
      <c r="B107" s="2"/>
      <c r="C107" s="2"/>
      <c r="D107" s="2"/>
      <c r="E107" s="25"/>
      <c r="F107" s="25"/>
      <c r="G107" s="2"/>
    </row>
    <row r="108" spans="1:7">
      <c r="A108" s="2"/>
      <c r="B108" s="2"/>
      <c r="C108" s="2"/>
      <c r="D108" s="2"/>
      <c r="E108" s="25"/>
      <c r="F108" s="25"/>
      <c r="G108" s="2"/>
    </row>
    <row r="109" spans="1:7">
      <c r="A109" s="2"/>
      <c r="B109" s="2"/>
      <c r="C109" s="2"/>
      <c r="D109" s="2"/>
      <c r="E109" s="25"/>
      <c r="F109" s="25"/>
      <c r="G109" s="2"/>
    </row>
    <row r="110" spans="1:7">
      <c r="A110" s="2"/>
      <c r="B110" s="2"/>
      <c r="C110" s="2"/>
      <c r="D110" s="2"/>
      <c r="E110" s="25"/>
      <c r="F110" s="25"/>
      <c r="G110" s="2"/>
    </row>
    <row r="111" spans="1:7">
      <c r="A111" s="2"/>
      <c r="B111" s="2"/>
      <c r="C111" s="2"/>
      <c r="D111" s="2"/>
      <c r="E111" s="25"/>
      <c r="F111" s="25"/>
      <c r="G111" s="2"/>
    </row>
    <row r="112" spans="1:7">
      <c r="A112" s="2"/>
      <c r="B112" s="2"/>
      <c r="C112" s="2"/>
      <c r="D112" s="2"/>
      <c r="E112" s="25"/>
      <c r="F112" s="25"/>
      <c r="G112" s="2"/>
    </row>
    <row r="113" spans="1:7">
      <c r="A113" s="2"/>
      <c r="B113" s="2"/>
      <c r="C113" s="2"/>
      <c r="D113" s="2"/>
      <c r="E113" s="25"/>
      <c r="F113" s="25"/>
      <c r="G113" s="2"/>
    </row>
    <row r="114" spans="1:7">
      <c r="A114" s="2"/>
      <c r="B114" s="2"/>
      <c r="C114" s="2"/>
      <c r="D114" s="2"/>
      <c r="E114" s="25"/>
      <c r="F114" s="25"/>
      <c r="G114" s="2"/>
    </row>
    <row r="115" spans="1:7">
      <c r="A115" s="2"/>
      <c r="B115" s="2"/>
      <c r="C115" s="2"/>
      <c r="D115" s="2"/>
      <c r="E115" s="25"/>
      <c r="F115" s="25"/>
      <c r="G115" s="2"/>
    </row>
    <row r="116" spans="1:7">
      <c r="A116" s="2"/>
      <c r="B116" s="2"/>
      <c r="C116" s="2"/>
      <c r="D116" s="2"/>
      <c r="E116" s="25"/>
      <c r="F116" s="25"/>
      <c r="G116" s="2"/>
    </row>
    <row r="117" spans="1:7">
      <c r="A117" s="2"/>
      <c r="B117" s="2"/>
      <c r="C117" s="2"/>
      <c r="D117" s="2"/>
      <c r="E117" s="25"/>
      <c r="F117" s="25"/>
      <c r="G117" s="2"/>
    </row>
    <row r="118" spans="1:7">
      <c r="A118" s="2"/>
      <c r="B118" s="2"/>
      <c r="C118" s="2"/>
      <c r="D118" s="2"/>
      <c r="E118" s="25"/>
      <c r="F118" s="25"/>
      <c r="G118" s="2"/>
    </row>
    <row r="119" spans="1:7">
      <c r="A119" s="2"/>
      <c r="B119" s="2"/>
      <c r="C119" s="2"/>
      <c r="D119" s="2"/>
      <c r="E119" s="25"/>
      <c r="F119" s="25"/>
      <c r="G119" s="2"/>
    </row>
    <row r="120" spans="1:7">
      <c r="A120" s="2"/>
      <c r="B120" s="2"/>
      <c r="C120" s="2"/>
      <c r="D120" s="2"/>
      <c r="E120" s="25"/>
      <c r="F120" s="25"/>
      <c r="G120" s="2"/>
    </row>
    <row r="121" spans="1:7">
      <c r="A121" s="2"/>
      <c r="B121" s="2"/>
      <c r="C121" s="2"/>
      <c r="D121" s="2"/>
      <c r="E121" s="25"/>
      <c r="F121" s="25"/>
      <c r="G121" s="2"/>
    </row>
    <row r="122" spans="1:7">
      <c r="A122" s="2"/>
      <c r="B122" s="2"/>
      <c r="C122" s="2"/>
      <c r="D122" s="2"/>
      <c r="E122" s="25"/>
      <c r="F122" s="25"/>
      <c r="G122" s="2"/>
    </row>
    <row r="123" spans="1:7">
      <c r="A123" s="2"/>
      <c r="B123" s="2"/>
      <c r="C123" s="2"/>
      <c r="D123" s="2"/>
      <c r="E123" s="25"/>
      <c r="F123" s="25"/>
      <c r="G123" s="2"/>
    </row>
    <row r="124" spans="1:7">
      <c r="A124" s="2"/>
      <c r="B124" s="2"/>
      <c r="C124" s="2"/>
      <c r="D124" s="2"/>
      <c r="E124" s="25"/>
      <c r="F124" s="25"/>
      <c r="G124" s="2"/>
    </row>
    <row r="125" spans="1:7">
      <c r="A125" s="2"/>
      <c r="B125" s="2"/>
      <c r="C125" s="2"/>
      <c r="D125" s="2"/>
      <c r="E125" s="25"/>
      <c r="F125" s="25"/>
      <c r="G125" s="2"/>
    </row>
    <row r="126" spans="1:7">
      <c r="A126" s="2"/>
      <c r="B126" s="2"/>
      <c r="C126" s="2"/>
      <c r="D126" s="2"/>
      <c r="E126" s="25"/>
      <c r="F126" s="25"/>
      <c r="G126" s="2"/>
    </row>
    <row r="127" spans="1:7">
      <c r="A127" s="2"/>
      <c r="B127" s="2"/>
      <c r="C127" s="2"/>
      <c r="D127" s="2"/>
      <c r="E127" s="25"/>
      <c r="F127" s="25"/>
      <c r="G127" s="2"/>
    </row>
    <row r="128" spans="1:7">
      <c r="A128" s="2"/>
      <c r="B128" s="2"/>
      <c r="C128" s="2"/>
      <c r="D128" s="2"/>
      <c r="E128" s="25"/>
      <c r="F128" s="25"/>
      <c r="G128" s="2"/>
    </row>
    <row r="129" spans="1:7">
      <c r="A129" s="2"/>
      <c r="B129" s="2"/>
      <c r="C129" s="2"/>
      <c r="D129" s="2"/>
      <c r="E129" s="25"/>
      <c r="F129" s="25"/>
      <c r="G129" s="2"/>
    </row>
    <row r="130" spans="1:7">
      <c r="A130" s="2"/>
      <c r="B130" s="2"/>
      <c r="C130" s="2"/>
      <c r="D130" s="2"/>
      <c r="E130" s="25"/>
      <c r="F130" s="25"/>
      <c r="G130" s="2"/>
    </row>
    <row r="131" spans="1:7">
      <c r="A131" s="2"/>
      <c r="B131" s="2"/>
      <c r="C131" s="2"/>
      <c r="D131" s="2"/>
      <c r="E131" s="25"/>
      <c r="F131" s="25"/>
      <c r="G131" s="2"/>
    </row>
    <row r="132" spans="1:7">
      <c r="A132" s="2"/>
      <c r="B132" s="2"/>
      <c r="C132" s="2"/>
      <c r="D132" s="2"/>
      <c r="E132" s="25"/>
      <c r="F132" s="25"/>
      <c r="G132" s="2"/>
    </row>
    <row r="133" spans="1:7">
      <c r="A133" s="2"/>
      <c r="B133" s="2"/>
      <c r="C133" s="2"/>
      <c r="D133" s="2"/>
      <c r="E133" s="25"/>
      <c r="F133" s="25"/>
      <c r="G133" s="2"/>
    </row>
    <row r="134" spans="1:7">
      <c r="A134" s="2"/>
      <c r="B134" s="2"/>
      <c r="C134" s="2"/>
      <c r="D134" s="2"/>
      <c r="E134" s="25"/>
      <c r="F134" s="25"/>
      <c r="G134" s="2"/>
    </row>
    <row r="135" spans="1:7">
      <c r="A135" s="2"/>
      <c r="B135" s="2"/>
      <c r="C135" s="2"/>
      <c r="D135" s="2"/>
      <c r="E135" s="25"/>
      <c r="F135" s="25"/>
      <c r="G135" s="2"/>
    </row>
    <row r="136" spans="1:7">
      <c r="A136" s="2"/>
      <c r="B136" s="2"/>
      <c r="C136" s="2"/>
      <c r="D136" s="2"/>
      <c r="E136" s="25"/>
      <c r="F136" s="25"/>
      <c r="G136" s="2"/>
    </row>
    <row r="137" spans="1:7">
      <c r="A137" s="2"/>
      <c r="B137" s="2"/>
      <c r="C137" s="2"/>
      <c r="D137" s="2"/>
      <c r="E137" s="25"/>
      <c r="F137" s="25"/>
      <c r="G137" s="2"/>
    </row>
    <row r="138" spans="1:7">
      <c r="A138" s="2"/>
      <c r="B138" s="2"/>
      <c r="C138" s="2"/>
      <c r="D138" s="2"/>
      <c r="E138" s="25"/>
      <c r="F138" s="25"/>
      <c r="G138" s="2"/>
    </row>
    <row r="139" spans="1:7">
      <c r="A139" s="2"/>
      <c r="B139" s="2"/>
      <c r="C139" s="2"/>
      <c r="D139" s="2"/>
      <c r="E139" s="25"/>
      <c r="F139" s="25"/>
      <c r="G139" s="2"/>
    </row>
    <row r="140" spans="1:7">
      <c r="A140" s="2"/>
      <c r="B140" s="2"/>
      <c r="C140" s="2"/>
      <c r="D140" s="2"/>
      <c r="E140" s="25"/>
      <c r="F140" s="25"/>
      <c r="G140" s="2"/>
    </row>
    <row r="141" spans="1:7">
      <c r="A141" s="2"/>
      <c r="B141" s="2"/>
      <c r="C141" s="2"/>
      <c r="D141" s="2"/>
      <c r="E141" s="25"/>
      <c r="F141" s="25"/>
      <c r="G141" s="2"/>
    </row>
    <row r="142" spans="1:7">
      <c r="A142" s="2"/>
      <c r="B142" s="2"/>
      <c r="C142" s="2"/>
      <c r="D142" s="2"/>
      <c r="E142" s="25"/>
      <c r="F142" s="25"/>
      <c r="G142" s="2"/>
    </row>
    <row r="143" spans="1:7">
      <c r="A143" s="2"/>
      <c r="B143" s="2"/>
      <c r="C143" s="2"/>
      <c r="D143" s="2"/>
      <c r="E143" s="25"/>
      <c r="F143" s="25"/>
      <c r="G143" s="2"/>
    </row>
    <row r="144" spans="1:7">
      <c r="A144" s="2"/>
      <c r="B144" s="2"/>
      <c r="C144" s="2"/>
      <c r="D144" s="2"/>
      <c r="E144" s="25"/>
      <c r="F144" s="25"/>
      <c r="G144" s="2"/>
    </row>
    <row r="145" spans="1:7">
      <c r="A145" s="2"/>
      <c r="B145" s="2"/>
      <c r="C145" s="2"/>
      <c r="D145" s="2"/>
      <c r="E145" s="25"/>
      <c r="F145" s="25"/>
      <c r="G145" s="2"/>
    </row>
    <row r="146" spans="1:7">
      <c r="A146" s="2"/>
      <c r="B146" s="2"/>
      <c r="C146" s="2"/>
      <c r="D146" s="2"/>
      <c r="E146" s="25"/>
      <c r="F146" s="25"/>
      <c r="G146" s="2"/>
    </row>
    <row r="147" spans="1:7">
      <c r="A147" s="2"/>
      <c r="B147" s="2"/>
      <c r="C147" s="2"/>
      <c r="D147" s="2"/>
      <c r="E147" s="25"/>
      <c r="F147" s="25"/>
      <c r="G147" s="2"/>
    </row>
    <row r="148" spans="1:7">
      <c r="A148" s="2"/>
      <c r="B148" s="2"/>
      <c r="C148" s="2"/>
      <c r="D148" s="2"/>
      <c r="E148" s="25"/>
      <c r="F148" s="25"/>
      <c r="G148" s="2"/>
    </row>
    <row r="149" spans="1:7">
      <c r="A149" s="2"/>
      <c r="B149" s="2"/>
      <c r="C149" s="2"/>
      <c r="D149" s="2"/>
      <c r="E149" s="25"/>
      <c r="F149" s="25"/>
      <c r="G149" s="2"/>
    </row>
    <row r="150" spans="1:7">
      <c r="A150" s="2"/>
      <c r="B150" s="2"/>
      <c r="C150" s="2"/>
      <c r="D150" s="2"/>
      <c r="E150" s="25"/>
      <c r="F150" s="25"/>
      <c r="G150" s="2"/>
    </row>
    <row r="151" spans="1:7">
      <c r="A151" s="2"/>
      <c r="B151" s="2"/>
      <c r="C151" s="2"/>
      <c r="D151" s="2"/>
      <c r="E151" s="25"/>
      <c r="F151" s="25"/>
      <c r="G151" s="2"/>
    </row>
    <row r="152" spans="1:7">
      <c r="A152" s="2"/>
      <c r="B152" s="2"/>
      <c r="C152" s="2"/>
      <c r="D152" s="2"/>
      <c r="E152" s="25"/>
      <c r="F152" s="25"/>
      <c r="G152" s="2"/>
    </row>
    <row r="153" spans="1:7">
      <c r="A153" s="2"/>
      <c r="B153" s="2"/>
      <c r="C153" s="2"/>
      <c r="D153" s="2"/>
      <c r="E153" s="25"/>
      <c r="F153" s="25"/>
      <c r="G153" s="2"/>
    </row>
    <row r="154" spans="1:7">
      <c r="A154" s="2"/>
      <c r="B154" s="2"/>
      <c r="C154" s="2"/>
      <c r="D154" s="2"/>
      <c r="E154" s="25"/>
      <c r="F154" s="25"/>
      <c r="G154" s="2"/>
    </row>
    <row r="155" spans="1:7">
      <c r="A155" s="2"/>
      <c r="B155" s="2"/>
      <c r="C155" s="2"/>
      <c r="D155" s="2"/>
      <c r="E155" s="25"/>
      <c r="F155" s="25"/>
      <c r="G155" s="2"/>
    </row>
    <row r="156" spans="1:7">
      <c r="A156" s="2"/>
      <c r="B156" s="2"/>
      <c r="C156" s="2"/>
      <c r="D156" s="2"/>
      <c r="E156" s="25"/>
      <c r="F156" s="25"/>
      <c r="G156" s="2"/>
    </row>
    <row r="157" spans="1:7">
      <c r="A157" s="2"/>
      <c r="B157" s="2"/>
      <c r="C157" s="2"/>
      <c r="D157" s="2"/>
      <c r="E157" s="25"/>
      <c r="F157" s="25"/>
      <c r="G157" s="2"/>
    </row>
    <row r="158" spans="1:7">
      <c r="A158" s="2"/>
      <c r="B158" s="2"/>
      <c r="C158" s="2"/>
      <c r="D158" s="2"/>
      <c r="E158" s="25"/>
      <c r="F158" s="25"/>
      <c r="G158" s="2"/>
    </row>
    <row r="159" spans="1:7">
      <c r="A159" s="2"/>
      <c r="B159" s="2"/>
      <c r="C159" s="2"/>
      <c r="D159" s="2"/>
      <c r="E159" s="25"/>
      <c r="F159" s="25"/>
      <c r="G159" s="2"/>
    </row>
    <row r="160" spans="1:7">
      <c r="A160" s="2"/>
      <c r="B160" s="2"/>
      <c r="C160" s="2"/>
      <c r="D160" s="2"/>
      <c r="E160" s="25"/>
      <c r="F160" s="25"/>
      <c r="G160" s="2"/>
    </row>
    <row r="161" spans="1:7">
      <c r="A161" s="2"/>
      <c r="B161" s="2"/>
      <c r="C161" s="2"/>
      <c r="D161" s="2"/>
      <c r="E161" s="25"/>
      <c r="F161" s="25"/>
      <c r="G161" s="2"/>
    </row>
    <row r="162" spans="1:7">
      <c r="A162" s="2"/>
      <c r="B162" s="2"/>
      <c r="C162" s="2"/>
      <c r="D162" s="2"/>
      <c r="E162" s="25"/>
      <c r="F162" s="25"/>
      <c r="G162" s="2"/>
    </row>
    <row r="163" spans="1:7">
      <c r="A163" s="2"/>
      <c r="B163" s="2"/>
      <c r="C163" s="2"/>
      <c r="D163" s="2"/>
      <c r="E163" s="25"/>
      <c r="F163" s="25"/>
      <c r="G163" s="2"/>
    </row>
    <row r="164" spans="1:7">
      <c r="A164" s="2"/>
      <c r="B164" s="2"/>
      <c r="C164" s="2"/>
      <c r="D164" s="2"/>
      <c r="E164" s="25"/>
      <c r="F164" s="25"/>
      <c r="G164" s="2"/>
    </row>
    <row r="165" spans="1:7">
      <c r="A165" s="2"/>
      <c r="B165" s="2"/>
      <c r="C165" s="2"/>
      <c r="D165" s="2"/>
      <c r="E165" s="25"/>
      <c r="F165" s="25"/>
      <c r="G165" s="2"/>
    </row>
    <row r="166" spans="1:7">
      <c r="A166" s="2"/>
      <c r="B166" s="2"/>
      <c r="C166" s="2"/>
      <c r="D166" s="2"/>
      <c r="E166" s="25"/>
      <c r="F166" s="25"/>
      <c r="G166" s="2"/>
    </row>
    <row r="167" spans="1:7">
      <c r="A167" s="2"/>
      <c r="B167" s="2"/>
      <c r="C167" s="2"/>
      <c r="D167" s="2"/>
      <c r="E167" s="25"/>
      <c r="F167" s="25"/>
      <c r="G167" s="2"/>
    </row>
    <row r="168" spans="1:7">
      <c r="A168" s="2"/>
      <c r="B168" s="2"/>
      <c r="C168" s="2"/>
      <c r="D168" s="2"/>
      <c r="E168" s="25"/>
      <c r="F168" s="25"/>
      <c r="G168" s="2"/>
    </row>
    <row r="169" spans="1:7">
      <c r="A169" s="2"/>
      <c r="B169" s="2"/>
      <c r="C169" s="2"/>
      <c r="D169" s="2"/>
      <c r="E169" s="25"/>
      <c r="F169" s="25"/>
      <c r="G169" s="2"/>
    </row>
    <row r="170" spans="1:7">
      <c r="A170" s="2"/>
      <c r="B170" s="2"/>
      <c r="C170" s="2"/>
      <c r="D170" s="2"/>
      <c r="E170" s="25"/>
      <c r="F170" s="25"/>
      <c r="G170" s="2"/>
    </row>
    <row r="171" spans="1:7">
      <c r="A171" s="2"/>
      <c r="B171" s="2"/>
      <c r="C171" s="2"/>
      <c r="D171" s="2"/>
      <c r="E171" s="25"/>
      <c r="F171" s="25"/>
      <c r="G171" s="2"/>
    </row>
    <row r="172" spans="1:7">
      <c r="A172" s="2"/>
      <c r="B172" s="2"/>
      <c r="C172" s="2"/>
      <c r="D172" s="2"/>
      <c r="E172" s="25"/>
      <c r="F172" s="25"/>
      <c r="G172" s="2"/>
    </row>
    <row r="173" spans="1:7">
      <c r="A173" s="2"/>
      <c r="B173" s="2"/>
      <c r="C173" s="2"/>
      <c r="D173" s="2"/>
      <c r="E173" s="25"/>
      <c r="F173" s="25"/>
      <c r="G173" s="2"/>
    </row>
    <row r="174" spans="1:7">
      <c r="A174" s="2"/>
      <c r="B174" s="2"/>
      <c r="C174" s="2"/>
      <c r="D174" s="2"/>
      <c r="E174" s="25"/>
      <c r="F174" s="25"/>
      <c r="G174" s="2"/>
    </row>
    <row r="175" spans="1:7">
      <c r="A175" s="2"/>
      <c r="B175" s="2"/>
      <c r="C175" s="2"/>
      <c r="D175" s="2"/>
      <c r="E175" s="25"/>
      <c r="F175" s="25"/>
      <c r="G175" s="2"/>
    </row>
    <row r="176" spans="1:7">
      <c r="A176" s="2"/>
      <c r="B176" s="2"/>
      <c r="C176" s="2"/>
      <c r="D176" s="2"/>
      <c r="E176" s="25"/>
      <c r="F176" s="25"/>
      <c r="G176" s="2"/>
    </row>
    <row r="177" spans="1:7">
      <c r="A177" s="2"/>
      <c r="B177" s="2"/>
      <c r="C177" s="2"/>
      <c r="D177" s="2"/>
      <c r="E177" s="25"/>
      <c r="F177" s="25"/>
      <c r="G177" s="2"/>
    </row>
    <row r="178" spans="1:7">
      <c r="A178" s="2"/>
      <c r="B178" s="2"/>
      <c r="C178" s="2"/>
      <c r="D178" s="2"/>
      <c r="E178" s="25"/>
      <c r="F178" s="25"/>
      <c r="G178" s="2"/>
    </row>
    <row r="179" spans="1:7">
      <c r="A179" s="2"/>
      <c r="B179" s="2"/>
      <c r="C179" s="2"/>
      <c r="D179" s="2"/>
      <c r="E179" s="25"/>
      <c r="F179" s="25"/>
      <c r="G179" s="2"/>
    </row>
    <row r="180" spans="1:7">
      <c r="A180" s="2"/>
      <c r="B180" s="2"/>
      <c r="C180" s="2"/>
      <c r="D180" s="2"/>
      <c r="E180" s="25"/>
      <c r="F180" s="25"/>
      <c r="G180" s="2"/>
    </row>
    <row r="181" spans="1:7">
      <c r="A181" s="2"/>
      <c r="B181" s="2"/>
      <c r="C181" s="2"/>
      <c r="D181" s="2"/>
      <c r="E181" s="25"/>
      <c r="F181" s="25"/>
      <c r="G181" s="2"/>
    </row>
    <row r="182" spans="1:7">
      <c r="A182" s="2"/>
      <c r="B182" s="2"/>
      <c r="C182" s="2"/>
      <c r="D182" s="2"/>
      <c r="E182" s="25"/>
      <c r="F182" s="25"/>
      <c r="G182" s="2"/>
    </row>
    <row r="183" spans="1:7">
      <c r="A183" s="2"/>
      <c r="B183" s="2"/>
      <c r="C183" s="2"/>
      <c r="D183" s="2"/>
      <c r="E183" s="25"/>
      <c r="F183" s="25"/>
      <c r="G183" s="2"/>
    </row>
    <row r="184" spans="1:7">
      <c r="A184" s="2"/>
      <c r="B184" s="2"/>
      <c r="C184" s="2"/>
      <c r="D184" s="2"/>
      <c r="E184" s="25"/>
      <c r="F184" s="25"/>
      <c r="G184" s="2"/>
    </row>
    <row r="185" spans="1:7">
      <c r="A185" s="2"/>
      <c r="B185" s="2"/>
      <c r="C185" s="2"/>
      <c r="D185" s="2"/>
      <c r="E185" s="25"/>
      <c r="F185" s="25"/>
      <c r="G185" s="2"/>
    </row>
    <row r="186" spans="1:7">
      <c r="A186" s="2"/>
      <c r="B186" s="2"/>
      <c r="C186" s="2"/>
      <c r="D186" s="2"/>
      <c r="E186" s="25"/>
      <c r="F186" s="25"/>
      <c r="G186" s="2"/>
    </row>
    <row r="187" spans="1:7">
      <c r="A187" s="2"/>
      <c r="B187" s="2"/>
      <c r="C187" s="2"/>
      <c r="D187" s="2"/>
      <c r="E187" s="25"/>
      <c r="F187" s="25"/>
      <c r="G187" s="2"/>
    </row>
    <row r="188" spans="1:7">
      <c r="A188" s="2"/>
      <c r="B188" s="2"/>
      <c r="C188" s="2"/>
      <c r="D188" s="2"/>
      <c r="E188" s="25"/>
      <c r="F188" s="25"/>
      <c r="G188" s="2"/>
    </row>
    <row r="189" spans="1:7">
      <c r="A189" s="2"/>
      <c r="B189" s="2"/>
      <c r="C189" s="2"/>
      <c r="D189" s="2"/>
      <c r="E189" s="25"/>
      <c r="F189" s="25"/>
      <c r="G189" s="2"/>
    </row>
    <row r="190" spans="1:7">
      <c r="A190" s="2"/>
      <c r="B190" s="2"/>
      <c r="C190" s="2"/>
      <c r="D190" s="2"/>
      <c r="E190" s="25"/>
      <c r="F190" s="25"/>
      <c r="G190" s="2"/>
    </row>
    <row r="191" spans="1:7">
      <c r="A191" s="2"/>
      <c r="B191" s="2"/>
      <c r="C191" s="2"/>
      <c r="D191" s="2"/>
      <c r="E191" s="25"/>
      <c r="F191" s="25"/>
      <c r="G191" s="2"/>
    </row>
    <row r="192" spans="1:7">
      <c r="A192" s="2"/>
      <c r="B192" s="2"/>
      <c r="C192" s="2"/>
      <c r="D192" s="2"/>
      <c r="E192" s="25"/>
      <c r="F192" s="25"/>
      <c r="G192" s="2"/>
    </row>
    <row r="193" spans="1:7">
      <c r="A193" s="2"/>
      <c r="B193" s="2"/>
      <c r="C193" s="2"/>
      <c r="D193" s="2"/>
      <c r="E193" s="25"/>
      <c r="F193" s="25"/>
      <c r="G193" s="2"/>
    </row>
    <row r="194" spans="1:7">
      <c r="A194" s="2"/>
      <c r="B194" s="2"/>
      <c r="C194" s="2"/>
      <c r="D194" s="2"/>
      <c r="E194" s="25"/>
      <c r="F194" s="25"/>
      <c r="G194" s="2"/>
    </row>
    <row r="195" spans="1:7">
      <c r="A195" s="2"/>
      <c r="B195" s="2"/>
      <c r="C195" s="2"/>
      <c r="D195" s="2"/>
      <c r="E195" s="25"/>
      <c r="F195" s="25"/>
      <c r="G195" s="2"/>
    </row>
    <row r="196" spans="1:7">
      <c r="A196" s="2"/>
      <c r="B196" s="2"/>
      <c r="C196" s="2"/>
      <c r="D196" s="2"/>
      <c r="E196" s="25"/>
      <c r="F196" s="25"/>
      <c r="G196" s="2"/>
    </row>
    <row r="197" spans="1:7">
      <c r="A197" s="2"/>
      <c r="B197" s="2"/>
      <c r="C197" s="2"/>
      <c r="D197" s="2"/>
      <c r="E197" s="25"/>
      <c r="F197" s="25"/>
      <c r="G197" s="2"/>
    </row>
    <row r="198" spans="1:7">
      <c r="A198" s="2"/>
      <c r="B198" s="2"/>
      <c r="C198" s="2"/>
      <c r="D198" s="2"/>
      <c r="E198" s="25"/>
      <c r="F198" s="25"/>
      <c r="G198" s="2"/>
    </row>
    <row r="199" spans="1:7">
      <c r="A199" s="2"/>
      <c r="B199" s="2"/>
      <c r="C199" s="2"/>
      <c r="D199" s="2"/>
      <c r="E199" s="25"/>
      <c r="F199" s="25"/>
      <c r="G199" s="2"/>
    </row>
    <row r="200" spans="1:7">
      <c r="A200" s="2"/>
      <c r="B200" s="2"/>
      <c r="C200" s="2"/>
      <c r="D200" s="2"/>
      <c r="E200" s="25"/>
      <c r="F200" s="25"/>
      <c r="G200" s="2"/>
    </row>
    <row r="201" spans="1:7">
      <c r="A201" s="2"/>
      <c r="B201" s="2"/>
      <c r="C201" s="2"/>
      <c r="D201" s="2"/>
      <c r="E201" s="25"/>
      <c r="F201" s="25"/>
      <c r="G201" s="2"/>
    </row>
    <row r="202" spans="1:7">
      <c r="A202" s="2"/>
      <c r="B202" s="2"/>
      <c r="C202" s="2"/>
      <c r="D202" s="2"/>
      <c r="E202" s="25"/>
      <c r="F202" s="25"/>
      <c r="G202" s="2"/>
    </row>
  </sheetData>
  <mergeCells count="18">
    <mergeCell ref="A97:A101"/>
    <mergeCell ref="B6:B9"/>
    <mergeCell ref="A10:A12"/>
    <mergeCell ref="A13:A16"/>
    <mergeCell ref="A34:A41"/>
    <mergeCell ref="A23:A33"/>
    <mergeCell ref="A17:A22"/>
    <mergeCell ref="A93:A96"/>
    <mergeCell ref="A88:A92"/>
    <mergeCell ref="A83:A87"/>
    <mergeCell ref="A71:A75"/>
    <mergeCell ref="A76:A82"/>
    <mergeCell ref="A3:A4"/>
    <mergeCell ref="A6:A9"/>
    <mergeCell ref="A57:A63"/>
    <mergeCell ref="A64:A70"/>
    <mergeCell ref="A51:A56"/>
    <mergeCell ref="A42:A50"/>
  </mergeCells>
  <phoneticPr fontId="3" type="noConversion"/>
  <dataValidations count="2">
    <dataValidation type="list" errorStyle="warning" allowBlank="1" showInputMessage="1" showErrorMessage="1" errorTitle="유형 선택 오류" error="드롭다운 목록에서 유형을 선택해 주세요." promptTitle="유형 선택 / Select Type" prompt="드롭다운에서 선택하세요_x000a_Select from dropdown" sqref="D3:D73 D76:D77 D79:D80 D82:D87 D89:D96" xr:uid="{5A3F4EB3-D835-49C0-AC7B-084A47C1FBA4}">
      <formula1>"프로모션제안,API 연동 진행,테스트/검증,요금/물량 이슈,라이브 오픈 준비,인증/테스트 완료,매핑/콘텐츠,신규 계약,계약 갱신,이상 없음(No Issue)"</formula1>
    </dataValidation>
    <dataValidation type="list" allowBlank="1" showInputMessage="1" showErrorMessage="1" promptTitle="유형 선택 / Select Type" prompt="드롭다운에서 선택하세요_x000a_Select from dropdown" sqref="D74:D75 D78 D81 D88 D97:D202" xr:uid="{F17B3B77-E468-4EE5-8BB8-87844C2A78DD}">
      <formula1>"API이슈,프로모션제안,요금문제,시스템장애,기타"</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55B35-8FBD-4196-A80F-8E92024B3F54}">
  <sheetPr>
    <tabColor rgb="FFFF0000"/>
  </sheetPr>
  <dimension ref="A1:G206"/>
  <sheetViews>
    <sheetView topLeftCell="A187" workbookViewId="0">
      <selection activeCell="B198" sqref="B198:B206"/>
    </sheetView>
  </sheetViews>
  <sheetFormatPr defaultColWidth="12.875" defaultRowHeight="20.25" customHeight="1"/>
  <cols>
    <col min="1" max="1" width="14.25" style="43" customWidth="1"/>
    <col min="2" max="2" width="12.875" style="43"/>
    <col min="3" max="3" width="17.25" style="43" customWidth="1"/>
    <col min="4" max="4" width="31" style="43" customWidth="1"/>
    <col min="5" max="5" width="41.75" style="43" customWidth="1"/>
    <col min="6" max="6" width="32.875" style="43" customWidth="1"/>
    <col min="7" max="7" width="32.75" style="43" customWidth="1"/>
    <col min="8" max="16384" width="12.875" style="43"/>
  </cols>
  <sheetData>
    <row r="1" spans="1:7" ht="33" customHeight="1">
      <c r="A1" s="24" t="s">
        <v>536</v>
      </c>
      <c r="B1" s="24" t="s">
        <v>537</v>
      </c>
      <c r="C1" s="24" t="s">
        <v>538</v>
      </c>
      <c r="D1" s="24" t="s">
        <v>539</v>
      </c>
      <c r="E1" s="24" t="s">
        <v>540</v>
      </c>
      <c r="F1" s="24" t="s">
        <v>541</v>
      </c>
      <c r="G1" s="24" t="s">
        <v>542</v>
      </c>
    </row>
    <row r="2" spans="1:7" ht="20.25" hidden="1" customHeight="1">
      <c r="A2" s="26" t="s">
        <v>543</v>
      </c>
      <c r="B2" s="26" t="s">
        <v>544</v>
      </c>
      <c r="C2" s="26" t="s">
        <v>545</v>
      </c>
      <c r="D2" s="26" t="s">
        <v>546</v>
      </c>
      <c r="E2" s="26" t="s">
        <v>547</v>
      </c>
      <c r="F2" s="26" t="s">
        <v>548</v>
      </c>
      <c r="G2" s="27"/>
    </row>
    <row r="3" spans="1:7" ht="20.25" hidden="1" customHeight="1">
      <c r="A3" s="28">
        <v>46115</v>
      </c>
      <c r="B3" s="29" t="s">
        <v>292</v>
      </c>
      <c r="C3" s="29" t="s">
        <v>756</v>
      </c>
      <c r="D3" s="29" t="s">
        <v>559</v>
      </c>
      <c r="E3" s="30" t="s">
        <v>757</v>
      </c>
      <c r="F3" s="30" t="s">
        <v>758</v>
      </c>
      <c r="G3" s="31" t="s">
        <v>759</v>
      </c>
    </row>
    <row r="4" spans="1:7" ht="20.25" hidden="1" customHeight="1">
      <c r="A4" s="32">
        <v>46118</v>
      </c>
      <c r="B4" s="33" t="s">
        <v>292</v>
      </c>
      <c r="C4" s="33" t="s">
        <v>760</v>
      </c>
      <c r="D4" s="33" t="s">
        <v>761</v>
      </c>
      <c r="E4" s="34" t="s">
        <v>762</v>
      </c>
      <c r="F4" s="34" t="s">
        <v>763</v>
      </c>
      <c r="G4" s="35"/>
    </row>
    <row r="5" spans="1:7" ht="20.25" hidden="1" customHeight="1">
      <c r="A5" s="437">
        <v>46119</v>
      </c>
      <c r="B5" s="33" t="s">
        <v>292</v>
      </c>
      <c r="C5" s="33" t="s">
        <v>764</v>
      </c>
      <c r="D5" s="33" t="s">
        <v>765</v>
      </c>
      <c r="E5" s="34" t="s">
        <v>766</v>
      </c>
      <c r="F5" s="34" t="s">
        <v>767</v>
      </c>
      <c r="G5" s="35" t="s">
        <v>768</v>
      </c>
    </row>
    <row r="6" spans="1:7" ht="39" hidden="1" customHeight="1">
      <c r="A6" s="429"/>
      <c r="B6" s="33" t="s">
        <v>292</v>
      </c>
      <c r="C6" s="33" t="s">
        <v>379</v>
      </c>
      <c r="D6" s="33" t="s">
        <v>551</v>
      </c>
      <c r="E6" s="34" t="s">
        <v>769</v>
      </c>
      <c r="F6" s="34" t="s">
        <v>770</v>
      </c>
      <c r="G6" s="37" t="s">
        <v>771</v>
      </c>
    </row>
    <row r="7" spans="1:7" ht="20.25" hidden="1" customHeight="1">
      <c r="A7" s="430"/>
      <c r="B7" s="33" t="s">
        <v>292</v>
      </c>
      <c r="C7" s="33" t="s">
        <v>380</v>
      </c>
      <c r="D7" s="33" t="s">
        <v>772</v>
      </c>
      <c r="E7" s="34" t="s">
        <v>773</v>
      </c>
      <c r="F7" s="34" t="s">
        <v>774</v>
      </c>
      <c r="G7" s="35" t="s">
        <v>775</v>
      </c>
    </row>
    <row r="8" spans="1:7" ht="20.25" hidden="1" customHeight="1">
      <c r="A8" s="437">
        <v>46120</v>
      </c>
      <c r="B8" s="33" t="s">
        <v>292</v>
      </c>
      <c r="C8" s="33" t="s">
        <v>381</v>
      </c>
      <c r="D8" s="33" t="s">
        <v>776</v>
      </c>
      <c r="E8" s="34" t="s">
        <v>777</v>
      </c>
      <c r="F8" s="34" t="s">
        <v>778</v>
      </c>
      <c r="G8" s="35" t="s">
        <v>779</v>
      </c>
    </row>
    <row r="9" spans="1:7" ht="20.25" hidden="1" customHeight="1">
      <c r="A9" s="429"/>
      <c r="B9" s="33" t="s">
        <v>292</v>
      </c>
      <c r="C9" s="33" t="s">
        <v>368</v>
      </c>
      <c r="D9" s="33" t="s">
        <v>573</v>
      </c>
      <c r="E9" s="34" t="s">
        <v>780</v>
      </c>
      <c r="F9" s="34" t="s">
        <v>781</v>
      </c>
      <c r="G9" s="35" t="s">
        <v>782</v>
      </c>
    </row>
    <row r="10" spans="1:7" ht="20.25" hidden="1" customHeight="1">
      <c r="A10" s="429"/>
      <c r="B10" s="33" t="s">
        <v>292</v>
      </c>
      <c r="C10" s="33" t="s">
        <v>783</v>
      </c>
      <c r="D10" s="33" t="s">
        <v>784</v>
      </c>
      <c r="E10" s="34" t="s">
        <v>785</v>
      </c>
      <c r="F10" s="34" t="s">
        <v>786</v>
      </c>
      <c r="G10" s="35" t="s">
        <v>787</v>
      </c>
    </row>
    <row r="11" spans="1:7" ht="20.25" hidden="1" customHeight="1">
      <c r="A11" s="429"/>
      <c r="B11" s="33" t="s">
        <v>292</v>
      </c>
      <c r="C11" s="33" t="s">
        <v>330</v>
      </c>
      <c r="D11" s="33" t="s">
        <v>710</v>
      </c>
      <c r="E11" s="34" t="s">
        <v>788</v>
      </c>
      <c r="F11" s="34" t="s">
        <v>789</v>
      </c>
      <c r="G11" s="35" t="s">
        <v>790</v>
      </c>
    </row>
    <row r="12" spans="1:7" ht="20.25" hidden="1" customHeight="1">
      <c r="A12" s="430"/>
      <c r="B12" s="33" t="s">
        <v>292</v>
      </c>
      <c r="C12" s="33" t="s">
        <v>791</v>
      </c>
      <c r="D12" s="33" t="s">
        <v>784</v>
      </c>
      <c r="E12" s="34" t="s">
        <v>792</v>
      </c>
      <c r="F12" s="34" t="s">
        <v>793</v>
      </c>
      <c r="G12" s="35"/>
    </row>
    <row r="13" spans="1:7" ht="20.25" hidden="1" customHeight="1">
      <c r="A13" s="446" t="s">
        <v>794</v>
      </c>
      <c r="B13" s="443" t="s">
        <v>292</v>
      </c>
      <c r="C13" s="33" t="s">
        <v>336</v>
      </c>
      <c r="D13" s="29" t="s">
        <v>710</v>
      </c>
      <c r="E13" s="34" t="s">
        <v>795</v>
      </c>
      <c r="F13" s="34" t="s">
        <v>796</v>
      </c>
      <c r="G13" s="35"/>
    </row>
    <row r="14" spans="1:7" ht="20.25" hidden="1" customHeight="1">
      <c r="A14" s="447"/>
      <c r="B14" s="444"/>
      <c r="C14" s="33" t="s">
        <v>764</v>
      </c>
      <c r="D14" s="29" t="s">
        <v>551</v>
      </c>
      <c r="E14" s="34" t="s">
        <v>797</v>
      </c>
      <c r="F14" s="34" t="s">
        <v>798</v>
      </c>
      <c r="G14" s="35"/>
    </row>
    <row r="15" spans="1:7" ht="20.25" hidden="1" customHeight="1">
      <c r="A15" s="447"/>
      <c r="B15" s="444"/>
      <c r="C15" s="33" t="s">
        <v>349</v>
      </c>
      <c r="D15" s="29" t="s">
        <v>710</v>
      </c>
      <c r="E15" s="34" t="s">
        <v>799</v>
      </c>
      <c r="F15" s="34" t="s">
        <v>800</v>
      </c>
      <c r="G15" s="35"/>
    </row>
    <row r="16" spans="1:7" ht="20.25" hidden="1" customHeight="1">
      <c r="A16" s="447"/>
      <c r="B16" s="444"/>
      <c r="C16" s="33" t="s">
        <v>801</v>
      </c>
      <c r="D16" s="29" t="s">
        <v>581</v>
      </c>
      <c r="E16" s="34" t="s">
        <v>802</v>
      </c>
      <c r="F16" s="34" t="s">
        <v>803</v>
      </c>
      <c r="G16" s="35"/>
    </row>
    <row r="17" spans="1:7" ht="20.25" hidden="1" customHeight="1">
      <c r="A17" s="447"/>
      <c r="B17" s="444"/>
      <c r="C17" s="33" t="s">
        <v>380</v>
      </c>
      <c r="D17" s="29" t="s">
        <v>772</v>
      </c>
      <c r="E17" s="34" t="s">
        <v>804</v>
      </c>
      <c r="F17" s="34" t="s">
        <v>805</v>
      </c>
      <c r="G17" s="35"/>
    </row>
    <row r="18" spans="1:7" ht="20.25" hidden="1" customHeight="1">
      <c r="A18" s="447"/>
      <c r="B18" s="444"/>
      <c r="C18" s="33" t="s">
        <v>319</v>
      </c>
      <c r="D18" s="29" t="s">
        <v>761</v>
      </c>
      <c r="E18" s="34" t="s">
        <v>806</v>
      </c>
      <c r="F18" s="34" t="s">
        <v>807</v>
      </c>
      <c r="G18" s="35"/>
    </row>
    <row r="19" spans="1:7" ht="20.25" hidden="1" customHeight="1">
      <c r="A19" s="447"/>
      <c r="B19" s="444"/>
      <c r="C19" s="33" t="s">
        <v>791</v>
      </c>
      <c r="D19" s="29" t="s">
        <v>551</v>
      </c>
      <c r="E19" s="34" t="s">
        <v>808</v>
      </c>
      <c r="F19" s="34" t="s">
        <v>809</v>
      </c>
      <c r="G19" s="35"/>
    </row>
    <row r="20" spans="1:7" ht="20.25" hidden="1" customHeight="1">
      <c r="A20" s="447"/>
      <c r="B20" s="444"/>
      <c r="C20" s="33" t="s">
        <v>388</v>
      </c>
      <c r="D20" s="29" t="s">
        <v>551</v>
      </c>
      <c r="E20" s="34" t="s">
        <v>810</v>
      </c>
      <c r="F20" s="34" t="s">
        <v>811</v>
      </c>
      <c r="G20" s="35"/>
    </row>
    <row r="21" spans="1:7" ht="38.25" hidden="1" customHeight="1">
      <c r="A21" s="447"/>
      <c r="B21" s="444"/>
      <c r="C21" s="33" t="s">
        <v>379</v>
      </c>
      <c r="D21" s="29" t="s">
        <v>551</v>
      </c>
      <c r="E21" s="34" t="s">
        <v>812</v>
      </c>
      <c r="F21" s="34" t="s">
        <v>813</v>
      </c>
      <c r="G21" s="37" t="s">
        <v>814</v>
      </c>
    </row>
    <row r="22" spans="1:7" ht="20.25" hidden="1" customHeight="1">
      <c r="A22" s="447"/>
      <c r="B22" s="444"/>
      <c r="C22" s="33" t="s">
        <v>387</v>
      </c>
      <c r="D22" s="29" t="s">
        <v>815</v>
      </c>
      <c r="E22" s="34" t="s">
        <v>816</v>
      </c>
      <c r="F22" s="34" t="s">
        <v>817</v>
      </c>
      <c r="G22" s="35"/>
    </row>
    <row r="23" spans="1:7" ht="20.25" hidden="1" customHeight="1">
      <c r="A23" s="447"/>
      <c r="B23" s="444"/>
      <c r="C23" s="33" t="s">
        <v>818</v>
      </c>
      <c r="D23" s="33" t="s">
        <v>564</v>
      </c>
      <c r="E23" s="34" t="s">
        <v>802</v>
      </c>
      <c r="F23" s="34" t="s">
        <v>803</v>
      </c>
      <c r="G23" s="35"/>
    </row>
    <row r="24" spans="1:7" ht="51.75" hidden="1" customHeight="1">
      <c r="A24" s="448"/>
      <c r="B24" s="445"/>
      <c r="C24" s="33" t="s">
        <v>819</v>
      </c>
      <c r="D24" s="29" t="s">
        <v>710</v>
      </c>
      <c r="E24" s="34" t="s">
        <v>820</v>
      </c>
      <c r="F24" s="34" t="s">
        <v>821</v>
      </c>
      <c r="G24" s="37" t="s">
        <v>822</v>
      </c>
    </row>
    <row r="25" spans="1:7" ht="63.75" hidden="1" customHeight="1">
      <c r="A25" s="451" t="s">
        <v>823</v>
      </c>
      <c r="B25" s="451" t="s">
        <v>292</v>
      </c>
      <c r="C25" s="33" t="s">
        <v>824</v>
      </c>
      <c r="D25" s="29" t="s">
        <v>551</v>
      </c>
      <c r="E25" s="34" t="s">
        <v>825</v>
      </c>
      <c r="F25" s="34" t="s">
        <v>826</v>
      </c>
      <c r="G25" s="35"/>
    </row>
    <row r="26" spans="1:7" ht="49.5" hidden="1" customHeight="1">
      <c r="A26" s="440"/>
      <c r="B26" s="440"/>
      <c r="C26" s="33" t="s">
        <v>387</v>
      </c>
      <c r="D26" s="29" t="s">
        <v>815</v>
      </c>
      <c r="E26" s="34" t="s">
        <v>827</v>
      </c>
      <c r="F26" s="34" t="s">
        <v>828</v>
      </c>
      <c r="G26" s="35"/>
    </row>
    <row r="27" spans="1:7" ht="33" hidden="1" customHeight="1">
      <c r="A27" s="440"/>
      <c r="B27" s="440"/>
      <c r="C27" s="33" t="s">
        <v>829</v>
      </c>
      <c r="D27" s="29" t="s">
        <v>710</v>
      </c>
      <c r="E27" s="34" t="s">
        <v>830</v>
      </c>
      <c r="F27" s="34" t="s">
        <v>831</v>
      </c>
      <c r="G27" s="35"/>
    </row>
    <row r="28" spans="1:7" ht="35.25" hidden="1" customHeight="1">
      <c r="A28" s="440"/>
      <c r="B28" s="440"/>
      <c r="C28" s="33" t="s">
        <v>380</v>
      </c>
      <c r="D28" s="29" t="s">
        <v>772</v>
      </c>
      <c r="E28" s="34" t="s">
        <v>832</v>
      </c>
      <c r="F28" s="34" t="s">
        <v>833</v>
      </c>
      <c r="G28" s="35"/>
    </row>
    <row r="29" spans="1:7" ht="33.75" hidden="1" customHeight="1">
      <c r="A29" s="440"/>
      <c r="B29" s="440"/>
      <c r="C29" s="33" t="s">
        <v>834</v>
      </c>
      <c r="D29" s="29" t="s">
        <v>564</v>
      </c>
      <c r="E29" s="34" t="s">
        <v>835</v>
      </c>
      <c r="F29" s="34" t="s">
        <v>836</v>
      </c>
      <c r="G29" s="35"/>
    </row>
    <row r="30" spans="1:7" ht="20.25" hidden="1" customHeight="1">
      <c r="A30" s="440"/>
      <c r="B30" s="440"/>
      <c r="C30" s="33" t="s">
        <v>336</v>
      </c>
      <c r="D30" s="29" t="s">
        <v>761</v>
      </c>
      <c r="E30" s="34" t="s">
        <v>837</v>
      </c>
      <c r="F30" s="34" t="s">
        <v>838</v>
      </c>
      <c r="G30" s="35"/>
    </row>
    <row r="31" spans="1:7" ht="56.25" hidden="1" customHeight="1">
      <c r="A31" s="440"/>
      <c r="B31" s="440"/>
      <c r="C31" s="33" t="s">
        <v>839</v>
      </c>
      <c r="D31" s="29" t="s">
        <v>815</v>
      </c>
      <c r="E31" s="34" t="s">
        <v>840</v>
      </c>
      <c r="F31" s="34" t="s">
        <v>841</v>
      </c>
      <c r="G31" s="35"/>
    </row>
    <row r="32" spans="1:7" ht="48" hidden="1" customHeight="1">
      <c r="A32" s="440"/>
      <c r="B32" s="440"/>
      <c r="C32" s="33" t="s">
        <v>839</v>
      </c>
      <c r="D32" s="29" t="s">
        <v>551</v>
      </c>
      <c r="E32" s="34" t="s">
        <v>842</v>
      </c>
      <c r="F32" s="34" t="s">
        <v>843</v>
      </c>
      <c r="G32" s="35"/>
    </row>
    <row r="33" spans="1:7" ht="20.25" hidden="1" customHeight="1">
      <c r="A33" s="440"/>
      <c r="B33" s="440"/>
      <c r="C33" s="33" t="s">
        <v>791</v>
      </c>
      <c r="D33" s="29" t="s">
        <v>710</v>
      </c>
      <c r="E33" s="34" t="s">
        <v>844</v>
      </c>
      <c r="F33" s="34" t="s">
        <v>845</v>
      </c>
      <c r="G33" s="35"/>
    </row>
    <row r="34" spans="1:7" ht="20.25" hidden="1" customHeight="1">
      <c r="A34" s="440"/>
      <c r="B34" s="440"/>
      <c r="C34" s="33" t="s">
        <v>834</v>
      </c>
      <c r="D34" s="29" t="s">
        <v>564</v>
      </c>
      <c r="E34" s="34" t="s">
        <v>846</v>
      </c>
      <c r="F34" s="34" t="s">
        <v>847</v>
      </c>
      <c r="G34" s="35"/>
    </row>
    <row r="35" spans="1:7" ht="38.25" hidden="1" customHeight="1">
      <c r="A35" s="440"/>
      <c r="B35" s="440"/>
      <c r="C35" s="33" t="s">
        <v>368</v>
      </c>
      <c r="D35" s="29" t="s">
        <v>551</v>
      </c>
      <c r="E35" s="34" t="s">
        <v>848</v>
      </c>
      <c r="F35" s="34" t="s">
        <v>847</v>
      </c>
      <c r="G35" s="37" t="s">
        <v>849</v>
      </c>
    </row>
    <row r="36" spans="1:7" ht="20.25" hidden="1" customHeight="1">
      <c r="A36" s="440"/>
      <c r="B36" s="440"/>
      <c r="C36" s="33" t="s">
        <v>850</v>
      </c>
      <c r="D36" s="29" t="s">
        <v>710</v>
      </c>
      <c r="E36" s="34" t="s">
        <v>851</v>
      </c>
      <c r="F36" s="34"/>
      <c r="G36" s="35"/>
    </row>
    <row r="37" spans="1:7" ht="20.25" hidden="1" customHeight="1">
      <c r="A37" s="440"/>
      <c r="B37" s="440"/>
      <c r="C37" s="33" t="s">
        <v>386</v>
      </c>
      <c r="D37" s="29" t="s">
        <v>564</v>
      </c>
      <c r="E37" s="34" t="s">
        <v>852</v>
      </c>
      <c r="F37" s="34" t="s">
        <v>853</v>
      </c>
      <c r="G37" s="35"/>
    </row>
    <row r="38" spans="1:7" ht="74.25" hidden="1" customHeight="1">
      <c r="A38" s="440"/>
      <c r="B38" s="440"/>
      <c r="C38" s="33" t="s">
        <v>839</v>
      </c>
      <c r="D38" s="29" t="s">
        <v>551</v>
      </c>
      <c r="E38" s="34" t="s">
        <v>854</v>
      </c>
      <c r="F38" s="34" t="s">
        <v>855</v>
      </c>
      <c r="G38" s="37" t="s">
        <v>856</v>
      </c>
    </row>
    <row r="39" spans="1:7" ht="35.25" hidden="1" customHeight="1">
      <c r="A39" s="440"/>
      <c r="B39" s="440"/>
      <c r="C39" s="33" t="s">
        <v>380</v>
      </c>
      <c r="D39" s="29" t="s">
        <v>573</v>
      </c>
      <c r="E39" s="34" t="s">
        <v>857</v>
      </c>
      <c r="F39" s="34" t="s">
        <v>858</v>
      </c>
      <c r="G39" s="35" t="s">
        <v>859</v>
      </c>
    </row>
    <row r="40" spans="1:7" ht="88.5" hidden="1" customHeight="1">
      <c r="A40" s="440"/>
      <c r="B40" s="440"/>
      <c r="C40" s="33" t="s">
        <v>322</v>
      </c>
      <c r="D40" s="29" t="s">
        <v>710</v>
      </c>
      <c r="E40" s="34" t="s">
        <v>860</v>
      </c>
      <c r="F40" s="34" t="s">
        <v>861</v>
      </c>
      <c r="G40" s="35"/>
    </row>
    <row r="41" spans="1:7" ht="20.25" hidden="1" customHeight="1">
      <c r="A41" s="440"/>
      <c r="B41" s="440"/>
      <c r="C41" s="41" t="s">
        <v>378</v>
      </c>
      <c r="D41" s="29" t="s">
        <v>710</v>
      </c>
      <c r="E41" s="38" t="s">
        <v>862</v>
      </c>
      <c r="F41" s="79" t="s">
        <v>863</v>
      </c>
      <c r="G41" s="42"/>
    </row>
    <row r="42" spans="1:7" ht="20.25" hidden="1" customHeight="1">
      <c r="A42" s="440"/>
      <c r="B42" s="440"/>
      <c r="C42" s="2" t="s">
        <v>864</v>
      </c>
      <c r="D42" s="29" t="s">
        <v>710</v>
      </c>
      <c r="E42" s="25" t="s">
        <v>865</v>
      </c>
      <c r="F42" s="78" t="s">
        <v>866</v>
      </c>
      <c r="G42" s="2"/>
    </row>
    <row r="43" spans="1:7" ht="20.25" hidden="1" customHeight="1">
      <c r="A43" s="440"/>
      <c r="B43" s="440"/>
      <c r="C43" s="2" t="s">
        <v>367</v>
      </c>
      <c r="D43" s="29" t="s">
        <v>815</v>
      </c>
      <c r="E43" s="25" t="s">
        <v>867</v>
      </c>
      <c r="F43" s="25" t="s">
        <v>868</v>
      </c>
      <c r="G43" s="2"/>
    </row>
    <row r="44" spans="1:7" ht="20.25" hidden="1" customHeight="1">
      <c r="A44" s="449" t="s">
        <v>869</v>
      </c>
      <c r="B44" s="440" t="s">
        <v>292</v>
      </c>
      <c r="C44" s="2" t="s">
        <v>378</v>
      </c>
      <c r="D44" s="29" t="s">
        <v>761</v>
      </c>
      <c r="E44" s="25" t="s">
        <v>870</v>
      </c>
      <c r="F44" s="25" t="s">
        <v>871</v>
      </c>
      <c r="G44" s="2"/>
    </row>
    <row r="45" spans="1:7" ht="30.75" hidden="1" customHeight="1">
      <c r="A45" s="450"/>
      <c r="B45" s="440"/>
      <c r="C45" s="2" t="s">
        <v>380</v>
      </c>
      <c r="D45" s="29" t="s">
        <v>573</v>
      </c>
      <c r="E45" s="25" t="s">
        <v>872</v>
      </c>
      <c r="F45" s="25" t="s">
        <v>873</v>
      </c>
      <c r="G45" s="2"/>
    </row>
    <row r="46" spans="1:7" ht="66" hidden="1" customHeight="1">
      <c r="A46" s="450"/>
      <c r="B46" s="440"/>
      <c r="C46" s="2" t="s">
        <v>394</v>
      </c>
      <c r="D46" s="29" t="s">
        <v>815</v>
      </c>
      <c r="E46" s="25" t="s">
        <v>874</v>
      </c>
      <c r="F46" s="25" t="s">
        <v>875</v>
      </c>
      <c r="G46" s="25" t="s">
        <v>876</v>
      </c>
    </row>
    <row r="47" spans="1:7" ht="33" hidden="1" customHeight="1">
      <c r="A47" s="450"/>
      <c r="B47" s="440"/>
      <c r="C47" s="2" t="s">
        <v>289</v>
      </c>
      <c r="D47" s="29" t="s">
        <v>761</v>
      </c>
      <c r="E47" s="25" t="s">
        <v>877</v>
      </c>
      <c r="F47" s="25" t="s">
        <v>878</v>
      </c>
      <c r="G47" s="2"/>
    </row>
    <row r="48" spans="1:7" ht="20.25" hidden="1" customHeight="1">
      <c r="A48" s="450"/>
      <c r="B48" s="440"/>
      <c r="C48" s="2" t="s">
        <v>879</v>
      </c>
      <c r="D48" s="29" t="s">
        <v>710</v>
      </c>
      <c r="E48" s="25" t="s">
        <v>880</v>
      </c>
      <c r="F48" s="25" t="s">
        <v>881</v>
      </c>
      <c r="G48" s="2"/>
    </row>
    <row r="49" spans="1:7" ht="20.25" hidden="1" customHeight="1">
      <c r="A49" s="450"/>
      <c r="B49" s="440"/>
      <c r="C49" s="2" t="s">
        <v>319</v>
      </c>
      <c r="D49" s="29" t="s">
        <v>761</v>
      </c>
      <c r="E49" s="25" t="s">
        <v>882</v>
      </c>
      <c r="F49" s="25" t="s">
        <v>883</v>
      </c>
      <c r="G49" s="2" t="s">
        <v>884</v>
      </c>
    </row>
    <row r="50" spans="1:7" ht="20.25" hidden="1" customHeight="1">
      <c r="A50" s="450"/>
      <c r="B50" s="440"/>
      <c r="C50" s="2" t="s">
        <v>756</v>
      </c>
      <c r="D50" s="29" t="s">
        <v>581</v>
      </c>
      <c r="E50" s="25" t="s">
        <v>885</v>
      </c>
      <c r="F50" s="25" t="s">
        <v>886</v>
      </c>
      <c r="G50" s="2" t="s">
        <v>887</v>
      </c>
    </row>
    <row r="51" spans="1:7" ht="53.25" hidden="1" customHeight="1">
      <c r="A51" s="450"/>
      <c r="B51" s="440"/>
      <c r="C51" s="2" t="s">
        <v>388</v>
      </c>
      <c r="D51" s="29" t="s">
        <v>581</v>
      </c>
      <c r="E51" s="25" t="s">
        <v>888</v>
      </c>
      <c r="F51" s="25" t="s">
        <v>889</v>
      </c>
      <c r="G51" s="2" t="s">
        <v>887</v>
      </c>
    </row>
    <row r="52" spans="1:7" ht="66.75" hidden="1" customHeight="1">
      <c r="A52" s="450"/>
      <c r="B52" s="440"/>
      <c r="C52" s="2" t="s">
        <v>383</v>
      </c>
      <c r="D52" s="29" t="s">
        <v>581</v>
      </c>
      <c r="E52" s="25" t="s">
        <v>888</v>
      </c>
      <c r="F52" s="25" t="s">
        <v>889</v>
      </c>
      <c r="G52" s="2" t="s">
        <v>887</v>
      </c>
    </row>
    <row r="53" spans="1:7" ht="66.75" hidden="1" customHeight="1">
      <c r="A53" s="450"/>
      <c r="B53" s="440"/>
      <c r="C53" s="2" t="s">
        <v>839</v>
      </c>
      <c r="D53" s="29" t="s">
        <v>581</v>
      </c>
      <c r="E53" s="25" t="s">
        <v>888</v>
      </c>
      <c r="F53" s="25" t="s">
        <v>890</v>
      </c>
      <c r="G53" s="2"/>
    </row>
    <row r="54" spans="1:7" ht="20.25" hidden="1" customHeight="1">
      <c r="A54" s="450"/>
      <c r="B54" s="440"/>
      <c r="C54" s="2" t="s">
        <v>472</v>
      </c>
      <c r="D54" s="29" t="s">
        <v>564</v>
      </c>
      <c r="E54" s="25" t="s">
        <v>891</v>
      </c>
      <c r="F54" s="25" t="s">
        <v>892</v>
      </c>
      <c r="G54" s="2"/>
    </row>
    <row r="55" spans="1:7" ht="20.25" hidden="1" customHeight="1">
      <c r="A55" s="450"/>
      <c r="B55" s="440"/>
      <c r="C55" s="2" t="s">
        <v>819</v>
      </c>
      <c r="D55" s="29" t="s">
        <v>710</v>
      </c>
      <c r="E55" s="25" t="s">
        <v>893</v>
      </c>
      <c r="F55" s="25" t="s">
        <v>894</v>
      </c>
      <c r="G55" s="2"/>
    </row>
    <row r="56" spans="1:7" ht="20.25" hidden="1" customHeight="1">
      <c r="A56" s="450"/>
      <c r="B56" s="440"/>
      <c r="C56" s="2" t="s">
        <v>895</v>
      </c>
      <c r="D56" s="29" t="s">
        <v>710</v>
      </c>
      <c r="E56" s="25" t="s">
        <v>896</v>
      </c>
      <c r="F56" s="25" t="s">
        <v>897</v>
      </c>
      <c r="G56" s="2"/>
    </row>
    <row r="57" spans="1:7" ht="56.25" hidden="1" customHeight="1">
      <c r="A57" s="450"/>
      <c r="B57" s="440"/>
      <c r="C57" s="2" t="s">
        <v>791</v>
      </c>
      <c r="D57" s="29" t="s">
        <v>784</v>
      </c>
      <c r="E57" s="25" t="s">
        <v>898</v>
      </c>
      <c r="F57" s="25" t="s">
        <v>899</v>
      </c>
      <c r="G57" s="25" t="s">
        <v>900</v>
      </c>
    </row>
    <row r="58" spans="1:7" ht="20.25" customHeight="1">
      <c r="A58" s="440" t="s">
        <v>901</v>
      </c>
      <c r="B58" s="440" t="s">
        <v>292</v>
      </c>
      <c r="C58" s="2" t="s">
        <v>378</v>
      </c>
      <c r="D58" s="29" t="s">
        <v>710</v>
      </c>
      <c r="E58" s="25" t="s">
        <v>902</v>
      </c>
      <c r="F58" s="25" t="s">
        <v>903</v>
      </c>
      <c r="G58" s="2"/>
    </row>
    <row r="59" spans="1:7" ht="20.25" customHeight="1">
      <c r="A59" s="440"/>
      <c r="B59" s="440"/>
      <c r="C59" s="2" t="s">
        <v>904</v>
      </c>
      <c r="D59" s="29" t="s">
        <v>564</v>
      </c>
      <c r="E59" s="25" t="s">
        <v>905</v>
      </c>
      <c r="F59" s="25" t="s">
        <v>906</v>
      </c>
      <c r="G59" s="2"/>
    </row>
    <row r="60" spans="1:7" ht="20.25" customHeight="1">
      <c r="A60" s="440"/>
      <c r="B60" s="440"/>
      <c r="C60" s="2" t="s">
        <v>388</v>
      </c>
      <c r="D60" s="29" t="s">
        <v>815</v>
      </c>
      <c r="E60" s="25" t="s">
        <v>907</v>
      </c>
      <c r="F60" s="25" t="s">
        <v>908</v>
      </c>
      <c r="G60" s="2"/>
    </row>
    <row r="61" spans="1:7" ht="20.25" customHeight="1">
      <c r="A61" s="440"/>
      <c r="B61" s="440"/>
      <c r="C61" s="2" t="s">
        <v>336</v>
      </c>
      <c r="D61" s="29" t="s">
        <v>710</v>
      </c>
      <c r="E61" s="25" t="s">
        <v>909</v>
      </c>
      <c r="F61" s="25" t="s">
        <v>910</v>
      </c>
      <c r="G61" s="25" t="s">
        <v>911</v>
      </c>
    </row>
    <row r="62" spans="1:7" ht="20.25" customHeight="1">
      <c r="A62" s="440"/>
      <c r="B62" s="440"/>
      <c r="C62" s="2" t="s">
        <v>368</v>
      </c>
      <c r="D62" s="29" t="s">
        <v>573</v>
      </c>
      <c r="E62" s="25" t="s">
        <v>912</v>
      </c>
      <c r="F62" s="25" t="s">
        <v>913</v>
      </c>
      <c r="G62" s="2"/>
    </row>
    <row r="63" spans="1:7" ht="34.5" customHeight="1">
      <c r="A63" s="440"/>
      <c r="B63" s="440"/>
      <c r="C63" s="2" t="s">
        <v>368</v>
      </c>
      <c r="D63" s="29" t="s">
        <v>564</v>
      </c>
      <c r="E63" s="107" t="s">
        <v>914</v>
      </c>
      <c r="F63" s="107" t="s">
        <v>915</v>
      </c>
      <c r="G63" s="2"/>
    </row>
    <row r="64" spans="1:7" ht="53.25" customHeight="1">
      <c r="A64" s="440"/>
      <c r="B64" s="440"/>
      <c r="C64" s="2" t="s">
        <v>380</v>
      </c>
      <c r="D64" s="29" t="s">
        <v>564</v>
      </c>
      <c r="E64" s="25" t="s">
        <v>916</v>
      </c>
      <c r="F64" s="25" t="s">
        <v>917</v>
      </c>
      <c r="G64" s="25" t="s">
        <v>918</v>
      </c>
    </row>
    <row r="65" spans="1:7" ht="30.75" customHeight="1">
      <c r="A65" s="440"/>
      <c r="B65" s="440"/>
      <c r="C65" s="2" t="s">
        <v>472</v>
      </c>
      <c r="D65" s="29" t="s">
        <v>573</v>
      </c>
      <c r="E65" s="25" t="s">
        <v>919</v>
      </c>
      <c r="F65" s="25" t="s">
        <v>920</v>
      </c>
      <c r="G65" s="2"/>
    </row>
    <row r="66" spans="1:7" ht="30.75" customHeight="1">
      <c r="A66" s="440"/>
      <c r="B66" s="440"/>
      <c r="C66" s="2" t="s">
        <v>472</v>
      </c>
      <c r="D66" s="29" t="s">
        <v>564</v>
      </c>
      <c r="E66" s="25" t="s">
        <v>921</v>
      </c>
      <c r="F66" s="25" t="s">
        <v>922</v>
      </c>
      <c r="G66" s="2"/>
    </row>
    <row r="67" spans="1:7" ht="20.25" customHeight="1">
      <c r="A67" s="440"/>
      <c r="B67" s="440"/>
      <c r="C67" s="2" t="s">
        <v>864</v>
      </c>
      <c r="D67" s="29" t="s">
        <v>710</v>
      </c>
      <c r="E67" s="25" t="s">
        <v>923</v>
      </c>
      <c r="F67" s="25" t="s">
        <v>924</v>
      </c>
      <c r="G67" s="2"/>
    </row>
    <row r="68" spans="1:7" ht="20.25" customHeight="1">
      <c r="A68" s="440"/>
      <c r="B68" s="440"/>
      <c r="C68" s="2" t="s">
        <v>289</v>
      </c>
      <c r="D68" s="29" t="s">
        <v>710</v>
      </c>
      <c r="E68" s="25" t="s">
        <v>923</v>
      </c>
      <c r="F68" s="25" t="s">
        <v>925</v>
      </c>
      <c r="G68" s="2"/>
    </row>
    <row r="69" spans="1:7" ht="28.5" customHeight="1">
      <c r="A69" s="440"/>
      <c r="B69" s="440"/>
      <c r="C69" s="2" t="s">
        <v>387</v>
      </c>
      <c r="D69" s="29" t="s">
        <v>815</v>
      </c>
      <c r="E69" s="25" t="s">
        <v>926</v>
      </c>
      <c r="F69" s="25" t="s">
        <v>927</v>
      </c>
      <c r="G69" s="2"/>
    </row>
    <row r="70" spans="1:7" ht="50.25" customHeight="1">
      <c r="A70" s="440"/>
      <c r="B70" s="440"/>
      <c r="C70" s="2" t="s">
        <v>834</v>
      </c>
      <c r="D70" s="29" t="s">
        <v>564</v>
      </c>
      <c r="E70" s="25" t="s">
        <v>928</v>
      </c>
      <c r="F70" s="25" t="s">
        <v>929</v>
      </c>
      <c r="G70" s="25" t="s">
        <v>930</v>
      </c>
    </row>
    <row r="71" spans="1:7" ht="20.25" customHeight="1">
      <c r="A71" s="452" t="s">
        <v>931</v>
      </c>
      <c r="B71" s="442" t="s">
        <v>932</v>
      </c>
      <c r="C71" s="2" t="s">
        <v>933</v>
      </c>
      <c r="D71" s="29" t="s">
        <v>564</v>
      </c>
      <c r="E71" s="25" t="s">
        <v>934</v>
      </c>
      <c r="F71" s="25" t="s">
        <v>935</v>
      </c>
      <c r="G71" s="2"/>
    </row>
    <row r="72" spans="1:7" ht="20.25" customHeight="1">
      <c r="A72" s="452"/>
      <c r="B72" s="442"/>
      <c r="C72" s="2" t="s">
        <v>472</v>
      </c>
      <c r="D72" s="29" t="s">
        <v>573</v>
      </c>
      <c r="E72" s="25" t="s">
        <v>919</v>
      </c>
      <c r="F72" s="25" t="s">
        <v>936</v>
      </c>
      <c r="G72" s="2"/>
    </row>
    <row r="73" spans="1:7" ht="20.25" customHeight="1">
      <c r="A73" s="452"/>
      <c r="B73" s="442"/>
      <c r="C73" s="2" t="s">
        <v>472</v>
      </c>
      <c r="D73" s="29" t="s">
        <v>573</v>
      </c>
      <c r="E73" s="25" t="s">
        <v>937</v>
      </c>
      <c r="F73" s="25" t="s">
        <v>938</v>
      </c>
      <c r="G73" s="2"/>
    </row>
    <row r="74" spans="1:7" ht="20.25" customHeight="1">
      <c r="A74" s="452"/>
      <c r="B74" s="442"/>
      <c r="C74" s="2" t="s">
        <v>368</v>
      </c>
      <c r="D74" s="29" t="s">
        <v>564</v>
      </c>
      <c r="E74" s="25" t="s">
        <v>939</v>
      </c>
      <c r="F74" s="25" t="s">
        <v>940</v>
      </c>
      <c r="G74" s="2" t="s">
        <v>941</v>
      </c>
    </row>
    <row r="75" spans="1:7" ht="20.25" customHeight="1">
      <c r="A75" s="452"/>
      <c r="B75" s="442"/>
      <c r="C75" s="2" t="s">
        <v>791</v>
      </c>
      <c r="D75" s="29" t="s">
        <v>815</v>
      </c>
      <c r="E75" s="25" t="s">
        <v>942</v>
      </c>
      <c r="F75" s="25" t="s">
        <v>943</v>
      </c>
      <c r="G75" s="2"/>
    </row>
    <row r="76" spans="1:7" ht="20.25" customHeight="1">
      <c r="A76" s="452"/>
      <c r="B76" s="442"/>
      <c r="C76" s="2" t="s">
        <v>791</v>
      </c>
      <c r="D76" s="29" t="s">
        <v>815</v>
      </c>
      <c r="E76" s="25" t="s">
        <v>944</v>
      </c>
      <c r="F76" s="25" t="s">
        <v>945</v>
      </c>
      <c r="G76" s="2" t="s">
        <v>946</v>
      </c>
    </row>
    <row r="77" spans="1:7" ht="20.25" customHeight="1">
      <c r="A77" s="452"/>
      <c r="B77" s="442"/>
      <c r="C77" s="2" t="s">
        <v>388</v>
      </c>
      <c r="D77" s="29" t="s">
        <v>815</v>
      </c>
      <c r="E77" s="25" t="s">
        <v>947</v>
      </c>
      <c r="F77" s="25" t="s">
        <v>948</v>
      </c>
      <c r="G77" s="2"/>
    </row>
    <row r="78" spans="1:7" ht="20.25" customHeight="1">
      <c r="A78" s="452"/>
      <c r="B78" s="442"/>
      <c r="C78" s="2" t="s">
        <v>378</v>
      </c>
      <c r="D78" s="29" t="s">
        <v>772</v>
      </c>
      <c r="E78" s="25" t="s">
        <v>949</v>
      </c>
      <c r="F78" s="25" t="s">
        <v>950</v>
      </c>
      <c r="G78" s="2" t="s">
        <v>951</v>
      </c>
    </row>
    <row r="79" spans="1:7" ht="20.25" customHeight="1">
      <c r="A79" s="452"/>
      <c r="B79" s="442"/>
      <c r="C79" s="2" t="s">
        <v>952</v>
      </c>
      <c r="D79" s="29" t="s">
        <v>564</v>
      </c>
      <c r="E79" s="25" t="s">
        <v>953</v>
      </c>
      <c r="F79" s="25" t="s">
        <v>954</v>
      </c>
      <c r="G79" s="2" t="s">
        <v>955</v>
      </c>
    </row>
    <row r="80" spans="1:7" ht="20.25" customHeight="1">
      <c r="A80" s="452"/>
      <c r="B80" s="442"/>
      <c r="C80" s="2" t="s">
        <v>387</v>
      </c>
      <c r="D80" s="29" t="s">
        <v>564</v>
      </c>
      <c r="E80" s="25" t="s">
        <v>956</v>
      </c>
      <c r="F80" s="25" t="s">
        <v>957</v>
      </c>
      <c r="G80" s="2" t="s">
        <v>958</v>
      </c>
    </row>
    <row r="81" spans="1:7" ht="20.25" customHeight="1">
      <c r="A81" s="452"/>
      <c r="B81" s="442"/>
      <c r="C81" s="2" t="s">
        <v>381</v>
      </c>
      <c r="D81" s="29" t="s">
        <v>564</v>
      </c>
      <c r="E81" s="25" t="s">
        <v>959</v>
      </c>
      <c r="F81" s="25" t="s">
        <v>960</v>
      </c>
      <c r="G81" s="2" t="s">
        <v>961</v>
      </c>
    </row>
    <row r="82" spans="1:7" ht="20.25" customHeight="1">
      <c r="A82" s="440" t="s">
        <v>962</v>
      </c>
      <c r="B82" s="442" t="s">
        <v>932</v>
      </c>
      <c r="C82" s="2" t="s">
        <v>963</v>
      </c>
      <c r="D82" s="29" t="s">
        <v>765</v>
      </c>
      <c r="E82" s="25" t="s">
        <v>964</v>
      </c>
      <c r="F82" s="25" t="s">
        <v>965</v>
      </c>
      <c r="G82" s="2" t="s">
        <v>966</v>
      </c>
    </row>
    <row r="83" spans="1:7" ht="20.25" customHeight="1">
      <c r="A83" s="440"/>
      <c r="B83" s="442"/>
      <c r="C83" s="2" t="s">
        <v>368</v>
      </c>
      <c r="D83" s="29" t="s">
        <v>559</v>
      </c>
      <c r="E83" s="25" t="s">
        <v>967</v>
      </c>
      <c r="F83" s="25" t="s">
        <v>968</v>
      </c>
      <c r="G83" s="2" t="s">
        <v>969</v>
      </c>
    </row>
    <row r="84" spans="1:7" ht="20.25" customHeight="1">
      <c r="A84" s="440"/>
      <c r="B84" s="442"/>
      <c r="C84" s="2" t="s">
        <v>381</v>
      </c>
      <c r="D84" s="29" t="s">
        <v>559</v>
      </c>
      <c r="E84" s="25" t="s">
        <v>970</v>
      </c>
      <c r="F84" s="25" t="s">
        <v>971</v>
      </c>
      <c r="G84" s="2"/>
    </row>
    <row r="85" spans="1:7" ht="20.25" customHeight="1">
      <c r="A85" s="440"/>
      <c r="B85" s="442"/>
      <c r="C85" s="2" t="s">
        <v>289</v>
      </c>
      <c r="D85" s="29" t="s">
        <v>564</v>
      </c>
      <c r="E85" s="25" t="s">
        <v>972</v>
      </c>
      <c r="F85" s="25" t="s">
        <v>973</v>
      </c>
      <c r="G85" s="2"/>
    </row>
    <row r="86" spans="1:7" ht="20.25" customHeight="1">
      <c r="A86" s="440"/>
      <c r="B86" s="442"/>
      <c r="C86" s="108" t="s">
        <v>974</v>
      </c>
      <c r="D86" s="29" t="s">
        <v>710</v>
      </c>
      <c r="E86" s="109" t="s">
        <v>975</v>
      </c>
      <c r="F86" s="2" t="s">
        <v>976</v>
      </c>
      <c r="G86" s="2" t="s">
        <v>977</v>
      </c>
    </row>
    <row r="87" spans="1:7" ht="20.25" customHeight="1">
      <c r="A87" s="440"/>
      <c r="B87" s="442"/>
      <c r="C87" s="108" t="s">
        <v>329</v>
      </c>
      <c r="D87" s="29" t="s">
        <v>710</v>
      </c>
      <c r="E87" s="109" t="s">
        <v>978</v>
      </c>
      <c r="F87" s="2" t="s">
        <v>979</v>
      </c>
      <c r="G87" s="2" t="s">
        <v>977</v>
      </c>
    </row>
    <row r="88" spans="1:7" ht="20.25" customHeight="1">
      <c r="A88" s="440"/>
      <c r="B88" s="442"/>
      <c r="C88" s="108" t="s">
        <v>980</v>
      </c>
      <c r="D88" s="29" t="s">
        <v>710</v>
      </c>
      <c r="E88" s="109" t="s">
        <v>981</v>
      </c>
      <c r="F88" s="2" t="s">
        <v>976</v>
      </c>
      <c r="G88" s="114" t="s">
        <v>977</v>
      </c>
    </row>
    <row r="89" spans="1:7" ht="20.25" customHeight="1">
      <c r="A89" s="440"/>
      <c r="B89" s="442"/>
      <c r="C89" s="108" t="s">
        <v>982</v>
      </c>
      <c r="D89" s="29" t="s">
        <v>710</v>
      </c>
      <c r="E89" s="109" t="s">
        <v>983</v>
      </c>
      <c r="F89" s="2" t="s">
        <v>976</v>
      </c>
      <c r="G89" s="2" t="s">
        <v>977</v>
      </c>
    </row>
    <row r="90" spans="1:7" ht="20.25" customHeight="1">
      <c r="A90" s="440"/>
      <c r="B90" s="442"/>
      <c r="C90" s="108" t="s">
        <v>984</v>
      </c>
      <c r="D90" s="29" t="s">
        <v>710</v>
      </c>
      <c r="E90" s="109" t="s">
        <v>985</v>
      </c>
      <c r="F90" s="2" t="s">
        <v>986</v>
      </c>
      <c r="G90" s="115" t="s">
        <v>977</v>
      </c>
    </row>
    <row r="91" spans="1:7" ht="20.25" customHeight="1">
      <c r="A91" s="440"/>
      <c r="B91" s="442"/>
      <c r="C91" s="108" t="s">
        <v>987</v>
      </c>
      <c r="D91" s="29" t="s">
        <v>710</v>
      </c>
      <c r="E91" s="109" t="s">
        <v>988</v>
      </c>
      <c r="F91" s="2" t="s">
        <v>976</v>
      </c>
      <c r="G91" s="114" t="s">
        <v>977</v>
      </c>
    </row>
    <row r="92" spans="1:7" ht="20.25" customHeight="1">
      <c r="A92" s="440"/>
      <c r="B92" s="442"/>
      <c r="C92" s="108" t="s">
        <v>989</v>
      </c>
      <c r="D92" s="29" t="s">
        <v>710</v>
      </c>
      <c r="E92" s="109" t="s">
        <v>990</v>
      </c>
      <c r="F92" s="2" t="s">
        <v>991</v>
      </c>
      <c r="G92" s="2"/>
    </row>
    <row r="93" spans="1:7" ht="20.25" customHeight="1">
      <c r="A93" s="440"/>
      <c r="B93" s="442"/>
      <c r="C93" s="108" t="s">
        <v>992</v>
      </c>
      <c r="D93" s="29" t="s">
        <v>710</v>
      </c>
      <c r="E93" s="109" t="s">
        <v>993</v>
      </c>
      <c r="F93" s="113" t="s">
        <v>866</v>
      </c>
      <c r="G93" s="2" t="s">
        <v>977</v>
      </c>
    </row>
    <row r="94" spans="1:7" ht="20.25" customHeight="1">
      <c r="A94" s="440"/>
      <c r="B94" s="442"/>
      <c r="C94" s="108" t="s">
        <v>339</v>
      </c>
      <c r="D94" s="29" t="s">
        <v>710</v>
      </c>
      <c r="E94" s="25" t="s">
        <v>994</v>
      </c>
      <c r="F94" s="25" t="s">
        <v>986</v>
      </c>
      <c r="G94" s="115" t="s">
        <v>977</v>
      </c>
    </row>
    <row r="95" spans="1:7" ht="20.25" customHeight="1">
      <c r="A95" s="440"/>
      <c r="B95" s="442"/>
      <c r="C95" s="109" t="s">
        <v>995</v>
      </c>
      <c r="D95" s="29" t="s">
        <v>710</v>
      </c>
      <c r="E95" s="25" t="s">
        <v>996</v>
      </c>
      <c r="F95" s="2" t="s">
        <v>976</v>
      </c>
      <c r="G95" s="114" t="s">
        <v>977</v>
      </c>
    </row>
    <row r="96" spans="1:7" ht="20.25" customHeight="1">
      <c r="A96" s="440"/>
      <c r="B96" s="442"/>
      <c r="C96" s="109" t="s">
        <v>997</v>
      </c>
      <c r="D96" s="29" t="s">
        <v>710</v>
      </c>
      <c r="E96" s="25" t="s">
        <v>996</v>
      </c>
      <c r="F96" s="2" t="s">
        <v>976</v>
      </c>
      <c r="G96" s="114" t="s">
        <v>977</v>
      </c>
    </row>
    <row r="97" spans="1:7" ht="20.25" customHeight="1">
      <c r="A97" s="440" t="s">
        <v>998</v>
      </c>
      <c r="B97" s="442" t="s">
        <v>932</v>
      </c>
      <c r="C97" s="2" t="s">
        <v>289</v>
      </c>
      <c r="D97" s="29" t="s">
        <v>710</v>
      </c>
      <c r="E97" s="25" t="s">
        <v>999</v>
      </c>
      <c r="F97" s="25" t="s">
        <v>1000</v>
      </c>
      <c r="G97" s="2"/>
    </row>
    <row r="98" spans="1:7" ht="20.25" customHeight="1">
      <c r="A98" s="440"/>
      <c r="B98" s="442"/>
      <c r="C98" s="2" t="s">
        <v>336</v>
      </c>
      <c r="D98" s="29" t="s">
        <v>710</v>
      </c>
      <c r="E98" s="25" t="s">
        <v>1001</v>
      </c>
      <c r="F98" s="25" t="s">
        <v>1002</v>
      </c>
      <c r="G98" s="2"/>
    </row>
    <row r="99" spans="1:7" ht="20.25" customHeight="1">
      <c r="A99" s="440"/>
      <c r="B99" s="442"/>
      <c r="C99" s="2" t="s">
        <v>1003</v>
      </c>
      <c r="D99" s="29" t="s">
        <v>710</v>
      </c>
      <c r="E99" s="25" t="s">
        <v>1004</v>
      </c>
      <c r="F99" s="25" t="s">
        <v>1005</v>
      </c>
      <c r="G99" s="2"/>
    </row>
    <row r="100" spans="1:7" ht="20.25" customHeight="1">
      <c r="A100" s="440"/>
      <c r="B100" s="442"/>
      <c r="C100" s="2" t="s">
        <v>1006</v>
      </c>
      <c r="D100" s="29" t="s">
        <v>710</v>
      </c>
      <c r="E100" s="25" t="s">
        <v>1007</v>
      </c>
      <c r="F100" s="25" t="s">
        <v>1008</v>
      </c>
      <c r="G100" s="114" t="s">
        <v>977</v>
      </c>
    </row>
    <row r="101" spans="1:7" ht="27.75" customHeight="1">
      <c r="A101" s="440"/>
      <c r="B101" s="442"/>
      <c r="C101" s="2" t="s">
        <v>824</v>
      </c>
      <c r="D101" s="29" t="s">
        <v>815</v>
      </c>
      <c r="E101" s="25" t="s">
        <v>1009</v>
      </c>
      <c r="F101" s="25" t="s">
        <v>1010</v>
      </c>
      <c r="G101" s="2"/>
    </row>
    <row r="102" spans="1:7" ht="20.25" customHeight="1">
      <c r="A102" s="440"/>
      <c r="B102" s="442"/>
      <c r="C102" s="2" t="s">
        <v>1011</v>
      </c>
      <c r="D102" s="29" t="s">
        <v>710</v>
      </c>
      <c r="E102" s="25" t="s">
        <v>1012</v>
      </c>
      <c r="F102" s="25" t="s">
        <v>1013</v>
      </c>
      <c r="G102" s="114" t="s">
        <v>977</v>
      </c>
    </row>
    <row r="103" spans="1:7" ht="20.25" customHeight="1">
      <c r="A103" s="440" t="s">
        <v>1014</v>
      </c>
      <c r="B103" s="442"/>
      <c r="C103" s="2" t="s">
        <v>1015</v>
      </c>
      <c r="D103" s="29" t="s">
        <v>710</v>
      </c>
      <c r="E103" s="25" t="s">
        <v>1016</v>
      </c>
      <c r="F103" s="25" t="s">
        <v>1017</v>
      </c>
      <c r="G103" s="114" t="s">
        <v>977</v>
      </c>
    </row>
    <row r="104" spans="1:7" ht="20.25" customHeight="1">
      <c r="A104" s="440"/>
      <c r="B104" s="442"/>
      <c r="C104" s="2" t="s">
        <v>1018</v>
      </c>
      <c r="D104" s="29" t="s">
        <v>710</v>
      </c>
      <c r="E104" s="25" t="s">
        <v>1012</v>
      </c>
      <c r="F104" s="2" t="s">
        <v>976</v>
      </c>
      <c r="G104" s="114" t="s">
        <v>977</v>
      </c>
    </row>
    <row r="105" spans="1:7" ht="28.5" customHeight="1">
      <c r="A105" s="440"/>
      <c r="B105" s="442"/>
      <c r="C105" s="2" t="s">
        <v>368</v>
      </c>
      <c r="D105" s="29" t="s">
        <v>581</v>
      </c>
      <c r="E105" s="25" t="s">
        <v>1019</v>
      </c>
      <c r="F105" s="25" t="s">
        <v>1020</v>
      </c>
      <c r="G105" s="2"/>
    </row>
    <row r="106" spans="1:7" ht="20.25" customHeight="1">
      <c r="A106" s="440"/>
      <c r="B106" s="442"/>
      <c r="C106" s="2" t="s">
        <v>289</v>
      </c>
      <c r="D106" s="29" t="s">
        <v>710</v>
      </c>
      <c r="E106" s="25" t="s">
        <v>1021</v>
      </c>
      <c r="F106" s="25" t="s">
        <v>1022</v>
      </c>
      <c r="G106" s="2"/>
    </row>
    <row r="107" spans="1:7" ht="20.25" customHeight="1">
      <c r="A107" s="440"/>
      <c r="B107" s="442"/>
      <c r="C107" s="2" t="s">
        <v>388</v>
      </c>
      <c r="D107" s="29" t="s">
        <v>573</v>
      </c>
      <c r="E107" s="25" t="s">
        <v>1023</v>
      </c>
      <c r="F107" s="25" t="s">
        <v>1024</v>
      </c>
      <c r="G107" s="2" t="s">
        <v>1025</v>
      </c>
    </row>
    <row r="108" spans="1:7" ht="20.25" customHeight="1">
      <c r="A108" s="440"/>
      <c r="B108" s="442"/>
      <c r="C108" s="2" t="s">
        <v>982</v>
      </c>
      <c r="D108" s="29" t="s">
        <v>710</v>
      </c>
      <c r="E108" s="25" t="s">
        <v>1026</v>
      </c>
      <c r="F108" s="25" t="s">
        <v>1027</v>
      </c>
      <c r="G108" s="2" t="s">
        <v>1028</v>
      </c>
    </row>
    <row r="109" spans="1:7" ht="20.25" customHeight="1">
      <c r="A109" s="440"/>
      <c r="B109" s="442"/>
      <c r="C109" s="2" t="s">
        <v>987</v>
      </c>
      <c r="D109" s="29" t="s">
        <v>710</v>
      </c>
      <c r="E109" s="25" t="s">
        <v>1026</v>
      </c>
      <c r="F109" s="25" t="s">
        <v>1027</v>
      </c>
      <c r="G109" s="114" t="s">
        <v>977</v>
      </c>
    </row>
    <row r="110" spans="1:7" ht="20.25" customHeight="1">
      <c r="A110" s="440"/>
      <c r="B110" s="442"/>
      <c r="C110" s="2" t="s">
        <v>933</v>
      </c>
      <c r="D110" s="29" t="s">
        <v>581</v>
      </c>
      <c r="E110" s="25" t="s">
        <v>1029</v>
      </c>
      <c r="F110" s="25" t="s">
        <v>1030</v>
      </c>
      <c r="G110" s="2" t="s">
        <v>1031</v>
      </c>
    </row>
    <row r="111" spans="1:7" ht="33.75" customHeight="1">
      <c r="A111" s="440" t="s">
        <v>1032</v>
      </c>
      <c r="B111" s="442" t="s">
        <v>932</v>
      </c>
      <c r="C111" s="2" t="s">
        <v>380</v>
      </c>
      <c r="D111" s="29" t="s">
        <v>564</v>
      </c>
      <c r="E111" s="454" t="s">
        <v>1033</v>
      </c>
      <c r="F111" s="442" t="s">
        <v>1034</v>
      </c>
      <c r="G111" s="2"/>
    </row>
    <row r="112" spans="1:7" ht="20.25" customHeight="1">
      <c r="A112" s="440"/>
      <c r="B112" s="442"/>
      <c r="C112" s="2" t="s">
        <v>368</v>
      </c>
      <c r="D112" s="29" t="s">
        <v>564</v>
      </c>
      <c r="E112" s="454"/>
      <c r="F112" s="442"/>
      <c r="G112" s="2"/>
    </row>
    <row r="113" spans="1:7" ht="20.25" customHeight="1">
      <c r="A113" s="440"/>
      <c r="B113" s="442"/>
      <c r="C113" s="2" t="s">
        <v>387</v>
      </c>
      <c r="D113" s="29" t="s">
        <v>564</v>
      </c>
      <c r="E113" s="454"/>
      <c r="F113" s="442"/>
      <c r="G113" s="2"/>
    </row>
    <row r="114" spans="1:7" ht="20.25" customHeight="1">
      <c r="A114" s="440"/>
      <c r="B114" s="442"/>
      <c r="C114" s="2" t="s">
        <v>756</v>
      </c>
      <c r="D114" s="29" t="s">
        <v>564</v>
      </c>
      <c r="E114" s="454"/>
      <c r="F114" s="442"/>
      <c r="G114" s="2"/>
    </row>
    <row r="115" spans="1:7" ht="20.25" customHeight="1">
      <c r="A115" s="440"/>
      <c r="B115" s="442"/>
      <c r="C115" s="2" t="s">
        <v>367</v>
      </c>
      <c r="D115" s="29" t="s">
        <v>564</v>
      </c>
      <c r="E115" s="454"/>
      <c r="F115" s="442"/>
      <c r="G115" s="2"/>
    </row>
    <row r="116" spans="1:7" ht="20.25" customHeight="1">
      <c r="A116" s="440"/>
      <c r="B116" s="442"/>
      <c r="C116" s="2" t="s">
        <v>933</v>
      </c>
      <c r="D116" s="29" t="s">
        <v>564</v>
      </c>
      <c r="E116" s="454"/>
      <c r="F116" s="442"/>
      <c r="G116" s="2"/>
    </row>
    <row r="117" spans="1:7" ht="38.25" customHeight="1">
      <c r="A117" s="440"/>
      <c r="B117" s="442"/>
      <c r="C117" s="2" t="s">
        <v>984</v>
      </c>
      <c r="D117" s="29" t="s">
        <v>710</v>
      </c>
      <c r="E117" s="25" t="s">
        <v>710</v>
      </c>
      <c r="F117" s="25" t="s">
        <v>1035</v>
      </c>
      <c r="G117" s="2" t="s">
        <v>1036</v>
      </c>
    </row>
    <row r="118" spans="1:7" ht="20.25" customHeight="1">
      <c r="A118" s="440"/>
      <c r="B118" s="442"/>
      <c r="C118" s="2" t="s">
        <v>472</v>
      </c>
      <c r="D118" s="29" t="s">
        <v>564</v>
      </c>
      <c r="E118" s="25" t="s">
        <v>1037</v>
      </c>
      <c r="F118" s="25" t="s">
        <v>1038</v>
      </c>
      <c r="G118" s="2" t="s">
        <v>1039</v>
      </c>
    </row>
    <row r="119" spans="1:7" ht="20.25" customHeight="1">
      <c r="A119" s="440"/>
      <c r="B119" s="442"/>
      <c r="C119" s="2" t="s">
        <v>933</v>
      </c>
      <c r="D119" s="29" t="s">
        <v>564</v>
      </c>
      <c r="E119" s="25" t="s">
        <v>1040</v>
      </c>
      <c r="F119" s="25" t="s">
        <v>1041</v>
      </c>
      <c r="G119" s="2" t="s">
        <v>1042</v>
      </c>
    </row>
    <row r="120" spans="1:7" ht="20.25" customHeight="1">
      <c r="A120" s="440"/>
      <c r="B120" s="442"/>
      <c r="C120" s="2" t="s">
        <v>1043</v>
      </c>
      <c r="D120" s="29" t="s">
        <v>710</v>
      </c>
      <c r="E120" s="25" t="s">
        <v>710</v>
      </c>
      <c r="F120" s="25" t="s">
        <v>1044</v>
      </c>
      <c r="G120" s="2"/>
    </row>
    <row r="121" spans="1:7" ht="20.25" customHeight="1">
      <c r="A121" s="440"/>
      <c r="B121" s="442"/>
      <c r="C121" s="2" t="s">
        <v>1045</v>
      </c>
      <c r="D121" s="29" t="s">
        <v>710</v>
      </c>
      <c r="E121" s="25" t="s">
        <v>710</v>
      </c>
      <c r="F121" s="25" t="s">
        <v>1046</v>
      </c>
      <c r="G121" s="2"/>
    </row>
    <row r="122" spans="1:7" ht="20.25" customHeight="1">
      <c r="A122" s="440"/>
      <c r="B122" s="442"/>
      <c r="C122" s="2" t="s">
        <v>982</v>
      </c>
      <c r="D122" s="29" t="s">
        <v>710</v>
      </c>
      <c r="E122" s="25" t="s">
        <v>710</v>
      </c>
      <c r="F122" s="25" t="s">
        <v>1047</v>
      </c>
      <c r="G122" s="2"/>
    </row>
    <row r="123" spans="1:7" ht="20.25" customHeight="1">
      <c r="A123" s="440"/>
      <c r="B123" s="442"/>
      <c r="C123" s="2" t="s">
        <v>472</v>
      </c>
      <c r="D123" s="29" t="s">
        <v>564</v>
      </c>
      <c r="E123" s="25" t="s">
        <v>1048</v>
      </c>
      <c r="F123" s="25" t="s">
        <v>1049</v>
      </c>
      <c r="G123" s="2"/>
    </row>
    <row r="124" spans="1:7" ht="20.25" customHeight="1">
      <c r="A124" s="440"/>
      <c r="B124" s="442"/>
      <c r="C124" s="2" t="s">
        <v>387</v>
      </c>
      <c r="D124" s="29" t="s">
        <v>564</v>
      </c>
      <c r="E124" s="25" t="s">
        <v>1050</v>
      </c>
      <c r="F124" s="25" t="s">
        <v>1051</v>
      </c>
      <c r="G124" s="2"/>
    </row>
    <row r="125" spans="1:7" ht="20.25" customHeight="1">
      <c r="A125" s="440"/>
      <c r="B125" s="442"/>
      <c r="C125" s="2" t="s">
        <v>367</v>
      </c>
      <c r="D125" s="29" t="s">
        <v>564</v>
      </c>
      <c r="E125" s="25" t="s">
        <v>1050</v>
      </c>
      <c r="F125" s="25" t="s">
        <v>1052</v>
      </c>
      <c r="G125" s="2"/>
    </row>
    <row r="126" spans="1:7" ht="20.25" customHeight="1">
      <c r="A126" s="440"/>
      <c r="B126" s="442"/>
      <c r="C126" s="2" t="s">
        <v>368</v>
      </c>
      <c r="D126" s="29" t="s">
        <v>564</v>
      </c>
      <c r="E126" s="25" t="s">
        <v>1053</v>
      </c>
      <c r="F126" s="25" t="s">
        <v>1054</v>
      </c>
      <c r="G126" s="2" t="s">
        <v>1055</v>
      </c>
    </row>
    <row r="127" spans="1:7" ht="48" customHeight="1">
      <c r="A127" s="440"/>
      <c r="B127" s="442"/>
      <c r="C127" s="2" t="s">
        <v>1056</v>
      </c>
      <c r="D127" s="2" t="s">
        <v>564</v>
      </c>
      <c r="E127" s="25" t="s">
        <v>1057</v>
      </c>
      <c r="F127" s="25" t="s">
        <v>1058</v>
      </c>
      <c r="G127" s="2"/>
    </row>
    <row r="128" spans="1:7" ht="20.25" customHeight="1">
      <c r="A128" s="440" t="s">
        <v>1059</v>
      </c>
      <c r="B128" s="440" t="s">
        <v>932</v>
      </c>
      <c r="C128" s="2" t="s">
        <v>995</v>
      </c>
      <c r="D128" s="29" t="s">
        <v>710</v>
      </c>
      <c r="E128" s="25" t="s">
        <v>1060</v>
      </c>
      <c r="F128" s="25" t="s">
        <v>1061</v>
      </c>
      <c r="G128" s="2"/>
    </row>
    <row r="129" spans="1:7" ht="20.25" customHeight="1">
      <c r="A129" s="440"/>
      <c r="B129" s="440"/>
      <c r="C129" s="2" t="s">
        <v>387</v>
      </c>
      <c r="D129" s="29" t="s">
        <v>551</v>
      </c>
      <c r="E129" s="25" t="s">
        <v>1062</v>
      </c>
      <c r="F129" s="25" t="s">
        <v>1063</v>
      </c>
      <c r="G129" s="2"/>
    </row>
    <row r="130" spans="1:7" ht="20.25" customHeight="1">
      <c r="A130" s="440"/>
      <c r="B130" s="440"/>
      <c r="C130" s="2" t="s">
        <v>289</v>
      </c>
      <c r="D130" s="29" t="s">
        <v>710</v>
      </c>
      <c r="E130" s="25" t="s">
        <v>1064</v>
      </c>
      <c r="F130" s="25" t="s">
        <v>1065</v>
      </c>
      <c r="G130" s="2"/>
    </row>
    <row r="131" spans="1:7" ht="20.25" customHeight="1">
      <c r="A131" s="440"/>
      <c r="B131" s="440"/>
      <c r="C131" s="2" t="s">
        <v>472</v>
      </c>
      <c r="D131" s="29" t="s">
        <v>573</v>
      </c>
      <c r="E131" s="25" t="s">
        <v>1066</v>
      </c>
      <c r="F131" s="25" t="s">
        <v>1067</v>
      </c>
      <c r="G131" s="2" t="s">
        <v>1068</v>
      </c>
    </row>
    <row r="132" spans="1:7" ht="20.25" customHeight="1">
      <c r="A132" s="440"/>
      <c r="B132" s="440"/>
      <c r="C132" s="2" t="s">
        <v>879</v>
      </c>
      <c r="D132" s="29" t="s">
        <v>710</v>
      </c>
      <c r="E132" s="25" t="s">
        <v>1069</v>
      </c>
      <c r="F132" s="25"/>
      <c r="G132" s="2"/>
    </row>
    <row r="133" spans="1:7" ht="20.25" customHeight="1">
      <c r="A133" s="440"/>
      <c r="B133" s="440"/>
      <c r="C133" s="2" t="s">
        <v>1070</v>
      </c>
      <c r="D133" s="29" t="s">
        <v>710</v>
      </c>
      <c r="E133" s="25" t="s">
        <v>1069</v>
      </c>
      <c r="F133" s="25"/>
      <c r="G133" s="2"/>
    </row>
    <row r="134" spans="1:7" ht="20.25" customHeight="1">
      <c r="A134" s="440"/>
      <c r="B134" s="440"/>
      <c r="C134" s="2" t="s">
        <v>1071</v>
      </c>
      <c r="D134" s="29" t="s">
        <v>710</v>
      </c>
      <c r="E134" s="25" t="s">
        <v>1069</v>
      </c>
      <c r="F134" s="25"/>
      <c r="G134" s="2"/>
    </row>
    <row r="135" spans="1:7" ht="20.25" customHeight="1">
      <c r="A135" s="440"/>
      <c r="B135" s="440"/>
      <c r="C135" s="2" t="s">
        <v>1072</v>
      </c>
      <c r="D135" s="29" t="s">
        <v>710</v>
      </c>
      <c r="E135" s="25" t="s">
        <v>1069</v>
      </c>
      <c r="F135" s="25"/>
      <c r="G135" s="2"/>
    </row>
    <row r="136" spans="1:7" ht="20.25" customHeight="1">
      <c r="A136" s="440"/>
      <c r="B136" s="440"/>
      <c r="C136" s="2" t="s">
        <v>1073</v>
      </c>
      <c r="D136" s="29" t="s">
        <v>710</v>
      </c>
      <c r="E136" s="25" t="s">
        <v>1069</v>
      </c>
      <c r="F136" s="25"/>
      <c r="G136" s="2"/>
    </row>
    <row r="137" spans="1:7" ht="20.25" customHeight="1">
      <c r="A137" s="440"/>
      <c r="B137" s="440"/>
      <c r="C137" s="2" t="s">
        <v>472</v>
      </c>
      <c r="D137" s="29" t="s">
        <v>564</v>
      </c>
      <c r="E137" s="25" t="s">
        <v>1074</v>
      </c>
      <c r="F137" s="25" t="s">
        <v>1075</v>
      </c>
      <c r="G137" s="2"/>
    </row>
    <row r="138" spans="1:7" ht="42.75" customHeight="1">
      <c r="A138" s="440"/>
      <c r="B138" s="440"/>
      <c r="C138" s="2" t="s">
        <v>387</v>
      </c>
      <c r="D138" s="29" t="s">
        <v>573</v>
      </c>
      <c r="E138" s="25" t="s">
        <v>574</v>
      </c>
      <c r="F138" s="25" t="s">
        <v>1076</v>
      </c>
      <c r="G138" s="25" t="s">
        <v>1077</v>
      </c>
    </row>
    <row r="139" spans="1:7" ht="47.25" customHeight="1">
      <c r="A139" s="440" t="s">
        <v>1078</v>
      </c>
      <c r="B139" s="440" t="s">
        <v>932</v>
      </c>
      <c r="C139" s="2" t="s">
        <v>472</v>
      </c>
      <c r="D139" s="29" t="s">
        <v>710</v>
      </c>
      <c r="E139" s="25" t="s">
        <v>1079</v>
      </c>
      <c r="F139" s="25" t="s">
        <v>1080</v>
      </c>
      <c r="G139" s="2"/>
    </row>
    <row r="140" spans="1:7" ht="20.25" customHeight="1">
      <c r="A140" s="440"/>
      <c r="B140" s="440"/>
      <c r="C140" s="2" t="s">
        <v>1081</v>
      </c>
      <c r="D140" s="29" t="s">
        <v>710</v>
      </c>
      <c r="E140" s="25" t="s">
        <v>1082</v>
      </c>
      <c r="F140" s="25" t="s">
        <v>1083</v>
      </c>
      <c r="G140" s="2"/>
    </row>
    <row r="141" spans="1:7" ht="20.25" customHeight="1">
      <c r="A141" s="440"/>
      <c r="B141" s="440"/>
      <c r="C141" s="2" t="s">
        <v>1084</v>
      </c>
      <c r="D141" s="29" t="s">
        <v>710</v>
      </c>
      <c r="E141" s="25" t="s">
        <v>1082</v>
      </c>
      <c r="F141" s="25" t="s">
        <v>1083</v>
      </c>
      <c r="G141" s="2"/>
    </row>
    <row r="142" spans="1:7" ht="20.25" customHeight="1">
      <c r="A142" s="440"/>
      <c r="B142" s="440"/>
      <c r="C142" s="2" t="s">
        <v>1085</v>
      </c>
      <c r="D142" s="29" t="s">
        <v>710</v>
      </c>
      <c r="E142" s="25" t="s">
        <v>1086</v>
      </c>
      <c r="F142" s="25" t="s">
        <v>1087</v>
      </c>
      <c r="G142" s="2"/>
    </row>
    <row r="143" spans="1:7" ht="20.25" customHeight="1">
      <c r="A143" s="440"/>
      <c r="B143" s="440"/>
      <c r="C143" s="2" t="s">
        <v>389</v>
      </c>
      <c r="D143" s="29" t="s">
        <v>815</v>
      </c>
      <c r="E143" s="25" t="s">
        <v>1088</v>
      </c>
      <c r="F143" s="25" t="s">
        <v>1089</v>
      </c>
      <c r="G143" s="2"/>
    </row>
    <row r="144" spans="1:7" ht="20.25" customHeight="1">
      <c r="A144" s="440"/>
      <c r="B144" s="440"/>
      <c r="C144" s="2" t="s">
        <v>933</v>
      </c>
      <c r="D144" s="29" t="s">
        <v>564</v>
      </c>
      <c r="E144" s="25" t="s">
        <v>1090</v>
      </c>
      <c r="F144" s="25" t="s">
        <v>1091</v>
      </c>
      <c r="G144" s="2"/>
    </row>
    <row r="145" spans="1:7" ht="66.75" customHeight="1">
      <c r="A145" s="440"/>
      <c r="B145" s="440"/>
      <c r="C145" s="2" t="s">
        <v>1081</v>
      </c>
      <c r="D145" s="29" t="s">
        <v>710</v>
      </c>
      <c r="E145" s="25" t="s">
        <v>1092</v>
      </c>
      <c r="F145" s="25" t="s">
        <v>1093</v>
      </c>
      <c r="G145" s="2"/>
    </row>
    <row r="146" spans="1:7" ht="30" customHeight="1">
      <c r="A146" s="440"/>
      <c r="B146" s="440"/>
      <c r="C146" s="2" t="s">
        <v>368</v>
      </c>
      <c r="D146" s="29" t="s">
        <v>573</v>
      </c>
      <c r="E146" s="25" t="s">
        <v>1094</v>
      </c>
      <c r="F146" s="25" t="s">
        <v>1095</v>
      </c>
      <c r="G146" s="78" t="s">
        <v>1096</v>
      </c>
    </row>
    <row r="147" spans="1:7" ht="35.25" customHeight="1">
      <c r="A147" s="440"/>
      <c r="B147" s="440"/>
      <c r="C147" s="2" t="s">
        <v>387</v>
      </c>
      <c r="D147" s="29" t="s">
        <v>573</v>
      </c>
      <c r="E147" s="25" t="s">
        <v>1097</v>
      </c>
      <c r="F147" s="25" t="s">
        <v>1098</v>
      </c>
      <c r="G147" s="2"/>
    </row>
    <row r="148" spans="1:7" ht="20.25" customHeight="1">
      <c r="A148" s="440"/>
      <c r="B148" s="440"/>
      <c r="C148" s="2" t="s">
        <v>1099</v>
      </c>
      <c r="D148" s="29" t="s">
        <v>710</v>
      </c>
      <c r="E148" s="25" t="s">
        <v>1086</v>
      </c>
      <c r="F148" s="25" t="s">
        <v>1087</v>
      </c>
      <c r="G148" s="2"/>
    </row>
    <row r="149" spans="1:7" ht="20.25" customHeight="1">
      <c r="A149" s="455" t="s">
        <v>1100</v>
      </c>
      <c r="B149" s="440" t="s">
        <v>932</v>
      </c>
      <c r="C149" s="2" t="s">
        <v>879</v>
      </c>
      <c r="D149" s="29" t="s">
        <v>761</v>
      </c>
      <c r="E149" s="25" t="s">
        <v>1101</v>
      </c>
      <c r="F149" s="25" t="s">
        <v>1102</v>
      </c>
      <c r="G149" s="2"/>
    </row>
    <row r="150" spans="1:7" ht="20.25" customHeight="1">
      <c r="A150" s="455"/>
      <c r="B150" s="440"/>
      <c r="C150" s="2" t="s">
        <v>1103</v>
      </c>
      <c r="D150" s="2" t="s">
        <v>564</v>
      </c>
      <c r="E150" s="25" t="s">
        <v>1104</v>
      </c>
      <c r="F150" s="25" t="s">
        <v>1105</v>
      </c>
      <c r="G150" s="2"/>
    </row>
    <row r="151" spans="1:7" ht="20.25" customHeight="1">
      <c r="A151" s="455"/>
      <c r="B151" s="440"/>
      <c r="C151" s="2" t="s">
        <v>1106</v>
      </c>
      <c r="D151" s="29" t="s">
        <v>710</v>
      </c>
      <c r="E151" s="25" t="s">
        <v>1107</v>
      </c>
      <c r="F151" s="25" t="s">
        <v>1108</v>
      </c>
      <c r="G151" s="114" t="s">
        <v>1109</v>
      </c>
    </row>
    <row r="152" spans="1:7" ht="20.25" customHeight="1">
      <c r="A152" s="455"/>
      <c r="B152" s="440"/>
      <c r="C152" s="2" t="s">
        <v>1110</v>
      </c>
      <c r="D152" s="29" t="s">
        <v>581</v>
      </c>
      <c r="E152" s="25" t="s">
        <v>1111</v>
      </c>
      <c r="F152" s="25" t="s">
        <v>1112</v>
      </c>
      <c r="G152" s="2"/>
    </row>
    <row r="153" spans="1:7" ht="20.25" customHeight="1">
      <c r="A153" s="455"/>
      <c r="B153" s="440"/>
      <c r="C153" s="2" t="s">
        <v>834</v>
      </c>
      <c r="D153" s="29" t="s">
        <v>564</v>
      </c>
      <c r="E153" s="25" t="s">
        <v>1104</v>
      </c>
      <c r="F153" s="25" t="s">
        <v>1113</v>
      </c>
      <c r="G153" s="2"/>
    </row>
    <row r="154" spans="1:7" ht="20.25" customHeight="1">
      <c r="A154" s="455"/>
      <c r="B154" s="440"/>
      <c r="C154" s="2" t="s">
        <v>333</v>
      </c>
      <c r="D154" s="29" t="s">
        <v>710</v>
      </c>
      <c r="E154" s="25" t="s">
        <v>1114</v>
      </c>
      <c r="F154" s="25"/>
      <c r="G154" s="114" t="s">
        <v>1109</v>
      </c>
    </row>
    <row r="155" spans="1:7" ht="20.25" customHeight="1">
      <c r="A155" s="455"/>
      <c r="B155" s="440"/>
      <c r="C155" s="2" t="s">
        <v>1081</v>
      </c>
      <c r="D155" s="29" t="s">
        <v>710</v>
      </c>
      <c r="E155" s="25" t="s">
        <v>1114</v>
      </c>
      <c r="F155" s="25"/>
      <c r="G155" s="114" t="s">
        <v>1109</v>
      </c>
    </row>
    <row r="156" spans="1:7" ht="20.25" customHeight="1">
      <c r="A156" s="455"/>
      <c r="B156" s="440"/>
      <c r="C156" s="2" t="s">
        <v>1115</v>
      </c>
      <c r="D156" s="29" t="s">
        <v>710</v>
      </c>
      <c r="E156" s="25" t="s">
        <v>1116</v>
      </c>
      <c r="F156" s="25" t="s">
        <v>1117</v>
      </c>
      <c r="G156" s="2"/>
    </row>
    <row r="157" spans="1:7" ht="20.25" customHeight="1">
      <c r="A157" s="455"/>
      <c r="B157" s="440"/>
      <c r="C157" s="2" t="s">
        <v>984</v>
      </c>
      <c r="D157" s="29" t="s">
        <v>710</v>
      </c>
      <c r="E157" s="25" t="s">
        <v>1116</v>
      </c>
      <c r="F157" s="25" t="s">
        <v>1117</v>
      </c>
      <c r="G157" s="2"/>
    </row>
    <row r="158" spans="1:7" ht="20.25" customHeight="1">
      <c r="A158" s="455"/>
      <c r="B158" s="440"/>
      <c r="C158" s="2" t="s">
        <v>339</v>
      </c>
      <c r="D158" s="29" t="s">
        <v>710</v>
      </c>
      <c r="E158" s="25" t="s">
        <v>1116</v>
      </c>
      <c r="F158" s="25" t="s">
        <v>1117</v>
      </c>
      <c r="G158" s="2"/>
    </row>
    <row r="159" spans="1:7" ht="20.25" customHeight="1">
      <c r="A159" s="455"/>
      <c r="B159" s="440"/>
      <c r="C159" s="2" t="s">
        <v>1045</v>
      </c>
      <c r="D159" s="29" t="s">
        <v>710</v>
      </c>
      <c r="E159" s="25" t="s">
        <v>1118</v>
      </c>
      <c r="F159" s="25" t="s">
        <v>1119</v>
      </c>
      <c r="G159" s="114" t="s">
        <v>1120</v>
      </c>
    </row>
    <row r="160" spans="1:7" ht="20.25" customHeight="1">
      <c r="A160" s="455"/>
      <c r="B160" s="440"/>
      <c r="C160" s="2" t="s">
        <v>1121</v>
      </c>
      <c r="D160" s="29" t="s">
        <v>710</v>
      </c>
      <c r="E160" s="25" t="s">
        <v>1122</v>
      </c>
      <c r="F160" s="25" t="s">
        <v>1123</v>
      </c>
      <c r="G160" s="2"/>
    </row>
    <row r="161" spans="1:7" ht="20.25" customHeight="1">
      <c r="A161" s="455"/>
      <c r="B161" s="440"/>
      <c r="C161" s="2" t="s">
        <v>984</v>
      </c>
      <c r="D161" s="29" t="s">
        <v>710</v>
      </c>
      <c r="E161" s="25" t="s">
        <v>1124</v>
      </c>
      <c r="F161" s="25" t="s">
        <v>1125</v>
      </c>
      <c r="G161" s="2"/>
    </row>
    <row r="162" spans="1:7" ht="20.25" customHeight="1">
      <c r="A162" s="455"/>
      <c r="B162" s="440"/>
      <c r="C162" s="2" t="s">
        <v>1115</v>
      </c>
      <c r="D162" s="29" t="s">
        <v>710</v>
      </c>
      <c r="E162" s="25" t="s">
        <v>1124</v>
      </c>
      <c r="F162" s="25" t="s">
        <v>1125</v>
      </c>
      <c r="G162" s="2"/>
    </row>
    <row r="163" spans="1:7" ht="20.25" customHeight="1">
      <c r="A163" s="455"/>
      <c r="B163" s="440"/>
      <c r="C163" s="2" t="s">
        <v>339</v>
      </c>
      <c r="D163" s="29" t="s">
        <v>710</v>
      </c>
      <c r="E163" s="25" t="s">
        <v>1124</v>
      </c>
      <c r="F163" s="25" t="s">
        <v>1125</v>
      </c>
      <c r="G163" s="2"/>
    </row>
    <row r="164" spans="1:7" ht="20.25" customHeight="1">
      <c r="A164" s="453" t="s">
        <v>1126</v>
      </c>
      <c r="B164" s="440" t="s">
        <v>932</v>
      </c>
      <c r="C164" s="2" t="s">
        <v>472</v>
      </c>
      <c r="D164" s="29" t="s">
        <v>710</v>
      </c>
      <c r="E164" s="25" t="s">
        <v>1127</v>
      </c>
      <c r="F164" s="25" t="s">
        <v>1128</v>
      </c>
      <c r="G164" s="2"/>
    </row>
    <row r="165" spans="1:7" ht="20.25" customHeight="1">
      <c r="A165" s="453"/>
      <c r="B165" s="440"/>
      <c r="C165" s="2" t="s">
        <v>1099</v>
      </c>
      <c r="D165" s="29" t="s">
        <v>710</v>
      </c>
      <c r="E165" s="25" t="s">
        <v>1129</v>
      </c>
      <c r="F165" s="25" t="s">
        <v>1130</v>
      </c>
      <c r="G165" s="2"/>
    </row>
    <row r="166" spans="1:7" ht="20.25" customHeight="1">
      <c r="A166" s="453"/>
      <c r="B166" s="440"/>
      <c r="C166" s="2" t="s">
        <v>289</v>
      </c>
      <c r="D166" s="29" t="s">
        <v>710</v>
      </c>
      <c r="E166" s="25" t="s">
        <v>1131</v>
      </c>
      <c r="F166" s="25" t="s">
        <v>1132</v>
      </c>
      <c r="G166" s="2"/>
    </row>
    <row r="167" spans="1:7" ht="20.25" customHeight="1">
      <c r="A167" s="453"/>
      <c r="B167" s="440"/>
      <c r="C167" s="2" t="s">
        <v>1103</v>
      </c>
      <c r="D167" s="29" t="s">
        <v>710</v>
      </c>
      <c r="E167" s="25" t="s">
        <v>1133</v>
      </c>
      <c r="F167" s="25" t="s">
        <v>1134</v>
      </c>
      <c r="G167" s="2"/>
    </row>
    <row r="168" spans="1:7" ht="20.25" customHeight="1">
      <c r="A168" s="453"/>
      <c r="B168" s="440"/>
      <c r="C168" s="2" t="s">
        <v>1135</v>
      </c>
      <c r="D168" s="29" t="s">
        <v>710</v>
      </c>
      <c r="E168" s="25" t="s">
        <v>1136</v>
      </c>
      <c r="F168" s="25" t="s">
        <v>1137</v>
      </c>
      <c r="G168" s="2"/>
    </row>
    <row r="169" spans="1:7" ht="20.25" customHeight="1">
      <c r="A169" s="453"/>
      <c r="B169" s="440"/>
      <c r="C169" s="2" t="s">
        <v>367</v>
      </c>
      <c r="D169" s="29" t="s">
        <v>710</v>
      </c>
      <c r="E169" s="25" t="s">
        <v>1138</v>
      </c>
      <c r="F169" s="25" t="s">
        <v>1139</v>
      </c>
      <c r="G169" s="2"/>
    </row>
    <row r="170" spans="1:7" ht="20.25" customHeight="1">
      <c r="A170" s="453"/>
      <c r="B170" s="440"/>
      <c r="C170" s="2" t="s">
        <v>1072</v>
      </c>
      <c r="D170" s="29" t="s">
        <v>710</v>
      </c>
      <c r="E170" s="25" t="s">
        <v>1140</v>
      </c>
      <c r="F170" s="25" t="s">
        <v>1141</v>
      </c>
      <c r="G170" s="2"/>
    </row>
    <row r="171" spans="1:7" ht="20.25" customHeight="1">
      <c r="A171" s="453"/>
      <c r="B171" s="440"/>
      <c r="C171" s="2" t="s">
        <v>361</v>
      </c>
      <c r="D171" s="29" t="s">
        <v>710</v>
      </c>
      <c r="E171" s="25" t="s">
        <v>1142</v>
      </c>
      <c r="F171" s="25" t="s">
        <v>1143</v>
      </c>
      <c r="G171" s="2"/>
    </row>
    <row r="172" spans="1:7" ht="20.25" customHeight="1">
      <c r="A172" s="453"/>
      <c r="B172" s="440"/>
      <c r="C172" s="2" t="s">
        <v>879</v>
      </c>
      <c r="D172" s="29" t="s">
        <v>710</v>
      </c>
      <c r="E172" s="25" t="s">
        <v>1144</v>
      </c>
      <c r="F172" s="25" t="s">
        <v>1145</v>
      </c>
      <c r="G172" s="2"/>
    </row>
    <row r="173" spans="1:7" ht="46.5" customHeight="1">
      <c r="A173" s="453"/>
      <c r="B173" s="440"/>
      <c r="C173" s="2" t="s">
        <v>386</v>
      </c>
      <c r="D173" s="29" t="s">
        <v>573</v>
      </c>
      <c r="E173" s="25" t="s">
        <v>1146</v>
      </c>
      <c r="F173" s="25" t="s">
        <v>1147</v>
      </c>
      <c r="G173" s="25" t="s">
        <v>1148</v>
      </c>
    </row>
    <row r="174" spans="1:7" ht="20.25" customHeight="1">
      <c r="A174" s="453"/>
      <c r="B174" s="440"/>
      <c r="C174" s="2" t="s">
        <v>1149</v>
      </c>
      <c r="D174" s="29" t="s">
        <v>710</v>
      </c>
      <c r="E174" s="25" t="s">
        <v>1150</v>
      </c>
      <c r="F174" s="25" t="s">
        <v>1151</v>
      </c>
      <c r="G174" s="2"/>
    </row>
    <row r="175" spans="1:7" ht="20.25" customHeight="1">
      <c r="A175" s="453"/>
      <c r="B175" s="440"/>
      <c r="C175" s="2" t="s">
        <v>1070</v>
      </c>
      <c r="D175" s="29" t="s">
        <v>710</v>
      </c>
      <c r="E175" s="25" t="s">
        <v>1152</v>
      </c>
      <c r="F175" s="25" t="s">
        <v>1153</v>
      </c>
      <c r="G175" s="2" t="s">
        <v>1154</v>
      </c>
    </row>
    <row r="176" spans="1:7" ht="20.25" customHeight="1">
      <c r="A176" s="453"/>
      <c r="B176" s="440"/>
      <c r="C176" s="2" t="s">
        <v>1073</v>
      </c>
      <c r="D176" s="29" t="s">
        <v>710</v>
      </c>
      <c r="E176" s="25" t="s">
        <v>1155</v>
      </c>
      <c r="F176" s="25" t="s">
        <v>1156</v>
      </c>
      <c r="G176" s="2"/>
    </row>
    <row r="177" spans="1:7" ht="20.25" customHeight="1">
      <c r="A177" s="453"/>
      <c r="B177" s="440"/>
      <c r="C177" s="2" t="s">
        <v>326</v>
      </c>
      <c r="D177" s="29" t="s">
        <v>710</v>
      </c>
      <c r="E177" s="25" t="s">
        <v>1065</v>
      </c>
      <c r="F177" s="25" t="s">
        <v>1157</v>
      </c>
      <c r="G177" s="2"/>
    </row>
    <row r="178" spans="1:7" ht="20.25" customHeight="1">
      <c r="A178" s="453"/>
      <c r="B178" s="440"/>
      <c r="C178" s="2" t="s">
        <v>995</v>
      </c>
      <c r="D178" s="29" t="s">
        <v>710</v>
      </c>
      <c r="E178" s="25" t="s">
        <v>1065</v>
      </c>
      <c r="F178" s="25"/>
      <c r="G178" s="2"/>
    </row>
    <row r="179" spans="1:7" ht="20.25" customHeight="1">
      <c r="A179" s="453"/>
      <c r="B179" s="440"/>
      <c r="C179" s="2" t="s">
        <v>388</v>
      </c>
      <c r="D179" s="29" t="s">
        <v>581</v>
      </c>
      <c r="E179" s="25" t="s">
        <v>1158</v>
      </c>
      <c r="F179" s="25" t="s">
        <v>1159</v>
      </c>
      <c r="G179" s="2"/>
    </row>
    <row r="180" spans="1:7" ht="20.25" customHeight="1">
      <c r="A180" s="453"/>
      <c r="B180" s="440"/>
      <c r="C180" s="2" t="s">
        <v>368</v>
      </c>
      <c r="D180" s="29" t="s">
        <v>573</v>
      </c>
      <c r="E180" s="25" t="s">
        <v>1160</v>
      </c>
      <c r="F180" s="25" t="s">
        <v>1161</v>
      </c>
      <c r="G180" s="2"/>
    </row>
    <row r="181" spans="1:7" ht="20.25" customHeight="1">
      <c r="A181" s="453"/>
      <c r="B181" s="440"/>
      <c r="C181" s="2" t="s">
        <v>1081</v>
      </c>
      <c r="D181" s="29" t="s">
        <v>710</v>
      </c>
      <c r="E181" s="25" t="s">
        <v>1065</v>
      </c>
      <c r="F181" s="25" t="s">
        <v>1162</v>
      </c>
      <c r="G181" s="2"/>
    </row>
    <row r="182" spans="1:7" ht="20.25" customHeight="1">
      <c r="A182" s="441" t="s">
        <v>1163</v>
      </c>
      <c r="B182" s="442" t="s">
        <v>932</v>
      </c>
      <c r="C182" s="2" t="s">
        <v>879</v>
      </c>
      <c r="D182" s="2"/>
      <c r="E182" s="25"/>
      <c r="F182" s="25"/>
      <c r="G182" s="2"/>
    </row>
    <row r="183" spans="1:7" ht="20.25" customHeight="1">
      <c r="A183" s="441"/>
      <c r="B183" s="442"/>
      <c r="C183" s="2" t="s">
        <v>1073</v>
      </c>
      <c r="D183" s="2"/>
      <c r="E183" s="25"/>
      <c r="F183" s="25"/>
      <c r="G183" s="2"/>
    </row>
    <row r="184" spans="1:7" ht="20.25" customHeight="1">
      <c r="A184" s="441"/>
      <c r="B184" s="442"/>
      <c r="C184" s="2" t="s">
        <v>1070</v>
      </c>
      <c r="D184" s="29" t="s">
        <v>710</v>
      </c>
      <c r="E184" s="25" t="s">
        <v>1065</v>
      </c>
      <c r="F184" s="25" t="s">
        <v>1164</v>
      </c>
      <c r="G184" s="2" t="s">
        <v>1165</v>
      </c>
    </row>
    <row r="185" spans="1:7" ht="20.25" customHeight="1">
      <c r="A185" s="441"/>
      <c r="B185" s="442"/>
      <c r="C185" s="2" t="s">
        <v>326</v>
      </c>
      <c r="D185" s="29" t="s">
        <v>710</v>
      </c>
      <c r="E185" s="25" t="s">
        <v>1166</v>
      </c>
      <c r="F185" s="25" t="s">
        <v>1167</v>
      </c>
      <c r="G185" s="2"/>
    </row>
    <row r="186" spans="1:7" ht="20.25" customHeight="1">
      <c r="A186" s="441"/>
      <c r="B186" s="442"/>
      <c r="C186" s="2" t="s">
        <v>289</v>
      </c>
      <c r="D186" s="29" t="s">
        <v>710</v>
      </c>
      <c r="E186" s="25" t="s">
        <v>1168</v>
      </c>
      <c r="F186" s="25" t="s">
        <v>1169</v>
      </c>
      <c r="G186" s="2"/>
    </row>
    <row r="187" spans="1:7" ht="20.25" customHeight="1">
      <c r="A187" s="441"/>
      <c r="B187" s="442"/>
      <c r="C187" s="2" t="s">
        <v>339</v>
      </c>
      <c r="D187" s="29" t="s">
        <v>710</v>
      </c>
      <c r="E187" s="25" t="s">
        <v>1065</v>
      </c>
      <c r="F187" s="25" t="s">
        <v>1170</v>
      </c>
      <c r="G187" s="2"/>
    </row>
    <row r="188" spans="1:7" ht="20.25" customHeight="1">
      <c r="A188" s="441"/>
      <c r="B188" s="442"/>
      <c r="C188" s="2" t="s">
        <v>995</v>
      </c>
      <c r="D188" s="29" t="s">
        <v>710</v>
      </c>
      <c r="E188" s="25" t="s">
        <v>1065</v>
      </c>
      <c r="F188" s="25" t="s">
        <v>1170</v>
      </c>
      <c r="G188" s="2"/>
    </row>
    <row r="189" spans="1:7" ht="20.25" customHeight="1">
      <c r="A189" s="441" t="s">
        <v>1171</v>
      </c>
      <c r="B189" s="442" t="s">
        <v>292</v>
      </c>
      <c r="C189" s="2" t="s">
        <v>339</v>
      </c>
      <c r="D189" s="29" t="s">
        <v>710</v>
      </c>
      <c r="E189" s="25" t="s">
        <v>1172</v>
      </c>
      <c r="F189" s="25" t="s">
        <v>1173</v>
      </c>
      <c r="G189" s="2"/>
    </row>
    <row r="190" spans="1:7" ht="20.25" customHeight="1">
      <c r="A190" s="441"/>
      <c r="B190" s="442"/>
      <c r="C190" s="2" t="s">
        <v>368</v>
      </c>
      <c r="D190" s="29" t="s">
        <v>573</v>
      </c>
      <c r="E190" s="25" t="s">
        <v>1174</v>
      </c>
      <c r="F190" s="25" t="s">
        <v>1175</v>
      </c>
      <c r="G190" s="2" t="s">
        <v>1176</v>
      </c>
    </row>
    <row r="191" spans="1:7" ht="36" customHeight="1">
      <c r="A191" s="441"/>
      <c r="B191" s="442"/>
      <c r="C191" s="2" t="s">
        <v>389</v>
      </c>
      <c r="D191" s="29" t="s">
        <v>761</v>
      </c>
      <c r="E191" s="2" t="s">
        <v>1177</v>
      </c>
      <c r="F191" s="370" t="s">
        <v>1178</v>
      </c>
    </row>
    <row r="192" spans="1:7" ht="20.25" customHeight="1">
      <c r="A192" s="441"/>
      <c r="B192" s="442"/>
      <c r="C192" s="2" t="s">
        <v>367</v>
      </c>
      <c r="D192" s="29" t="s">
        <v>761</v>
      </c>
      <c r="E192" s="2" t="s">
        <v>1177</v>
      </c>
      <c r="F192" s="369" t="s">
        <v>1179</v>
      </c>
      <c r="G192" s="369" t="s">
        <v>1180</v>
      </c>
    </row>
    <row r="193" spans="1:6" ht="20.25" customHeight="1">
      <c r="A193" s="441"/>
      <c r="B193" s="442"/>
      <c r="C193" s="2" t="s">
        <v>1081</v>
      </c>
      <c r="D193" s="29" t="s">
        <v>710</v>
      </c>
      <c r="E193" s="2" t="s">
        <v>1181</v>
      </c>
      <c r="F193" s="2" t="s">
        <v>1182</v>
      </c>
    </row>
    <row r="194" spans="1:6" ht="20.25" customHeight="1">
      <c r="A194" s="441"/>
      <c r="B194" s="442"/>
      <c r="C194" s="2" t="s">
        <v>333</v>
      </c>
      <c r="D194" s="29" t="s">
        <v>710</v>
      </c>
      <c r="E194" s="2" t="s">
        <v>1181</v>
      </c>
      <c r="F194" s="2" t="s">
        <v>1182</v>
      </c>
    </row>
    <row r="195" spans="1:6" ht="20.25" customHeight="1">
      <c r="A195" s="441"/>
      <c r="B195" s="442"/>
      <c r="C195" s="2" t="s">
        <v>289</v>
      </c>
      <c r="D195" s="29" t="s">
        <v>710</v>
      </c>
      <c r="E195" s="25" t="s">
        <v>1183</v>
      </c>
      <c r="F195" s="25" t="s">
        <v>1184</v>
      </c>
    </row>
    <row r="196" spans="1:6" ht="20.25" customHeight="1">
      <c r="A196" s="441"/>
      <c r="B196" s="442"/>
      <c r="C196" s="2" t="s">
        <v>326</v>
      </c>
      <c r="D196" s="29" t="s">
        <v>710</v>
      </c>
      <c r="E196" s="25" t="s">
        <v>1172</v>
      </c>
      <c r="F196" s="2" t="s">
        <v>1144</v>
      </c>
    </row>
    <row r="197" spans="1:6" ht="20.25" customHeight="1">
      <c r="A197" s="441"/>
      <c r="B197" s="442"/>
      <c r="C197" s="2" t="s">
        <v>1185</v>
      </c>
      <c r="D197" s="29" t="s">
        <v>710</v>
      </c>
      <c r="E197" s="25" t="s">
        <v>1172</v>
      </c>
      <c r="F197" s="2" t="s">
        <v>1144</v>
      </c>
    </row>
    <row r="198" spans="1:6" ht="20.25" customHeight="1">
      <c r="A198" s="441" t="s">
        <v>1186</v>
      </c>
      <c r="B198" s="442" t="s">
        <v>292</v>
      </c>
    </row>
    <row r="199" spans="1:6" ht="20.25" customHeight="1">
      <c r="A199" s="441"/>
      <c r="B199" s="442"/>
    </row>
    <row r="200" spans="1:6" ht="20.25" customHeight="1">
      <c r="A200" s="441"/>
      <c r="B200" s="442"/>
    </row>
    <row r="201" spans="1:6" ht="20.25" customHeight="1">
      <c r="A201" s="441"/>
      <c r="B201" s="442"/>
    </row>
    <row r="202" spans="1:6" ht="20.25" customHeight="1">
      <c r="A202" s="441"/>
      <c r="B202" s="442"/>
    </row>
    <row r="203" spans="1:6" ht="20.25" customHeight="1">
      <c r="A203" s="441"/>
      <c r="B203" s="442"/>
    </row>
    <row r="204" spans="1:6" ht="20.25" customHeight="1">
      <c r="A204" s="441"/>
      <c r="B204" s="442"/>
    </row>
    <row r="205" spans="1:6" ht="20.25" customHeight="1">
      <c r="A205" s="441"/>
      <c r="B205" s="442"/>
    </row>
    <row r="206" spans="1:6" ht="20.25" customHeight="1">
      <c r="A206" s="441"/>
      <c r="B206" s="442"/>
    </row>
  </sheetData>
  <mergeCells count="35">
    <mergeCell ref="F111:F116"/>
    <mergeCell ref="E111:E116"/>
    <mergeCell ref="A128:A138"/>
    <mergeCell ref="B128:B138"/>
    <mergeCell ref="A149:A163"/>
    <mergeCell ref="B149:B163"/>
    <mergeCell ref="A139:A148"/>
    <mergeCell ref="B139:B148"/>
    <mergeCell ref="A103:A110"/>
    <mergeCell ref="A71:A81"/>
    <mergeCell ref="A182:A188"/>
    <mergeCell ref="B182:B188"/>
    <mergeCell ref="A189:A197"/>
    <mergeCell ref="A82:A96"/>
    <mergeCell ref="A111:A127"/>
    <mergeCell ref="B111:B127"/>
    <mergeCell ref="B164:B181"/>
    <mergeCell ref="A164:A181"/>
    <mergeCell ref="B189:B197"/>
    <mergeCell ref="A198:A206"/>
    <mergeCell ref="B198:B206"/>
    <mergeCell ref="A5:A7"/>
    <mergeCell ref="A8:A12"/>
    <mergeCell ref="B13:B24"/>
    <mergeCell ref="A13:A24"/>
    <mergeCell ref="A58:A70"/>
    <mergeCell ref="B58:B70"/>
    <mergeCell ref="A44:A57"/>
    <mergeCell ref="B44:B57"/>
    <mergeCell ref="A25:A43"/>
    <mergeCell ref="B25:B43"/>
    <mergeCell ref="B71:B81"/>
    <mergeCell ref="A97:A102"/>
    <mergeCell ref="B82:B96"/>
    <mergeCell ref="B97:B110"/>
  </mergeCells>
  <phoneticPr fontId="3" type="noConversion"/>
  <conditionalFormatting sqref="C86:C94">
    <cfRule type="duplicateValues" dxfId="70" priority="1"/>
  </conditionalFormatting>
  <dataValidations count="2">
    <dataValidation type="list" allowBlank="1" showInputMessage="1" showErrorMessage="1" sqref="D3:D126 D128:D149 D151:D181 D184:D197" xr:uid="{CA2EA8D0-2AE8-4E37-99EB-51745C373A5E}">
      <formula1>"프로모션제안,API 연동 진행,테스트/검증,요금/물량 이슈,라이브 오픈 준비,인증/테스트 완료,매핑/콘텐츠,신규 계약,계약 갱신,정산이슈,이상 없음(No Issue),기타"</formula1>
    </dataValidation>
    <dataValidation type="list" allowBlank="1" showInputMessage="1" showErrorMessage="1" promptTitle="유형 선택 / Select Type" prompt="드롭다운에서 선택하세요_x000a_Select from dropdown" sqref="D127 D150 D182:D183" xr:uid="{A3498D1D-F4B5-4836-BB18-4718D4FE1556}">
      <formula1>"API이슈,프로모션제안,요금문제,시스템장애,기타"</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66C8-40F7-46FB-9EAD-60500978D52A}">
  <dimension ref="A1:D10"/>
  <sheetViews>
    <sheetView workbookViewId="0">
      <selection activeCell="F8" sqref="F8"/>
    </sheetView>
  </sheetViews>
  <sheetFormatPr defaultColWidth="28.75" defaultRowHeight="24.75" customHeight="1"/>
  <cols>
    <col min="1" max="1" width="36.75" customWidth="1"/>
  </cols>
  <sheetData>
    <row r="1" spans="1:4" ht="24.75" customHeight="1">
      <c r="A1" s="75" t="s">
        <v>1187</v>
      </c>
      <c r="B1" s="75" t="s">
        <v>1188</v>
      </c>
      <c r="C1" s="75" t="s">
        <v>1189</v>
      </c>
      <c r="D1" s="75" t="s">
        <v>1190</v>
      </c>
    </row>
    <row r="2" spans="1:4" ht="24.75" customHeight="1">
      <c r="A2" s="75" t="s">
        <v>1191</v>
      </c>
      <c r="B2" s="75">
        <v>2023</v>
      </c>
      <c r="C2" s="457" t="s">
        <v>1192</v>
      </c>
      <c r="D2" s="76"/>
    </row>
    <row r="3" spans="1:4" ht="24.75" customHeight="1">
      <c r="A3" s="75" t="s">
        <v>1193</v>
      </c>
      <c r="B3" s="75">
        <v>2024</v>
      </c>
      <c r="C3" s="458"/>
      <c r="D3" s="76"/>
    </row>
    <row r="4" spans="1:4" ht="24.75" customHeight="1">
      <c r="A4" s="75" t="s">
        <v>1193</v>
      </c>
      <c r="B4" s="75">
        <v>2025</v>
      </c>
      <c r="C4" s="458"/>
      <c r="D4" s="76" t="s">
        <v>1194</v>
      </c>
    </row>
    <row r="5" spans="1:4" ht="24.75" customHeight="1">
      <c r="A5" s="75" t="s">
        <v>1195</v>
      </c>
      <c r="B5" s="75">
        <v>2025</v>
      </c>
      <c r="C5" s="458"/>
      <c r="D5" s="76" t="s">
        <v>1196</v>
      </c>
    </row>
    <row r="6" spans="1:4" ht="24.75" customHeight="1">
      <c r="A6" s="75" t="s">
        <v>1197</v>
      </c>
      <c r="B6" s="75">
        <v>2026</v>
      </c>
      <c r="C6" s="459"/>
      <c r="D6" s="76" t="s">
        <v>1196</v>
      </c>
    </row>
    <row r="7" spans="1:4" ht="24.75" customHeight="1">
      <c r="A7" s="75" t="s">
        <v>1198</v>
      </c>
      <c r="B7" s="75">
        <v>2022</v>
      </c>
      <c r="C7" s="456" t="s">
        <v>1199</v>
      </c>
      <c r="D7" s="76"/>
    </row>
    <row r="8" spans="1:4" ht="24.75" customHeight="1">
      <c r="A8" s="75" t="s">
        <v>1200</v>
      </c>
      <c r="B8" s="75">
        <v>2025</v>
      </c>
      <c r="C8" s="456"/>
      <c r="D8" s="76"/>
    </row>
    <row r="9" spans="1:4" ht="24.75" customHeight="1">
      <c r="A9" s="110" t="s">
        <v>1201</v>
      </c>
      <c r="B9" s="110">
        <v>2025</v>
      </c>
      <c r="C9" s="110" t="s">
        <v>1202</v>
      </c>
      <c r="D9" s="112"/>
    </row>
    <row r="10" spans="1:4" ht="24.75" customHeight="1">
      <c r="A10" s="111" t="s">
        <v>1203</v>
      </c>
      <c r="B10" s="111">
        <v>2025</v>
      </c>
      <c r="C10" s="111" t="s">
        <v>368</v>
      </c>
      <c r="D10" s="111"/>
    </row>
  </sheetData>
  <mergeCells count="2">
    <mergeCell ref="C7:C8"/>
    <mergeCell ref="C2:C6"/>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2986-9C8D-4EFF-8A90-608CB03349F4}">
  <sheetPr>
    <tabColor rgb="FFFF0000"/>
  </sheetPr>
  <dimension ref="A1:AJ457"/>
  <sheetViews>
    <sheetView zoomScale="78" zoomScaleNormal="78" workbookViewId="0">
      <pane xSplit="6" ySplit="2" topLeftCell="G3" activePane="bottomRight" state="frozen"/>
      <selection pane="bottomRight" activeCell="G11" sqref="G11"/>
      <selection pane="bottomLeft" activeCell="A3" sqref="A3"/>
      <selection pane="topRight" activeCell="D1" sqref="D1"/>
    </sheetView>
  </sheetViews>
  <sheetFormatPr defaultColWidth="9" defaultRowHeight="24.75" customHeight="1" outlineLevelCol="1"/>
  <cols>
    <col min="1" max="1" width="5" style="1" bestFit="1" customWidth="1"/>
    <col min="2" max="2" width="10.875" style="1" customWidth="1"/>
    <col min="3" max="3" width="6.875" style="1" bestFit="1" customWidth="1"/>
    <col min="4" max="4" width="5.25" style="1" customWidth="1"/>
    <col min="5" max="5" width="9.75" style="1" customWidth="1"/>
    <col min="6" max="6" width="19" style="1" customWidth="1"/>
    <col min="7" max="7" width="28.625" style="1" customWidth="1"/>
    <col min="8" max="8" width="11.25" style="1" bestFit="1" customWidth="1"/>
    <col min="9" max="9" width="13.625" style="1" bestFit="1" customWidth="1"/>
    <col min="10" max="10" width="14" style="1" bestFit="1" customWidth="1"/>
    <col min="11" max="11" width="28.625" style="1" customWidth="1"/>
    <col min="12" max="12" width="21.125" style="1" bestFit="1" customWidth="1"/>
    <col min="13" max="13" width="28.625" style="1" customWidth="1"/>
    <col min="14" max="14" width="24.75" style="1" bestFit="1" customWidth="1"/>
    <col min="15" max="16" width="28.625" style="1" customWidth="1"/>
    <col min="17" max="17" width="9.25" style="1" bestFit="1" customWidth="1"/>
    <col min="18" max="18" width="11" style="1" bestFit="1" customWidth="1"/>
    <col min="19" max="19" width="9" style="1" bestFit="1" customWidth="1"/>
    <col min="20" max="20" width="8" style="1" bestFit="1" customWidth="1"/>
    <col min="21" max="21" width="8.25" style="1" customWidth="1"/>
    <col min="22" max="22" width="28.625" style="1" customWidth="1"/>
    <col min="23" max="23" width="15.125" style="1" bestFit="1" customWidth="1"/>
    <col min="24" max="26" width="28.625" style="1" customWidth="1"/>
    <col min="27" max="27" width="28.625" style="3" customWidth="1"/>
    <col min="28" max="28" width="9.25" style="1" customWidth="1" outlineLevel="1"/>
    <col min="29" max="29" width="10.125" style="1" customWidth="1" outlineLevel="1"/>
    <col min="30" max="30" width="9.375" style="1" customWidth="1" outlineLevel="1"/>
    <col min="31" max="31" width="10.25" style="1" customWidth="1" outlineLevel="1"/>
    <col min="32" max="33" width="8.625" style="1" bestFit="1" customWidth="1" outlineLevel="1"/>
    <col min="34" max="34" width="17.375" style="1" bestFit="1" customWidth="1" outlineLevel="1"/>
    <col min="35" max="35" width="11.125" style="1" bestFit="1" customWidth="1" outlineLevel="1"/>
    <col min="36" max="36" width="16.125" style="1" bestFit="1" customWidth="1" outlineLevel="1"/>
    <col min="37" max="16384" width="9" style="1"/>
  </cols>
  <sheetData>
    <row r="1" spans="1:36" ht="24.75" customHeight="1">
      <c r="A1" s="116"/>
      <c r="B1" s="264" t="s">
        <v>1204</v>
      </c>
      <c r="C1" s="264"/>
      <c r="D1" s="264"/>
      <c r="E1" s="264"/>
      <c r="F1" s="265"/>
      <c r="G1" s="266"/>
      <c r="H1" s="264"/>
      <c r="I1" s="264"/>
      <c r="J1" s="264"/>
      <c r="K1" s="266"/>
      <c r="L1" s="264"/>
      <c r="M1" s="266"/>
      <c r="N1" s="264"/>
      <c r="O1" s="266"/>
      <c r="P1" s="266"/>
      <c r="Q1" s="264"/>
      <c r="R1" s="264"/>
      <c r="S1" s="264"/>
      <c r="T1" s="264"/>
      <c r="U1" s="264"/>
      <c r="V1" s="266"/>
      <c r="W1" s="264"/>
      <c r="X1" s="266"/>
      <c r="Y1" s="266"/>
      <c r="Z1" s="266"/>
      <c r="AA1" s="267"/>
      <c r="AB1" s="460"/>
      <c r="AC1" s="460"/>
      <c r="AD1" s="460"/>
      <c r="AE1" s="460"/>
      <c r="AF1" s="460"/>
      <c r="AG1" s="460"/>
      <c r="AH1" s="460"/>
      <c r="AI1" s="460"/>
      <c r="AJ1" s="461"/>
    </row>
    <row r="2" spans="1:36" ht="24.75" customHeight="1">
      <c r="A2" s="116" t="s">
        <v>1205</v>
      </c>
      <c r="B2" s="268" t="s">
        <v>229</v>
      </c>
      <c r="C2" s="268" t="s">
        <v>1206</v>
      </c>
      <c r="D2" s="268" t="s">
        <v>1207</v>
      </c>
      <c r="E2" s="268" t="s">
        <v>1208</v>
      </c>
      <c r="F2" s="269" t="s">
        <v>1209</v>
      </c>
      <c r="G2" s="269" t="s">
        <v>1210</v>
      </c>
      <c r="H2" s="268" t="s">
        <v>1211</v>
      </c>
      <c r="I2" s="268" t="s">
        <v>1212</v>
      </c>
      <c r="J2" s="268" t="s">
        <v>1213</v>
      </c>
      <c r="K2" s="269" t="s">
        <v>1214</v>
      </c>
      <c r="L2" s="268" t="s">
        <v>1215</v>
      </c>
      <c r="M2" s="269" t="s">
        <v>1216</v>
      </c>
      <c r="N2" s="268" t="s">
        <v>1217</v>
      </c>
      <c r="O2" s="269" t="s">
        <v>1218</v>
      </c>
      <c r="P2" s="269" t="s">
        <v>1219</v>
      </c>
      <c r="Q2" s="269" t="s">
        <v>1220</v>
      </c>
      <c r="R2" s="269" t="s">
        <v>235</v>
      </c>
      <c r="S2" s="269" t="s">
        <v>1221</v>
      </c>
      <c r="T2" s="269" t="s">
        <v>1222</v>
      </c>
      <c r="U2" s="269" t="s">
        <v>1223</v>
      </c>
      <c r="V2" s="269" t="s">
        <v>1224</v>
      </c>
      <c r="W2" s="268" t="s">
        <v>1225</v>
      </c>
      <c r="X2" s="269" t="s">
        <v>1226</v>
      </c>
      <c r="Y2" s="269" t="s">
        <v>1227</v>
      </c>
      <c r="Z2" s="269" t="s">
        <v>1228</v>
      </c>
      <c r="AA2" s="270" t="s">
        <v>1229</v>
      </c>
      <c r="AB2" s="271" t="s">
        <v>1230</v>
      </c>
      <c r="AC2" s="271" t="s">
        <v>1231</v>
      </c>
      <c r="AD2" s="271" t="s">
        <v>1232</v>
      </c>
      <c r="AE2" s="271" t="s">
        <v>1233</v>
      </c>
      <c r="AF2" s="271" t="s">
        <v>1234</v>
      </c>
      <c r="AG2" s="271" t="s">
        <v>1235</v>
      </c>
      <c r="AH2" s="271" t="s">
        <v>1236</v>
      </c>
      <c r="AI2" s="272" t="s">
        <v>1237</v>
      </c>
      <c r="AJ2" s="273" t="s">
        <v>1238</v>
      </c>
    </row>
    <row r="3" spans="1:36" s="2" customFormat="1" ht="24.75" customHeight="1">
      <c r="A3" s="116"/>
      <c r="B3" s="117" t="s">
        <v>1239</v>
      </c>
      <c r="C3" s="117" t="s">
        <v>1240</v>
      </c>
      <c r="D3" s="117">
        <v>1500</v>
      </c>
      <c r="E3" s="117" t="s">
        <v>1241</v>
      </c>
      <c r="F3" s="118" t="s">
        <v>382</v>
      </c>
      <c r="G3" s="118" t="s">
        <v>1242</v>
      </c>
      <c r="H3" s="117" t="s">
        <v>292</v>
      </c>
      <c r="I3" s="117"/>
      <c r="J3" s="117" t="s">
        <v>279</v>
      </c>
      <c r="K3" s="123" t="s">
        <v>1243</v>
      </c>
      <c r="L3" s="117" t="s">
        <v>1244</v>
      </c>
      <c r="M3" s="123" t="s">
        <v>259</v>
      </c>
      <c r="N3" s="117" t="s">
        <v>1245</v>
      </c>
      <c r="O3" s="118" t="s">
        <v>1246</v>
      </c>
      <c r="P3" s="118" t="s">
        <v>1247</v>
      </c>
      <c r="Q3" s="117"/>
      <c r="R3" s="117"/>
      <c r="S3" s="117"/>
      <c r="T3" s="117"/>
      <c r="U3" s="117"/>
      <c r="V3" s="127"/>
      <c r="W3" s="119"/>
      <c r="X3" s="128"/>
      <c r="Y3" s="128"/>
      <c r="Z3" s="118" t="s">
        <v>1248</v>
      </c>
      <c r="AA3" s="118" t="s">
        <v>1249</v>
      </c>
      <c r="AB3" s="117"/>
      <c r="AC3" s="117"/>
      <c r="AD3" s="122"/>
      <c r="AE3" s="122"/>
      <c r="AF3" s="122" t="s">
        <v>1250</v>
      </c>
      <c r="AG3" s="122">
        <v>5</v>
      </c>
      <c r="AH3" s="122"/>
      <c r="AI3" s="122">
        <v>0</v>
      </c>
      <c r="AJ3" s="122"/>
    </row>
    <row r="4" spans="1:36" s="2" customFormat="1" ht="24.75" customHeight="1">
      <c r="A4" s="116"/>
      <c r="B4" s="117" t="s">
        <v>1239</v>
      </c>
      <c r="C4" s="117" t="s">
        <v>1240</v>
      </c>
      <c r="D4" s="117">
        <v>1000</v>
      </c>
      <c r="E4" s="117" t="s">
        <v>1241</v>
      </c>
      <c r="F4" s="118" t="s">
        <v>366</v>
      </c>
      <c r="G4" s="118" t="s">
        <v>1251</v>
      </c>
      <c r="H4" s="117" t="s">
        <v>422</v>
      </c>
      <c r="I4" s="117" t="s">
        <v>1252</v>
      </c>
      <c r="J4" s="117" t="s">
        <v>1253</v>
      </c>
      <c r="K4" s="123" t="s">
        <v>1244</v>
      </c>
      <c r="L4" s="117" t="s">
        <v>1244</v>
      </c>
      <c r="M4" s="123" t="s">
        <v>1253</v>
      </c>
      <c r="N4" s="117" t="s">
        <v>1245</v>
      </c>
      <c r="O4" s="118" t="s">
        <v>1254</v>
      </c>
      <c r="P4" s="118" t="s">
        <v>1255</v>
      </c>
      <c r="Q4" s="117"/>
      <c r="R4" s="117"/>
      <c r="S4" s="117" t="s">
        <v>1239</v>
      </c>
      <c r="T4" s="117"/>
      <c r="U4" s="117"/>
      <c r="V4" s="123" t="s">
        <v>1256</v>
      </c>
      <c r="W4" s="117"/>
      <c r="X4" s="144" t="s">
        <v>1257</v>
      </c>
      <c r="Y4" s="128"/>
      <c r="Z4" s="128" t="s">
        <v>1258</v>
      </c>
      <c r="AA4" s="124" t="s">
        <v>1259</v>
      </c>
      <c r="AB4" s="122"/>
      <c r="AC4" s="122"/>
      <c r="AD4" s="122"/>
      <c r="AE4" s="122"/>
      <c r="AF4" s="122"/>
      <c r="AG4" s="122"/>
      <c r="AH4" s="122"/>
      <c r="AI4" s="122"/>
      <c r="AJ4" s="122"/>
    </row>
    <row r="5" spans="1:36" ht="24.75" customHeight="1">
      <c r="A5" s="116"/>
      <c r="B5" s="117" t="s">
        <v>1239</v>
      </c>
      <c r="C5" s="117" t="s">
        <v>1260</v>
      </c>
      <c r="D5" s="117"/>
      <c r="E5" s="117" t="s">
        <v>1241</v>
      </c>
      <c r="F5" s="128" t="s">
        <v>383</v>
      </c>
      <c r="G5" s="118" t="s">
        <v>1261</v>
      </c>
      <c r="H5" s="117" t="s">
        <v>292</v>
      </c>
      <c r="I5" s="117"/>
      <c r="J5" s="117" t="s">
        <v>267</v>
      </c>
      <c r="K5" s="123" t="s">
        <v>1243</v>
      </c>
      <c r="L5" s="117" t="s">
        <v>267</v>
      </c>
      <c r="M5" s="123" t="s">
        <v>1262</v>
      </c>
      <c r="N5" s="117" t="s">
        <v>1263</v>
      </c>
      <c r="O5" s="118" t="s">
        <v>1264</v>
      </c>
      <c r="P5" s="118" t="s">
        <v>1265</v>
      </c>
      <c r="Q5" s="117"/>
      <c r="R5" s="117"/>
      <c r="S5" s="117" t="s">
        <v>1239</v>
      </c>
      <c r="T5" s="117"/>
      <c r="U5" s="117"/>
      <c r="V5" s="167" t="s">
        <v>1266</v>
      </c>
      <c r="W5" s="125"/>
      <c r="X5" s="128" t="s">
        <v>1267</v>
      </c>
      <c r="Y5" s="128"/>
      <c r="Z5" s="128" t="s">
        <v>383</v>
      </c>
      <c r="AA5" s="126" t="s">
        <v>1268</v>
      </c>
      <c r="AB5" s="117" t="s">
        <v>1269</v>
      </c>
      <c r="AC5" s="117" t="s">
        <v>1270</v>
      </c>
      <c r="AD5" s="117" t="s">
        <v>1269</v>
      </c>
      <c r="AE5" s="117" t="s">
        <v>1269</v>
      </c>
      <c r="AF5" s="122" t="s">
        <v>1271</v>
      </c>
      <c r="AG5" s="122">
        <v>5</v>
      </c>
      <c r="AH5" s="122"/>
      <c r="AI5" s="122"/>
      <c r="AJ5" s="122" t="s">
        <v>1272</v>
      </c>
    </row>
    <row r="6" spans="1:36" ht="24.75" customHeight="1">
      <c r="A6" s="116"/>
      <c r="B6" s="117" t="s">
        <v>1239</v>
      </c>
      <c r="C6" s="117" t="s">
        <v>1240</v>
      </c>
      <c r="D6" s="117"/>
      <c r="E6" s="117" t="s">
        <v>1241</v>
      </c>
      <c r="F6" s="128" t="s">
        <v>388</v>
      </c>
      <c r="G6" s="118" t="s">
        <v>1273</v>
      </c>
      <c r="H6" s="117" t="s">
        <v>292</v>
      </c>
      <c r="I6" s="117"/>
      <c r="J6" s="117" t="s">
        <v>267</v>
      </c>
      <c r="K6" s="123" t="s">
        <v>1243</v>
      </c>
      <c r="L6" s="117" t="s">
        <v>267</v>
      </c>
      <c r="M6" s="123" t="s">
        <v>1253</v>
      </c>
      <c r="N6" s="117" t="s">
        <v>1274</v>
      </c>
      <c r="O6" s="118" t="s">
        <v>1275</v>
      </c>
      <c r="P6" s="118" t="s">
        <v>1276</v>
      </c>
      <c r="Q6" s="117"/>
      <c r="R6" s="117"/>
      <c r="S6" s="117"/>
      <c r="T6" s="117"/>
      <c r="U6" s="117"/>
      <c r="V6" s="127" t="s">
        <v>1277</v>
      </c>
      <c r="W6" s="119"/>
      <c r="X6" s="128" t="s">
        <v>1278</v>
      </c>
      <c r="Y6" s="128"/>
      <c r="Z6" s="118"/>
      <c r="AA6" s="126" t="s">
        <v>1279</v>
      </c>
      <c r="AB6" s="117" t="s">
        <v>1269</v>
      </c>
      <c r="AC6" s="117" t="s">
        <v>1270</v>
      </c>
      <c r="AD6" s="117" t="s">
        <v>1269</v>
      </c>
      <c r="AE6" s="117" t="s">
        <v>1269</v>
      </c>
      <c r="AF6" s="122" t="s">
        <v>1250</v>
      </c>
      <c r="AG6" s="122">
        <v>7</v>
      </c>
      <c r="AH6" s="122"/>
      <c r="AI6" s="122"/>
      <c r="AJ6" s="122" t="s">
        <v>1272</v>
      </c>
    </row>
    <row r="7" spans="1:36" ht="24.75" customHeight="1">
      <c r="A7" s="116"/>
      <c r="B7" s="117" t="s">
        <v>1239</v>
      </c>
      <c r="C7" s="117" t="s">
        <v>1260</v>
      </c>
      <c r="D7" s="117"/>
      <c r="E7" s="117" t="s">
        <v>1241</v>
      </c>
      <c r="F7" s="128" t="s">
        <v>389</v>
      </c>
      <c r="G7" s="118" t="s">
        <v>1280</v>
      </c>
      <c r="H7" s="117" t="s">
        <v>292</v>
      </c>
      <c r="I7" s="117"/>
      <c r="J7" s="117" t="s">
        <v>267</v>
      </c>
      <c r="K7" s="123" t="s">
        <v>1243</v>
      </c>
      <c r="L7" s="117" t="s">
        <v>267</v>
      </c>
      <c r="M7" s="123" t="s">
        <v>259</v>
      </c>
      <c r="N7" s="117" t="s">
        <v>1245</v>
      </c>
      <c r="O7" s="118" t="s">
        <v>1281</v>
      </c>
      <c r="P7" s="118" t="s">
        <v>1282</v>
      </c>
      <c r="Q7" s="117"/>
      <c r="R7" s="117"/>
      <c r="S7" s="117"/>
      <c r="T7" s="117"/>
      <c r="U7" s="117"/>
      <c r="V7" s="127" t="s">
        <v>1283</v>
      </c>
      <c r="W7" s="119"/>
      <c r="X7" s="128" t="s">
        <v>1284</v>
      </c>
      <c r="Y7" s="128"/>
      <c r="Z7" s="118"/>
      <c r="AA7" s="118" t="s">
        <v>1285</v>
      </c>
      <c r="AB7" s="117" t="s">
        <v>1270</v>
      </c>
      <c r="AC7" s="117" t="s">
        <v>1270</v>
      </c>
      <c r="AD7" s="117" t="s">
        <v>1270</v>
      </c>
      <c r="AE7" s="117" t="s">
        <v>1270</v>
      </c>
      <c r="AF7" s="122" t="s">
        <v>1250</v>
      </c>
      <c r="AG7" s="122">
        <v>7</v>
      </c>
      <c r="AH7" s="122"/>
      <c r="AI7" s="122"/>
      <c r="AJ7" s="122" t="s">
        <v>1272</v>
      </c>
    </row>
    <row r="8" spans="1:36" ht="24.75" customHeight="1">
      <c r="A8" s="116"/>
      <c r="B8" s="117" t="s">
        <v>1239</v>
      </c>
      <c r="C8" s="117" t="s">
        <v>1260</v>
      </c>
      <c r="D8" s="117"/>
      <c r="E8" s="117" t="s">
        <v>1241</v>
      </c>
      <c r="F8" s="128" t="s">
        <v>390</v>
      </c>
      <c r="G8" s="118" t="s">
        <v>1286</v>
      </c>
      <c r="H8" s="117" t="s">
        <v>292</v>
      </c>
      <c r="I8" s="117"/>
      <c r="J8" s="117" t="s">
        <v>1287</v>
      </c>
      <c r="K8" s="123" t="s">
        <v>1243</v>
      </c>
      <c r="L8" s="117" t="s">
        <v>267</v>
      </c>
      <c r="M8" s="123" t="s">
        <v>1262</v>
      </c>
      <c r="N8" s="117" t="s">
        <v>1263</v>
      </c>
      <c r="O8" s="118" t="s">
        <v>1288</v>
      </c>
      <c r="P8" s="118" t="s">
        <v>1289</v>
      </c>
      <c r="Q8" s="117"/>
      <c r="R8" s="117"/>
      <c r="S8" s="117"/>
      <c r="T8" s="117"/>
      <c r="U8" s="117"/>
      <c r="V8" s="127" t="s">
        <v>1290</v>
      </c>
      <c r="W8" s="119"/>
      <c r="X8" s="128" t="s">
        <v>1291</v>
      </c>
      <c r="Y8" s="128"/>
      <c r="Z8" s="118" t="s">
        <v>1292</v>
      </c>
      <c r="AA8" s="126" t="s">
        <v>1293</v>
      </c>
      <c r="AB8" s="117" t="s">
        <v>1269</v>
      </c>
      <c r="AC8" s="117" t="s">
        <v>1269</v>
      </c>
      <c r="AD8" s="117" t="s">
        <v>1269</v>
      </c>
      <c r="AE8" s="117" t="s">
        <v>1269</v>
      </c>
      <c r="AF8" s="122" t="s">
        <v>1271</v>
      </c>
      <c r="AG8" s="122">
        <v>7</v>
      </c>
      <c r="AH8" s="122" t="s">
        <v>1294</v>
      </c>
      <c r="AI8" s="123" t="s">
        <v>1295</v>
      </c>
      <c r="AJ8" s="122" t="s">
        <v>1272</v>
      </c>
    </row>
    <row r="9" spans="1:36" ht="24.75" customHeight="1">
      <c r="A9" s="116"/>
      <c r="B9" s="117" t="s">
        <v>1239</v>
      </c>
      <c r="C9" s="117" t="s">
        <v>1240</v>
      </c>
      <c r="D9" s="117">
        <v>100</v>
      </c>
      <c r="E9" s="117" t="s">
        <v>1241</v>
      </c>
      <c r="F9" s="118" t="s">
        <v>391</v>
      </c>
      <c r="G9" s="118" t="s">
        <v>1242</v>
      </c>
      <c r="H9" s="117" t="s">
        <v>422</v>
      </c>
      <c r="I9" s="117" t="s">
        <v>295</v>
      </c>
      <c r="J9" s="117" t="s">
        <v>323</v>
      </c>
      <c r="K9" s="123" t="s">
        <v>1296</v>
      </c>
      <c r="L9" s="117" t="s">
        <v>267</v>
      </c>
      <c r="M9" s="123" t="s">
        <v>323</v>
      </c>
      <c r="N9" s="117" t="s">
        <v>1245</v>
      </c>
      <c r="O9" s="118" t="s">
        <v>1297</v>
      </c>
      <c r="P9" s="118" t="s">
        <v>1298</v>
      </c>
      <c r="Q9" s="117"/>
      <c r="R9" s="117"/>
      <c r="S9" s="117"/>
      <c r="T9" s="117"/>
      <c r="U9" s="117"/>
      <c r="V9" s="127" t="s">
        <v>1299</v>
      </c>
      <c r="W9" s="119"/>
      <c r="X9" s="128" t="s">
        <v>1300</v>
      </c>
      <c r="Y9" s="128"/>
      <c r="Z9" s="118" t="s">
        <v>1301</v>
      </c>
      <c r="AA9" s="118" t="s">
        <v>1302</v>
      </c>
      <c r="AB9" s="117" t="s">
        <v>1303</v>
      </c>
      <c r="AC9" s="117" t="s">
        <v>1303</v>
      </c>
      <c r="AD9" s="117" t="s">
        <v>1303</v>
      </c>
      <c r="AE9" s="117" t="s">
        <v>1303</v>
      </c>
      <c r="AF9" s="122" t="s">
        <v>1250</v>
      </c>
      <c r="AG9" s="122">
        <v>5</v>
      </c>
      <c r="AH9" s="122"/>
      <c r="AI9" s="122">
        <v>0</v>
      </c>
      <c r="AJ9" s="122"/>
    </row>
    <row r="10" spans="1:36" ht="24.75" customHeight="1">
      <c r="A10" s="116"/>
      <c r="B10" s="117" t="s">
        <v>1239</v>
      </c>
      <c r="C10" s="117" t="s">
        <v>1260</v>
      </c>
      <c r="D10" s="117"/>
      <c r="E10" s="117" t="s">
        <v>1241</v>
      </c>
      <c r="F10" s="128" t="s">
        <v>392</v>
      </c>
      <c r="G10" s="118" t="s">
        <v>1304</v>
      </c>
      <c r="H10" s="117" t="s">
        <v>292</v>
      </c>
      <c r="I10" s="117"/>
      <c r="J10" s="117" t="s">
        <v>1262</v>
      </c>
      <c r="K10" s="123" t="s">
        <v>1243</v>
      </c>
      <c r="L10" s="117" t="s">
        <v>267</v>
      </c>
      <c r="M10" s="123" t="s">
        <v>1262</v>
      </c>
      <c r="N10" s="117" t="s">
        <v>1263</v>
      </c>
      <c r="O10" s="118" t="s">
        <v>1305</v>
      </c>
      <c r="P10" s="118" t="s">
        <v>1306</v>
      </c>
      <c r="Q10" s="117"/>
      <c r="R10" s="117"/>
      <c r="S10" s="117"/>
      <c r="T10" s="117"/>
      <c r="U10" s="117"/>
      <c r="V10" s="127" t="s">
        <v>1307</v>
      </c>
      <c r="W10" s="119"/>
      <c r="X10" s="118" t="s">
        <v>1308</v>
      </c>
      <c r="Y10" s="118"/>
      <c r="Z10" s="128" t="s">
        <v>1309</v>
      </c>
      <c r="AA10" s="118" t="s">
        <v>1310</v>
      </c>
      <c r="AB10" s="117" t="s">
        <v>1269</v>
      </c>
      <c r="AC10" s="117" t="s">
        <v>1269</v>
      </c>
      <c r="AD10" s="117" t="s">
        <v>1269</v>
      </c>
      <c r="AE10" s="117" t="s">
        <v>1269</v>
      </c>
      <c r="AF10" s="122" t="s">
        <v>1271</v>
      </c>
      <c r="AG10" s="122">
        <v>15</v>
      </c>
      <c r="AH10" s="122" t="s">
        <v>1294</v>
      </c>
      <c r="AI10" s="117" t="s">
        <v>1311</v>
      </c>
      <c r="AJ10" s="122" t="s">
        <v>1272</v>
      </c>
    </row>
    <row r="11" spans="1:36" ht="24.75" customHeight="1">
      <c r="A11" s="116"/>
      <c r="B11" s="117" t="s">
        <v>1239</v>
      </c>
      <c r="C11" s="117" t="s">
        <v>1312</v>
      </c>
      <c r="D11" s="117"/>
      <c r="E11" s="117" t="s">
        <v>1241</v>
      </c>
      <c r="F11" s="118" t="s">
        <v>393</v>
      </c>
      <c r="G11" s="118" t="s">
        <v>613</v>
      </c>
      <c r="H11" s="117" t="s">
        <v>295</v>
      </c>
      <c r="I11" s="117"/>
      <c r="J11" s="117" t="s">
        <v>259</v>
      </c>
      <c r="K11" s="123" t="s">
        <v>1243</v>
      </c>
      <c r="L11" s="117" t="s">
        <v>259</v>
      </c>
      <c r="M11" s="123" t="s">
        <v>1313</v>
      </c>
      <c r="N11" s="117" t="s">
        <v>1245</v>
      </c>
      <c r="O11" s="118" t="s">
        <v>1314</v>
      </c>
      <c r="P11" s="118" t="s">
        <v>1315</v>
      </c>
      <c r="Q11" s="123"/>
      <c r="R11" s="123"/>
      <c r="S11" s="117"/>
      <c r="T11" s="117"/>
      <c r="U11" s="117"/>
      <c r="V11" s="127">
        <f>82-10-8341-2208</f>
        <v>-10477</v>
      </c>
      <c r="W11" s="119"/>
      <c r="X11" s="118" t="s">
        <v>1316</v>
      </c>
      <c r="Y11" s="118"/>
      <c r="Z11" s="118"/>
      <c r="AA11" s="118" t="s">
        <v>1317</v>
      </c>
      <c r="AB11" s="117" t="s">
        <v>1318</v>
      </c>
      <c r="AC11" s="117" t="s">
        <v>1318</v>
      </c>
      <c r="AD11" s="117" t="s">
        <v>1318</v>
      </c>
      <c r="AE11" s="117" t="s">
        <v>1318</v>
      </c>
      <c r="AF11" s="122" t="s">
        <v>1271</v>
      </c>
      <c r="AG11" s="117">
        <v>15</v>
      </c>
      <c r="AH11" s="117"/>
      <c r="AI11" s="117">
        <v>0</v>
      </c>
      <c r="AJ11" s="117"/>
    </row>
    <row r="12" spans="1:36" ht="24.75" customHeight="1">
      <c r="A12" s="116"/>
      <c r="B12" s="117" t="s">
        <v>1239</v>
      </c>
      <c r="C12" s="117" t="s">
        <v>1312</v>
      </c>
      <c r="D12" s="117"/>
      <c r="E12" s="117" t="s">
        <v>1241</v>
      </c>
      <c r="F12" s="128" t="s">
        <v>394</v>
      </c>
      <c r="G12" s="118" t="s">
        <v>1319</v>
      </c>
      <c r="H12" s="117" t="s">
        <v>292</v>
      </c>
      <c r="I12" s="117"/>
      <c r="J12" s="117" t="s">
        <v>1320</v>
      </c>
      <c r="K12" s="123" t="s">
        <v>1243</v>
      </c>
      <c r="L12" s="117" t="s">
        <v>267</v>
      </c>
      <c r="M12" s="123" t="s">
        <v>1320</v>
      </c>
      <c r="N12" s="117" t="s">
        <v>1263</v>
      </c>
      <c r="O12" s="118" t="s">
        <v>1321</v>
      </c>
      <c r="P12" s="118" t="s">
        <v>1322</v>
      </c>
      <c r="Q12" s="117"/>
      <c r="R12" s="117"/>
      <c r="S12" s="117"/>
      <c r="T12" s="117"/>
      <c r="U12" s="117"/>
      <c r="V12" s="127">
        <f>86-20-31526590</f>
        <v>-31526524</v>
      </c>
      <c r="W12" s="119"/>
      <c r="X12" s="128" t="s">
        <v>1323</v>
      </c>
      <c r="Y12" s="118"/>
      <c r="Z12" s="128" t="s">
        <v>1324</v>
      </c>
      <c r="AA12" s="118" t="s">
        <v>1325</v>
      </c>
      <c r="AB12" s="117" t="s">
        <v>1270</v>
      </c>
      <c r="AC12" s="117" t="s">
        <v>1326</v>
      </c>
      <c r="AD12" s="117" t="s">
        <v>1270</v>
      </c>
      <c r="AE12" s="117" t="s">
        <v>1270</v>
      </c>
      <c r="AF12" s="122" t="s">
        <v>1271</v>
      </c>
      <c r="AG12" s="117">
        <v>15</v>
      </c>
      <c r="AH12" s="122" t="s">
        <v>1294</v>
      </c>
      <c r="AI12" s="117" t="s">
        <v>1327</v>
      </c>
      <c r="AJ12" s="122" t="s">
        <v>1272</v>
      </c>
    </row>
    <row r="13" spans="1:36" ht="24.75" customHeight="1">
      <c r="A13" s="116"/>
      <c r="B13" s="117" t="s">
        <v>1239</v>
      </c>
      <c r="C13" s="117" t="s">
        <v>1312</v>
      </c>
      <c r="D13" s="117"/>
      <c r="E13" s="117" t="s">
        <v>1241</v>
      </c>
      <c r="F13" s="128" t="s">
        <v>367</v>
      </c>
      <c r="G13" s="118" t="s">
        <v>1328</v>
      </c>
      <c r="H13" s="117" t="s">
        <v>292</v>
      </c>
      <c r="I13" s="117"/>
      <c r="J13" s="117" t="s">
        <v>1329</v>
      </c>
      <c r="K13" s="123" t="s">
        <v>1243</v>
      </c>
      <c r="L13" s="117" t="s">
        <v>267</v>
      </c>
      <c r="M13" s="123" t="s">
        <v>1329</v>
      </c>
      <c r="N13" s="117" t="s">
        <v>1245</v>
      </c>
      <c r="O13" s="118" t="s">
        <v>1330</v>
      </c>
      <c r="P13" s="118" t="s">
        <v>1331</v>
      </c>
      <c r="Q13" s="123"/>
      <c r="R13" s="123"/>
      <c r="S13" s="117"/>
      <c r="T13" s="117"/>
      <c r="U13" s="117"/>
      <c r="V13" s="127">
        <f>86-137-1517-1047</f>
        <v>-2615</v>
      </c>
      <c r="W13" s="119"/>
      <c r="X13" s="128" t="s">
        <v>1332</v>
      </c>
      <c r="Y13" s="128"/>
      <c r="Z13" s="128" t="s">
        <v>1333</v>
      </c>
      <c r="AA13" s="118" t="s">
        <v>1334</v>
      </c>
      <c r="AB13" s="117" t="s">
        <v>1269</v>
      </c>
      <c r="AC13" s="117" t="s">
        <v>1269</v>
      </c>
      <c r="AD13" s="117" t="s">
        <v>1269</v>
      </c>
      <c r="AE13" s="117" t="s">
        <v>1269</v>
      </c>
      <c r="AF13" s="122" t="s">
        <v>1250</v>
      </c>
      <c r="AG13" s="117">
        <v>7</v>
      </c>
      <c r="AH13" s="117"/>
      <c r="AI13" s="117"/>
      <c r="AJ13" s="122" t="s">
        <v>1272</v>
      </c>
    </row>
    <row r="14" spans="1:36" ht="24.75" customHeight="1">
      <c r="A14" s="116"/>
      <c r="B14" s="117" t="s">
        <v>1239</v>
      </c>
      <c r="C14" s="117" t="s">
        <v>1312</v>
      </c>
      <c r="D14" s="117"/>
      <c r="E14" s="117" t="s">
        <v>1241</v>
      </c>
      <c r="F14" s="118" t="s">
        <v>368</v>
      </c>
      <c r="G14" s="118" t="s">
        <v>1335</v>
      </c>
      <c r="H14" s="117" t="s">
        <v>292</v>
      </c>
      <c r="I14" s="117"/>
      <c r="J14" s="117" t="s">
        <v>267</v>
      </c>
      <c r="K14" s="123" t="s">
        <v>1243</v>
      </c>
      <c r="L14" s="117" t="s">
        <v>267</v>
      </c>
      <c r="M14" s="123" t="s">
        <v>358</v>
      </c>
      <c r="N14" s="117" t="s">
        <v>1274</v>
      </c>
      <c r="O14" s="118" t="s">
        <v>1336</v>
      </c>
      <c r="P14" s="118" t="s">
        <v>1337</v>
      </c>
      <c r="Q14" s="117"/>
      <c r="R14" s="117"/>
      <c r="S14" s="117"/>
      <c r="T14" s="117"/>
      <c r="U14" s="117"/>
      <c r="V14" s="123" t="s">
        <v>1338</v>
      </c>
      <c r="W14" s="117" t="s">
        <v>1339</v>
      </c>
      <c r="X14" s="128" t="s">
        <v>1340</v>
      </c>
      <c r="Y14" s="128"/>
      <c r="Z14" s="118" t="s">
        <v>1341</v>
      </c>
      <c r="AA14" s="118" t="s">
        <v>1342</v>
      </c>
      <c r="AB14" s="117" t="s">
        <v>1270</v>
      </c>
      <c r="AC14" s="117" t="s">
        <v>1326</v>
      </c>
      <c r="AD14" s="117" t="s">
        <v>1270</v>
      </c>
      <c r="AE14" s="117" t="s">
        <v>1270</v>
      </c>
      <c r="AF14" s="122" t="s">
        <v>1271</v>
      </c>
      <c r="AG14" s="122">
        <v>15</v>
      </c>
      <c r="AH14" s="117"/>
      <c r="AI14" s="117"/>
      <c r="AJ14" s="122" t="s">
        <v>1272</v>
      </c>
    </row>
    <row r="15" spans="1:36" ht="24.75" customHeight="1">
      <c r="A15" s="116"/>
      <c r="B15" s="117" t="s">
        <v>1239</v>
      </c>
      <c r="C15" s="117" t="s">
        <v>1312</v>
      </c>
      <c r="D15" s="117">
        <v>30</v>
      </c>
      <c r="E15" s="117" t="s">
        <v>1241</v>
      </c>
      <c r="F15" s="118" t="s">
        <v>369</v>
      </c>
      <c r="G15" s="118" t="s">
        <v>1343</v>
      </c>
      <c r="H15" s="117" t="s">
        <v>295</v>
      </c>
      <c r="I15" s="117"/>
      <c r="J15" s="117" t="s">
        <v>259</v>
      </c>
      <c r="K15" s="123" t="s">
        <v>1243</v>
      </c>
      <c r="L15" s="117" t="s">
        <v>259</v>
      </c>
      <c r="M15" s="123" t="s">
        <v>1313</v>
      </c>
      <c r="N15" s="117" t="s">
        <v>1245</v>
      </c>
      <c r="O15" s="118" t="s">
        <v>1344</v>
      </c>
      <c r="P15" s="118" t="s">
        <v>1345</v>
      </c>
      <c r="Q15" s="117"/>
      <c r="R15" s="117"/>
      <c r="S15" s="117"/>
      <c r="T15" s="117"/>
      <c r="U15" s="117"/>
      <c r="V15" s="123"/>
      <c r="W15" s="117"/>
      <c r="X15" s="118"/>
      <c r="Y15" s="118"/>
      <c r="Z15" s="118" t="s">
        <v>1346</v>
      </c>
      <c r="AA15" s="118" t="s">
        <v>1347</v>
      </c>
      <c r="AB15" s="117" t="s">
        <v>1318</v>
      </c>
      <c r="AC15" s="117" t="s">
        <v>1318</v>
      </c>
      <c r="AD15" s="117" t="s">
        <v>1318</v>
      </c>
      <c r="AE15" s="117" t="s">
        <v>1318</v>
      </c>
      <c r="AF15" s="122" t="s">
        <v>1271</v>
      </c>
      <c r="AG15" s="122">
        <v>15</v>
      </c>
      <c r="AH15" s="117"/>
      <c r="AI15" s="117">
        <v>0</v>
      </c>
      <c r="AJ15" s="117"/>
    </row>
    <row r="16" spans="1:36" ht="24.75" customHeight="1">
      <c r="A16" s="116"/>
      <c r="B16" s="117" t="s">
        <v>1239</v>
      </c>
      <c r="C16" s="117" t="s">
        <v>1312</v>
      </c>
      <c r="D16" s="117"/>
      <c r="E16" s="117" t="s">
        <v>1241</v>
      </c>
      <c r="F16" s="128" t="s">
        <v>370</v>
      </c>
      <c r="G16" s="118" t="s">
        <v>1348</v>
      </c>
      <c r="H16" s="117" t="s">
        <v>295</v>
      </c>
      <c r="I16" s="117"/>
      <c r="J16" s="117" t="s">
        <v>259</v>
      </c>
      <c r="K16" s="123" t="s">
        <v>1243</v>
      </c>
      <c r="L16" s="117" t="s">
        <v>259</v>
      </c>
      <c r="M16" s="123" t="s">
        <v>1313</v>
      </c>
      <c r="N16" s="117" t="s">
        <v>1263</v>
      </c>
      <c r="O16" s="118" t="s">
        <v>1349</v>
      </c>
      <c r="P16" s="118" t="s">
        <v>1350</v>
      </c>
      <c r="Q16" s="117"/>
      <c r="R16" s="117"/>
      <c r="S16" s="117"/>
      <c r="T16" s="117"/>
      <c r="U16" s="117"/>
      <c r="V16" s="123" t="s">
        <v>1351</v>
      </c>
      <c r="W16" s="117"/>
      <c r="X16" s="128" t="s">
        <v>1352</v>
      </c>
      <c r="Y16" s="128"/>
      <c r="Z16" s="118" t="s">
        <v>1353</v>
      </c>
      <c r="AA16" s="118" t="s">
        <v>1354</v>
      </c>
      <c r="AB16" s="117" t="s">
        <v>1270</v>
      </c>
      <c r="AC16" s="117" t="s">
        <v>1326</v>
      </c>
      <c r="AD16" s="117" t="s">
        <v>1270</v>
      </c>
      <c r="AE16" s="117" t="s">
        <v>1270</v>
      </c>
      <c r="AF16" s="122" t="s">
        <v>1250</v>
      </c>
      <c r="AG16" s="117">
        <v>5</v>
      </c>
      <c r="AH16" s="117"/>
      <c r="AI16" s="117">
        <v>0</v>
      </c>
      <c r="AJ16" s="117"/>
    </row>
    <row r="17" spans="1:36" ht="24.75" customHeight="1">
      <c r="A17" s="116"/>
      <c r="B17" s="117" t="s">
        <v>1239</v>
      </c>
      <c r="C17" s="117" t="s">
        <v>1312</v>
      </c>
      <c r="D17" s="117">
        <v>50</v>
      </c>
      <c r="E17" s="117" t="s">
        <v>1241</v>
      </c>
      <c r="F17" s="118" t="s">
        <v>371</v>
      </c>
      <c r="G17" s="118" t="s">
        <v>1355</v>
      </c>
      <c r="H17" s="117" t="s">
        <v>295</v>
      </c>
      <c r="I17" s="117"/>
      <c r="J17" s="117" t="s">
        <v>259</v>
      </c>
      <c r="K17" s="123" t="s">
        <v>1243</v>
      </c>
      <c r="L17" s="117" t="s">
        <v>259</v>
      </c>
      <c r="M17" s="123" t="s">
        <v>1313</v>
      </c>
      <c r="N17" s="117" t="s">
        <v>1274</v>
      </c>
      <c r="O17" s="118" t="s">
        <v>1356</v>
      </c>
      <c r="P17" s="118" t="s">
        <v>1345</v>
      </c>
      <c r="Q17" s="117"/>
      <c r="R17" s="117"/>
      <c r="S17" s="117"/>
      <c r="T17" s="117"/>
      <c r="U17" s="117"/>
      <c r="V17" s="123" t="s">
        <v>1357</v>
      </c>
      <c r="W17" s="117"/>
      <c r="X17" s="118" t="s">
        <v>1358</v>
      </c>
      <c r="Y17" s="128"/>
      <c r="Z17" s="118" t="s">
        <v>1359</v>
      </c>
      <c r="AA17" s="118" t="s">
        <v>1360</v>
      </c>
      <c r="AB17" s="117" t="s">
        <v>1318</v>
      </c>
      <c r="AC17" s="117" t="s">
        <v>1326</v>
      </c>
      <c r="AD17" s="117" t="s">
        <v>1318</v>
      </c>
      <c r="AE17" s="117" t="s">
        <v>1318</v>
      </c>
      <c r="AF17" s="122" t="s">
        <v>1271</v>
      </c>
      <c r="AG17" s="117">
        <v>15</v>
      </c>
      <c r="AH17" s="117" t="s">
        <v>1361</v>
      </c>
      <c r="AI17" s="129">
        <v>30000000</v>
      </c>
      <c r="AJ17" s="129"/>
    </row>
    <row r="18" spans="1:36" ht="24.75" customHeight="1">
      <c r="A18" s="116"/>
      <c r="B18" s="117" t="s">
        <v>1239</v>
      </c>
      <c r="C18" s="117" t="s">
        <v>1312</v>
      </c>
      <c r="D18" s="117">
        <v>20</v>
      </c>
      <c r="E18" s="117" t="s">
        <v>1241</v>
      </c>
      <c r="F18" s="118" t="s">
        <v>372</v>
      </c>
      <c r="G18" s="118" t="s">
        <v>1362</v>
      </c>
      <c r="H18" s="117" t="s">
        <v>295</v>
      </c>
      <c r="I18" s="117"/>
      <c r="J18" s="117" t="s">
        <v>259</v>
      </c>
      <c r="K18" s="123" t="s">
        <v>1243</v>
      </c>
      <c r="L18" s="117" t="s">
        <v>259</v>
      </c>
      <c r="M18" s="123" t="s">
        <v>1313</v>
      </c>
      <c r="N18" s="117" t="s">
        <v>1274</v>
      </c>
      <c r="O18" s="118" t="s">
        <v>1363</v>
      </c>
      <c r="P18" s="118" t="s">
        <v>1364</v>
      </c>
      <c r="Q18" s="117"/>
      <c r="R18" s="117"/>
      <c r="S18" s="117"/>
      <c r="T18" s="117"/>
      <c r="U18" s="117"/>
      <c r="V18" s="123" t="s">
        <v>1365</v>
      </c>
      <c r="W18" s="117"/>
      <c r="X18" s="118" t="s">
        <v>1366</v>
      </c>
      <c r="Y18" s="128"/>
      <c r="Z18" s="118"/>
      <c r="AA18" s="118" t="s">
        <v>1367</v>
      </c>
      <c r="AB18" s="117" t="s">
        <v>1318</v>
      </c>
      <c r="AC18" s="117" t="s">
        <v>1326</v>
      </c>
      <c r="AD18" s="117" t="s">
        <v>1269</v>
      </c>
      <c r="AE18" s="117" t="s">
        <v>1269</v>
      </c>
      <c r="AF18" s="117" t="s">
        <v>444</v>
      </c>
      <c r="AG18" s="117">
        <v>31</v>
      </c>
      <c r="AH18" s="117"/>
      <c r="AI18" s="117">
        <v>0</v>
      </c>
      <c r="AJ18" s="117"/>
    </row>
    <row r="19" spans="1:36" ht="24.75" customHeight="1">
      <c r="A19" s="116"/>
      <c r="B19" s="117" t="s">
        <v>1239</v>
      </c>
      <c r="C19" s="117" t="s">
        <v>1312</v>
      </c>
      <c r="D19" s="117"/>
      <c r="E19" s="117"/>
      <c r="F19" s="118" t="s">
        <v>1368</v>
      </c>
      <c r="G19" s="118" t="s">
        <v>1369</v>
      </c>
      <c r="H19" s="117" t="s">
        <v>295</v>
      </c>
      <c r="I19" s="117"/>
      <c r="J19" s="117" t="s">
        <v>259</v>
      </c>
      <c r="K19" s="123" t="s">
        <v>1243</v>
      </c>
      <c r="L19" s="117" t="s">
        <v>259</v>
      </c>
      <c r="M19" s="123" t="s">
        <v>1370</v>
      </c>
      <c r="N19" s="117" t="s">
        <v>1245</v>
      </c>
      <c r="O19" s="118"/>
      <c r="P19" s="118"/>
      <c r="Q19" s="117"/>
      <c r="R19" s="117"/>
      <c r="S19" s="117"/>
      <c r="T19" s="117"/>
      <c r="U19" s="117"/>
      <c r="V19" s="123"/>
      <c r="W19" s="117"/>
      <c r="X19" s="118"/>
      <c r="Y19" s="118"/>
      <c r="Z19" s="118" t="s">
        <v>1371</v>
      </c>
      <c r="AA19" s="118"/>
      <c r="AB19" s="117"/>
      <c r="AC19" s="117"/>
      <c r="AD19" s="117"/>
      <c r="AE19" s="117"/>
      <c r="AF19" s="117"/>
      <c r="AG19" s="117"/>
      <c r="AH19" s="117"/>
      <c r="AI19" s="117"/>
      <c r="AJ19" s="117"/>
    </row>
    <row r="20" spans="1:36" ht="24.75" customHeight="1">
      <c r="A20" s="116"/>
      <c r="B20" s="117" t="s">
        <v>1239</v>
      </c>
      <c r="C20" s="117" t="s">
        <v>1312</v>
      </c>
      <c r="D20" s="117"/>
      <c r="E20" s="117" t="s">
        <v>1372</v>
      </c>
      <c r="F20" s="118" t="s">
        <v>1373</v>
      </c>
      <c r="G20" s="118" t="s">
        <v>1374</v>
      </c>
      <c r="H20" s="117" t="s">
        <v>295</v>
      </c>
      <c r="I20" s="117"/>
      <c r="J20" s="117" t="s">
        <v>259</v>
      </c>
      <c r="K20" s="123" t="s">
        <v>1243</v>
      </c>
      <c r="L20" s="117" t="s">
        <v>259</v>
      </c>
      <c r="M20" s="123" t="s">
        <v>1313</v>
      </c>
      <c r="N20" s="117" t="s">
        <v>1245</v>
      </c>
      <c r="O20" s="118" t="s">
        <v>1375</v>
      </c>
      <c r="P20" s="118" t="s">
        <v>1364</v>
      </c>
      <c r="Q20" s="117"/>
      <c r="R20" s="117"/>
      <c r="S20" s="117"/>
      <c r="T20" s="117"/>
      <c r="U20" s="117"/>
      <c r="V20" s="123"/>
      <c r="W20" s="117"/>
      <c r="X20" s="118" t="s">
        <v>1376</v>
      </c>
      <c r="Y20" s="118"/>
      <c r="Z20" s="118"/>
      <c r="AA20" s="118" t="s">
        <v>1377</v>
      </c>
      <c r="AB20" s="117" t="s">
        <v>1318</v>
      </c>
      <c r="AC20" s="117" t="s">
        <v>1318</v>
      </c>
      <c r="AD20" s="117" t="s">
        <v>1318</v>
      </c>
      <c r="AE20" s="117" t="s">
        <v>1318</v>
      </c>
      <c r="AF20" s="117" t="s">
        <v>444</v>
      </c>
      <c r="AG20" s="117">
        <v>31</v>
      </c>
      <c r="AH20" s="117"/>
      <c r="AI20" s="117"/>
      <c r="AJ20" s="117"/>
    </row>
    <row r="21" spans="1:36" ht="24.75" customHeight="1">
      <c r="A21" s="116"/>
      <c r="B21" s="117" t="s">
        <v>1239</v>
      </c>
      <c r="C21" s="117" t="s">
        <v>1312</v>
      </c>
      <c r="D21" s="117"/>
      <c r="E21" s="117" t="s">
        <v>1241</v>
      </c>
      <c r="F21" s="128" t="s">
        <v>373</v>
      </c>
      <c r="G21" s="118" t="s">
        <v>1378</v>
      </c>
      <c r="H21" s="117" t="s">
        <v>292</v>
      </c>
      <c r="I21" s="117"/>
      <c r="J21" s="117" t="s">
        <v>1287</v>
      </c>
      <c r="K21" s="123" t="s">
        <v>1243</v>
      </c>
      <c r="L21" s="117" t="s">
        <v>267</v>
      </c>
      <c r="M21" s="123" t="s">
        <v>1253</v>
      </c>
      <c r="N21" s="117" t="s">
        <v>1263</v>
      </c>
      <c r="O21" s="118" t="s">
        <v>1379</v>
      </c>
      <c r="P21" s="118" t="s">
        <v>1380</v>
      </c>
      <c r="Q21" s="117"/>
      <c r="R21" s="117"/>
      <c r="S21" s="117"/>
      <c r="T21" s="117"/>
      <c r="U21" s="117"/>
      <c r="V21" s="127" t="s">
        <v>1381</v>
      </c>
      <c r="W21" s="119"/>
      <c r="X21" s="128" t="s">
        <v>1382</v>
      </c>
      <c r="Y21" s="128"/>
      <c r="Z21" s="118"/>
      <c r="AA21" s="118" t="s">
        <v>1383</v>
      </c>
      <c r="AB21" s="117" t="s">
        <v>1269</v>
      </c>
      <c r="AC21" s="117" t="s">
        <v>1269</v>
      </c>
      <c r="AD21" s="117" t="s">
        <v>1269</v>
      </c>
      <c r="AE21" s="117" t="s">
        <v>1269</v>
      </c>
      <c r="AF21" s="122" t="s">
        <v>1271</v>
      </c>
      <c r="AG21" s="117">
        <v>5</v>
      </c>
      <c r="AH21" s="117"/>
      <c r="AI21" s="117"/>
      <c r="AJ21" s="122" t="s">
        <v>1272</v>
      </c>
    </row>
    <row r="22" spans="1:36" ht="24.75" customHeight="1">
      <c r="A22" s="116"/>
      <c r="B22" s="117" t="s">
        <v>1239</v>
      </c>
      <c r="C22" s="117" t="s">
        <v>1240</v>
      </c>
      <c r="D22" s="117">
        <v>100</v>
      </c>
      <c r="E22" s="117" t="s">
        <v>1241</v>
      </c>
      <c r="F22" s="156" t="s">
        <v>374</v>
      </c>
      <c r="G22" s="118" t="s">
        <v>1384</v>
      </c>
      <c r="H22" s="117" t="s">
        <v>422</v>
      </c>
      <c r="I22" s="117" t="s">
        <v>1252</v>
      </c>
      <c r="J22" s="117" t="s">
        <v>293</v>
      </c>
      <c r="K22" s="123" t="s">
        <v>1296</v>
      </c>
      <c r="L22" s="117" t="s">
        <v>293</v>
      </c>
      <c r="M22" s="123" t="s">
        <v>1385</v>
      </c>
      <c r="N22" s="117" t="s">
        <v>1245</v>
      </c>
      <c r="O22" s="118" t="s">
        <v>1386</v>
      </c>
      <c r="P22" s="118" t="s">
        <v>508</v>
      </c>
      <c r="Q22" s="117"/>
      <c r="R22" s="117"/>
      <c r="S22" s="117"/>
      <c r="T22" s="117"/>
      <c r="U22" s="117"/>
      <c r="V22" s="123"/>
      <c r="W22" s="117"/>
      <c r="X22" s="118" t="s">
        <v>1387</v>
      </c>
      <c r="Y22" s="118"/>
      <c r="Z22" s="118" t="s">
        <v>1388</v>
      </c>
      <c r="AA22" s="118" t="s">
        <v>1389</v>
      </c>
      <c r="AB22" s="117" t="s">
        <v>1269</v>
      </c>
      <c r="AC22" s="117" t="s">
        <v>1269</v>
      </c>
      <c r="AD22" s="117" t="s">
        <v>1269</v>
      </c>
      <c r="AE22" s="117" t="s">
        <v>1269</v>
      </c>
      <c r="AF22" s="117" t="s">
        <v>444</v>
      </c>
      <c r="AG22" s="117">
        <v>31</v>
      </c>
      <c r="AH22" s="117"/>
      <c r="AI22" s="117"/>
      <c r="AJ22" s="122" t="s">
        <v>1272</v>
      </c>
    </row>
    <row r="23" spans="1:36" ht="24.75" customHeight="1">
      <c r="A23" s="116"/>
      <c r="B23" s="117" t="s">
        <v>1239</v>
      </c>
      <c r="C23" s="117" t="s">
        <v>1312</v>
      </c>
      <c r="D23" s="117"/>
      <c r="E23" s="117" t="s">
        <v>1372</v>
      </c>
      <c r="F23" s="118" t="s">
        <v>1390</v>
      </c>
      <c r="G23" s="118" t="s">
        <v>736</v>
      </c>
      <c r="H23" s="117" t="s">
        <v>295</v>
      </c>
      <c r="I23" s="117"/>
      <c r="J23" s="117" t="s">
        <v>259</v>
      </c>
      <c r="K23" s="123" t="s">
        <v>1243</v>
      </c>
      <c r="L23" s="117" t="s">
        <v>259</v>
      </c>
      <c r="M23" s="123" t="s">
        <v>1313</v>
      </c>
      <c r="N23" s="117" t="s">
        <v>1245</v>
      </c>
      <c r="O23" s="118" t="s">
        <v>1391</v>
      </c>
      <c r="P23" s="118" t="s">
        <v>1392</v>
      </c>
      <c r="Q23" s="117"/>
      <c r="R23" s="117"/>
      <c r="S23" s="117"/>
      <c r="T23" s="117"/>
      <c r="U23" s="117"/>
      <c r="V23" s="123"/>
      <c r="W23" s="117"/>
      <c r="X23" s="118" t="s">
        <v>1393</v>
      </c>
      <c r="Y23" s="118"/>
      <c r="Z23" s="118" t="s">
        <v>1394</v>
      </c>
      <c r="AA23" s="118"/>
      <c r="AB23" s="117" t="s">
        <v>1318</v>
      </c>
      <c r="AC23" s="117" t="s">
        <v>1318</v>
      </c>
      <c r="AD23" s="117" t="s">
        <v>1318</v>
      </c>
      <c r="AE23" s="117" t="s">
        <v>1318</v>
      </c>
      <c r="AF23" s="117"/>
      <c r="AG23" s="117"/>
      <c r="AH23" s="117"/>
      <c r="AI23" s="117"/>
      <c r="AJ23" s="117"/>
    </row>
    <row r="24" spans="1:36" ht="24.75" customHeight="1">
      <c r="A24" s="116"/>
      <c r="B24" s="117" t="s">
        <v>1239</v>
      </c>
      <c r="C24" s="117" t="s">
        <v>1312</v>
      </c>
      <c r="D24" s="117"/>
      <c r="E24" s="117" t="s">
        <v>1372</v>
      </c>
      <c r="F24" s="118" t="s">
        <v>1395</v>
      </c>
      <c r="G24" s="118" t="s">
        <v>1396</v>
      </c>
      <c r="H24" s="117" t="s">
        <v>295</v>
      </c>
      <c r="I24" s="117"/>
      <c r="J24" s="117" t="s">
        <v>259</v>
      </c>
      <c r="K24" s="123" t="s">
        <v>1243</v>
      </c>
      <c r="L24" s="117" t="s">
        <v>259</v>
      </c>
      <c r="M24" s="123" t="s">
        <v>1313</v>
      </c>
      <c r="N24" s="117" t="s">
        <v>1245</v>
      </c>
      <c r="O24" s="118" t="s">
        <v>1397</v>
      </c>
      <c r="P24" s="118" t="s">
        <v>1398</v>
      </c>
      <c r="Q24" s="117"/>
      <c r="R24" s="117"/>
      <c r="S24" s="117"/>
      <c r="T24" s="117"/>
      <c r="U24" s="117"/>
      <c r="V24" s="123"/>
      <c r="W24" s="117"/>
      <c r="X24" s="118" t="s">
        <v>1399</v>
      </c>
      <c r="Y24" s="118"/>
      <c r="Z24" s="118" t="s">
        <v>1400</v>
      </c>
      <c r="AA24" s="118"/>
      <c r="AB24" s="117" t="s">
        <v>1269</v>
      </c>
      <c r="AC24" s="117" t="s">
        <v>1326</v>
      </c>
      <c r="AD24" s="117" t="s">
        <v>1269</v>
      </c>
      <c r="AE24" s="117" t="s">
        <v>1269</v>
      </c>
      <c r="AF24" s="117" t="s">
        <v>444</v>
      </c>
      <c r="AG24" s="117">
        <v>31</v>
      </c>
      <c r="AH24" s="117"/>
      <c r="AI24" s="117">
        <v>0</v>
      </c>
      <c r="AJ24" s="117"/>
    </row>
    <row r="25" spans="1:36" ht="24.75" customHeight="1">
      <c r="A25" s="116"/>
      <c r="B25" s="117" t="s">
        <v>1239</v>
      </c>
      <c r="C25" s="117" t="s">
        <v>1312</v>
      </c>
      <c r="D25" s="117"/>
      <c r="E25" s="117" t="s">
        <v>1372</v>
      </c>
      <c r="F25" s="118" t="s">
        <v>1401</v>
      </c>
      <c r="G25" s="118" t="s">
        <v>1402</v>
      </c>
      <c r="H25" s="117" t="s">
        <v>295</v>
      </c>
      <c r="I25" s="117"/>
      <c r="J25" s="117" t="s">
        <v>259</v>
      </c>
      <c r="K25" s="123" t="s">
        <v>1243</v>
      </c>
      <c r="L25" s="117" t="s">
        <v>259</v>
      </c>
      <c r="M25" s="123" t="s">
        <v>1313</v>
      </c>
      <c r="N25" s="117" t="s">
        <v>1245</v>
      </c>
      <c r="O25" s="118" t="s">
        <v>1403</v>
      </c>
      <c r="P25" s="118"/>
      <c r="Q25" s="117"/>
      <c r="R25" s="117"/>
      <c r="S25" s="117"/>
      <c r="T25" s="117"/>
      <c r="U25" s="117"/>
      <c r="V25" s="123"/>
      <c r="W25" s="117"/>
      <c r="X25" s="118"/>
      <c r="Y25" s="118"/>
      <c r="Z25" s="118" t="s">
        <v>1404</v>
      </c>
      <c r="AA25" s="118"/>
      <c r="AB25" s="117" t="s">
        <v>1318</v>
      </c>
      <c r="AC25" s="117" t="s">
        <v>1318</v>
      </c>
      <c r="AD25" s="117" t="s">
        <v>1318</v>
      </c>
      <c r="AE25" s="117" t="s">
        <v>1318</v>
      </c>
      <c r="AF25" s="117" t="s">
        <v>1271</v>
      </c>
      <c r="AG25" s="117">
        <v>15</v>
      </c>
      <c r="AH25" s="117"/>
      <c r="AI25" s="117"/>
      <c r="AJ25" s="117"/>
    </row>
    <row r="26" spans="1:36" ht="24.75" customHeight="1">
      <c r="A26" s="116"/>
      <c r="B26" s="117" t="s">
        <v>1239</v>
      </c>
      <c r="C26" s="117" t="s">
        <v>1312</v>
      </c>
      <c r="D26" s="117"/>
      <c r="E26" s="117" t="s">
        <v>1372</v>
      </c>
      <c r="F26" s="118" t="s">
        <v>1405</v>
      </c>
      <c r="G26" s="118" t="s">
        <v>1406</v>
      </c>
      <c r="H26" s="117" t="s">
        <v>295</v>
      </c>
      <c r="I26" s="117"/>
      <c r="J26" s="117" t="s">
        <v>259</v>
      </c>
      <c r="K26" s="123" t="s">
        <v>1243</v>
      </c>
      <c r="L26" s="117" t="s">
        <v>259</v>
      </c>
      <c r="M26" s="123" t="s">
        <v>1313</v>
      </c>
      <c r="N26" s="117" t="s">
        <v>1245</v>
      </c>
      <c r="O26" s="118" t="s">
        <v>1407</v>
      </c>
      <c r="P26" s="118" t="s">
        <v>1345</v>
      </c>
      <c r="Q26" s="117"/>
      <c r="R26" s="117"/>
      <c r="S26" s="117"/>
      <c r="T26" s="117"/>
      <c r="U26" s="117"/>
      <c r="V26" s="123"/>
      <c r="W26" s="117"/>
      <c r="X26" s="118" t="s">
        <v>1408</v>
      </c>
      <c r="Y26" s="118"/>
      <c r="Z26" s="118" t="s">
        <v>1409</v>
      </c>
      <c r="AA26" s="118"/>
      <c r="AB26" s="117"/>
      <c r="AC26" s="117"/>
      <c r="AD26" s="117"/>
      <c r="AE26" s="117"/>
      <c r="AF26" s="117"/>
      <c r="AG26" s="117"/>
      <c r="AH26" s="117"/>
      <c r="AI26" s="117"/>
      <c r="AJ26" s="117"/>
    </row>
    <row r="27" spans="1:36" ht="24.75" customHeight="1">
      <c r="A27" s="116"/>
      <c r="B27" s="117" t="s">
        <v>1239</v>
      </c>
      <c r="C27" s="117" t="s">
        <v>1312</v>
      </c>
      <c r="D27" s="117"/>
      <c r="E27" s="117" t="s">
        <v>1372</v>
      </c>
      <c r="F27" s="128" t="s">
        <v>590</v>
      </c>
      <c r="G27" s="118" t="s">
        <v>1410</v>
      </c>
      <c r="H27" s="117" t="s">
        <v>295</v>
      </c>
      <c r="I27" s="117"/>
      <c r="J27" s="117" t="s">
        <v>316</v>
      </c>
      <c r="K27" s="123" t="s">
        <v>1243</v>
      </c>
      <c r="L27" s="117" t="s">
        <v>316</v>
      </c>
      <c r="M27" s="123" t="s">
        <v>1411</v>
      </c>
      <c r="N27" s="117" t="s">
        <v>1245</v>
      </c>
      <c r="O27" s="118" t="s">
        <v>1412</v>
      </c>
      <c r="P27" s="118"/>
      <c r="Q27" s="117"/>
      <c r="R27" s="117"/>
      <c r="S27" s="117"/>
      <c r="T27" s="117"/>
      <c r="U27" s="117"/>
      <c r="V27" s="123"/>
      <c r="W27" s="117"/>
      <c r="X27" s="118"/>
      <c r="Y27" s="118"/>
      <c r="Z27" s="118" t="s">
        <v>1413</v>
      </c>
      <c r="AA27" s="118"/>
      <c r="AB27" s="117"/>
      <c r="AC27" s="117"/>
      <c r="AD27" s="117"/>
      <c r="AE27" s="117"/>
      <c r="AF27" s="117"/>
      <c r="AG27" s="117"/>
      <c r="AH27" s="117"/>
      <c r="AI27" s="117"/>
      <c r="AJ27" s="117"/>
    </row>
    <row r="28" spans="1:36" ht="24.75" customHeight="1">
      <c r="A28" s="116"/>
      <c r="B28" s="117" t="s">
        <v>1239</v>
      </c>
      <c r="C28" s="117" t="s">
        <v>1312</v>
      </c>
      <c r="D28" s="117"/>
      <c r="E28" s="117" t="s">
        <v>1372</v>
      </c>
      <c r="F28" s="118" t="s">
        <v>1414</v>
      </c>
      <c r="G28" s="118" t="s">
        <v>1415</v>
      </c>
      <c r="H28" s="117" t="s">
        <v>295</v>
      </c>
      <c r="I28" s="117"/>
      <c r="J28" s="117" t="s">
        <v>259</v>
      </c>
      <c r="K28" s="123" t="s">
        <v>1243</v>
      </c>
      <c r="L28" s="117" t="s">
        <v>259</v>
      </c>
      <c r="M28" s="123" t="s">
        <v>1313</v>
      </c>
      <c r="N28" s="117"/>
      <c r="O28" s="118" t="s">
        <v>1416</v>
      </c>
      <c r="P28" s="118"/>
      <c r="Q28" s="117"/>
      <c r="R28" s="117"/>
      <c r="S28" s="117"/>
      <c r="T28" s="117"/>
      <c r="U28" s="117"/>
      <c r="V28" s="123"/>
      <c r="W28" s="117"/>
      <c r="X28" s="118"/>
      <c r="Y28" s="118"/>
      <c r="Z28" s="118"/>
      <c r="AA28" s="118"/>
      <c r="AB28" s="117"/>
      <c r="AC28" s="117"/>
      <c r="AD28" s="117"/>
      <c r="AE28" s="117"/>
      <c r="AF28" s="117"/>
      <c r="AG28" s="117"/>
      <c r="AH28" s="117"/>
      <c r="AI28" s="117"/>
      <c r="AJ28" s="117"/>
    </row>
    <row r="29" spans="1:36" ht="24.75" customHeight="1">
      <c r="A29" s="116"/>
      <c r="B29" s="117" t="s">
        <v>1239</v>
      </c>
      <c r="C29" s="117" t="s">
        <v>1312</v>
      </c>
      <c r="D29" s="117"/>
      <c r="E29" s="117" t="s">
        <v>1417</v>
      </c>
      <c r="F29" s="118" t="s">
        <v>313</v>
      </c>
      <c r="G29" s="118" t="s">
        <v>1418</v>
      </c>
      <c r="H29" s="117" t="s">
        <v>295</v>
      </c>
      <c r="I29" s="117"/>
      <c r="J29" s="117" t="s">
        <v>259</v>
      </c>
      <c r="K29" s="123" t="s">
        <v>1243</v>
      </c>
      <c r="L29" s="117" t="s">
        <v>259</v>
      </c>
      <c r="M29" s="123" t="s">
        <v>1313</v>
      </c>
      <c r="N29" s="117"/>
      <c r="O29" s="118" t="s">
        <v>1419</v>
      </c>
      <c r="P29" s="118" t="s">
        <v>1364</v>
      </c>
      <c r="Q29" s="117"/>
      <c r="R29" s="117"/>
      <c r="S29" s="117"/>
      <c r="T29" s="117"/>
      <c r="U29" s="117"/>
      <c r="V29" s="123"/>
      <c r="W29" s="117"/>
      <c r="X29" s="118" t="s">
        <v>1420</v>
      </c>
      <c r="Y29" s="118"/>
      <c r="Z29" s="118"/>
      <c r="AA29" s="118"/>
      <c r="AB29" s="117"/>
      <c r="AC29" s="117"/>
      <c r="AD29" s="117"/>
      <c r="AE29" s="117"/>
      <c r="AF29" s="117"/>
      <c r="AG29" s="117"/>
      <c r="AH29" s="117"/>
      <c r="AI29" s="117"/>
      <c r="AJ29" s="117"/>
    </row>
    <row r="30" spans="1:36" s="2" customFormat="1" ht="24.75" customHeight="1">
      <c r="A30" s="116"/>
      <c r="B30" s="117" t="s">
        <v>1239</v>
      </c>
      <c r="C30" s="117"/>
      <c r="D30" s="117"/>
      <c r="E30" s="117"/>
      <c r="F30" s="118" t="s">
        <v>1421</v>
      </c>
      <c r="G30" s="118" t="s">
        <v>1422</v>
      </c>
      <c r="H30" s="117" t="s">
        <v>295</v>
      </c>
      <c r="I30" s="117"/>
      <c r="J30" s="117"/>
      <c r="K30" s="123" t="s">
        <v>1243</v>
      </c>
      <c r="L30" s="117" t="s">
        <v>358</v>
      </c>
      <c r="M30" s="123"/>
      <c r="N30" s="117"/>
      <c r="O30" s="118"/>
      <c r="P30" s="118"/>
      <c r="Q30" s="117"/>
      <c r="R30" s="117"/>
      <c r="S30" s="117"/>
      <c r="T30" s="117"/>
      <c r="U30" s="117"/>
      <c r="V30" s="123"/>
      <c r="W30" s="117"/>
      <c r="X30" s="118"/>
      <c r="Y30" s="118"/>
      <c r="Z30" s="118"/>
      <c r="AA30" s="118"/>
      <c r="AB30" s="117"/>
      <c r="AC30" s="117"/>
      <c r="AD30" s="117"/>
      <c r="AE30" s="117"/>
      <c r="AF30" s="117"/>
      <c r="AG30" s="117"/>
      <c r="AH30" s="117"/>
      <c r="AI30" s="117"/>
      <c r="AJ30" s="117"/>
    </row>
    <row r="31" spans="1:36" ht="24.75" customHeight="1">
      <c r="A31" s="116"/>
      <c r="B31" s="117" t="s">
        <v>1239</v>
      </c>
      <c r="C31" s="117" t="s">
        <v>1312</v>
      </c>
      <c r="D31" s="117"/>
      <c r="E31" s="117" t="s">
        <v>1241</v>
      </c>
      <c r="F31" s="118" t="s">
        <v>1423</v>
      </c>
      <c r="G31" s="118" t="s">
        <v>1423</v>
      </c>
      <c r="H31" s="117" t="s">
        <v>295</v>
      </c>
      <c r="I31" s="117"/>
      <c r="J31" s="117" t="s">
        <v>259</v>
      </c>
      <c r="K31" s="123" t="s">
        <v>1243</v>
      </c>
      <c r="L31" s="117" t="s">
        <v>259</v>
      </c>
      <c r="M31" s="123" t="s">
        <v>1313</v>
      </c>
      <c r="N31" s="117"/>
      <c r="O31" s="118" t="s">
        <v>1424</v>
      </c>
      <c r="P31" s="118" t="s">
        <v>1425</v>
      </c>
      <c r="Q31" s="117"/>
      <c r="R31" s="117"/>
      <c r="S31" s="117"/>
      <c r="T31" s="117"/>
      <c r="U31" s="117"/>
      <c r="V31" s="123"/>
      <c r="W31" s="117"/>
      <c r="X31" s="118" t="s">
        <v>1426</v>
      </c>
      <c r="Y31" s="118"/>
      <c r="Z31" s="118"/>
      <c r="AA31" s="118"/>
      <c r="AB31" s="117"/>
      <c r="AC31" s="117"/>
      <c r="AD31" s="117"/>
      <c r="AE31" s="117"/>
      <c r="AF31" s="117"/>
      <c r="AG31" s="117"/>
      <c r="AH31" s="117"/>
      <c r="AI31" s="117"/>
      <c r="AJ31" s="117"/>
    </row>
    <row r="32" spans="1:36" s="16" customFormat="1" ht="24.75" customHeight="1">
      <c r="A32" s="130"/>
      <c r="B32" s="131" t="s">
        <v>1239</v>
      </c>
      <c r="C32" s="131" t="s">
        <v>1312</v>
      </c>
      <c r="D32" s="131"/>
      <c r="E32" s="131" t="s">
        <v>1372</v>
      </c>
      <c r="F32" s="157" t="s">
        <v>1427</v>
      </c>
      <c r="G32" s="157" t="s">
        <v>1427</v>
      </c>
      <c r="H32" s="117" t="s">
        <v>295</v>
      </c>
      <c r="I32" s="131"/>
      <c r="J32" s="117" t="s">
        <v>259</v>
      </c>
      <c r="K32" s="165" t="s">
        <v>1243</v>
      </c>
      <c r="L32" s="131" t="s">
        <v>259</v>
      </c>
      <c r="M32" s="123" t="s">
        <v>1313</v>
      </c>
      <c r="N32" s="131"/>
      <c r="O32" s="157" t="s">
        <v>1428</v>
      </c>
      <c r="P32" s="157" t="s">
        <v>1345</v>
      </c>
      <c r="Q32" s="131"/>
      <c r="R32" s="131"/>
      <c r="S32" s="131"/>
      <c r="T32" s="131"/>
      <c r="U32" s="131"/>
      <c r="V32" s="165"/>
      <c r="W32" s="131"/>
      <c r="X32" s="157" t="s">
        <v>1429</v>
      </c>
      <c r="Y32" s="157"/>
      <c r="Z32" s="157"/>
      <c r="AA32" s="157"/>
      <c r="AB32" s="131"/>
      <c r="AC32" s="131"/>
      <c r="AD32" s="131"/>
      <c r="AE32" s="131"/>
      <c r="AF32" s="131"/>
      <c r="AG32" s="131"/>
      <c r="AH32" s="131"/>
      <c r="AI32" s="131"/>
      <c r="AJ32" s="131"/>
    </row>
    <row r="33" spans="1:36" s="2" customFormat="1" ht="24.75" customHeight="1">
      <c r="A33" s="116"/>
      <c r="B33" s="117" t="s">
        <v>1239</v>
      </c>
      <c r="C33" s="117" t="s">
        <v>1312</v>
      </c>
      <c r="D33" s="117"/>
      <c r="E33" s="117"/>
      <c r="F33" s="118" t="s">
        <v>1430</v>
      </c>
      <c r="G33" s="118"/>
      <c r="H33" s="117" t="s">
        <v>295</v>
      </c>
      <c r="I33" s="117"/>
      <c r="J33" s="117"/>
      <c r="K33" s="123" t="s">
        <v>1244</v>
      </c>
      <c r="L33" s="117" t="s">
        <v>1244</v>
      </c>
      <c r="M33" s="123"/>
      <c r="N33" s="117"/>
      <c r="O33" s="118"/>
      <c r="P33" s="118"/>
      <c r="Q33" s="117"/>
      <c r="R33" s="117"/>
      <c r="S33" s="117"/>
      <c r="T33" s="117"/>
      <c r="U33" s="117"/>
      <c r="V33" s="123"/>
      <c r="W33" s="117"/>
      <c r="X33" s="118"/>
      <c r="Y33" s="118"/>
      <c r="Z33" s="118"/>
      <c r="AA33" s="118"/>
      <c r="AB33" s="117"/>
      <c r="AC33" s="117"/>
      <c r="AD33" s="117"/>
      <c r="AE33" s="117"/>
      <c r="AF33" s="117"/>
      <c r="AG33" s="117"/>
      <c r="AH33" s="117"/>
      <c r="AI33" s="117"/>
      <c r="AJ33" s="117"/>
    </row>
    <row r="34" spans="1:36" ht="24.75" customHeight="1">
      <c r="A34" s="116"/>
      <c r="B34" s="117" t="s">
        <v>1239</v>
      </c>
      <c r="C34" s="117" t="s">
        <v>1312</v>
      </c>
      <c r="D34" s="117"/>
      <c r="E34" s="117" t="s">
        <v>1372</v>
      </c>
      <c r="F34" s="118" t="s">
        <v>1431</v>
      </c>
      <c r="G34" s="118" t="s">
        <v>1431</v>
      </c>
      <c r="H34" s="117" t="s">
        <v>295</v>
      </c>
      <c r="I34" s="117"/>
      <c r="J34" s="117" t="s">
        <v>259</v>
      </c>
      <c r="K34" s="123" t="s">
        <v>1243</v>
      </c>
      <c r="L34" s="117" t="s">
        <v>259</v>
      </c>
      <c r="M34" s="123" t="s">
        <v>1313</v>
      </c>
      <c r="N34" s="117"/>
      <c r="O34" s="118" t="s">
        <v>1432</v>
      </c>
      <c r="P34" s="118" t="s">
        <v>1433</v>
      </c>
      <c r="Q34" s="117"/>
      <c r="R34" s="117"/>
      <c r="S34" s="117"/>
      <c r="T34" s="117"/>
      <c r="U34" s="117"/>
      <c r="V34" s="123"/>
      <c r="W34" s="117"/>
      <c r="X34" s="118"/>
      <c r="Y34" s="118"/>
      <c r="Z34" s="118"/>
      <c r="AA34" s="118"/>
      <c r="AB34" s="117"/>
      <c r="AC34" s="117"/>
      <c r="AD34" s="117"/>
      <c r="AE34" s="117"/>
      <c r="AF34" s="117"/>
      <c r="AG34" s="117"/>
      <c r="AH34" s="117"/>
      <c r="AI34" s="117"/>
      <c r="AJ34" s="117"/>
    </row>
    <row r="35" spans="1:36" ht="24.75" customHeight="1">
      <c r="A35" s="116"/>
      <c r="B35" s="117" t="s">
        <v>1239</v>
      </c>
      <c r="C35" s="117" t="s">
        <v>1312</v>
      </c>
      <c r="D35" s="117"/>
      <c r="E35" s="117" t="s">
        <v>1372</v>
      </c>
      <c r="F35" s="118" t="s">
        <v>1434</v>
      </c>
      <c r="G35" s="118" t="s">
        <v>1435</v>
      </c>
      <c r="H35" s="117" t="s">
        <v>295</v>
      </c>
      <c r="I35" s="117"/>
      <c r="J35" s="117" t="s">
        <v>259</v>
      </c>
      <c r="K35" s="123" t="s">
        <v>1243</v>
      </c>
      <c r="L35" s="117" t="s">
        <v>259</v>
      </c>
      <c r="M35" s="123" t="s">
        <v>1313</v>
      </c>
      <c r="N35" s="117"/>
      <c r="O35" s="118" t="s">
        <v>1436</v>
      </c>
      <c r="P35" s="118"/>
      <c r="Q35" s="117"/>
      <c r="R35" s="117"/>
      <c r="S35" s="117"/>
      <c r="T35" s="117"/>
      <c r="U35" s="117"/>
      <c r="V35" s="123"/>
      <c r="W35" s="117"/>
      <c r="X35" s="118" t="s">
        <v>1437</v>
      </c>
      <c r="Y35" s="118"/>
      <c r="Z35" s="118"/>
      <c r="AA35" s="118"/>
      <c r="AB35" s="117"/>
      <c r="AC35" s="117"/>
      <c r="AD35" s="117"/>
      <c r="AE35" s="117"/>
      <c r="AF35" s="117"/>
      <c r="AG35" s="117"/>
      <c r="AH35" s="117"/>
      <c r="AI35" s="117"/>
      <c r="AJ35" s="117"/>
    </row>
    <row r="36" spans="1:36" ht="24.75" customHeight="1">
      <c r="A36" s="116"/>
      <c r="B36" s="117" t="s">
        <v>1438</v>
      </c>
      <c r="C36" s="117"/>
      <c r="D36" s="117"/>
      <c r="E36" s="117"/>
      <c r="F36" s="118" t="s">
        <v>1439</v>
      </c>
      <c r="G36" s="118" t="s">
        <v>1440</v>
      </c>
      <c r="H36" s="117" t="s">
        <v>292</v>
      </c>
      <c r="I36" s="117"/>
      <c r="J36" s="117" t="s">
        <v>316</v>
      </c>
      <c r="K36" s="123" t="s">
        <v>1243</v>
      </c>
      <c r="L36" s="117" t="s">
        <v>316</v>
      </c>
      <c r="M36" s="123" t="s">
        <v>1411</v>
      </c>
      <c r="N36" s="117" t="s">
        <v>1245</v>
      </c>
      <c r="O36" s="118"/>
      <c r="P36" s="118"/>
      <c r="Q36" s="117"/>
      <c r="R36" s="117"/>
      <c r="S36" s="117"/>
      <c r="T36" s="117"/>
      <c r="U36" s="117"/>
      <c r="V36" s="123"/>
      <c r="W36" s="117"/>
      <c r="X36" s="118"/>
      <c r="Y36" s="118"/>
      <c r="Z36" s="118"/>
      <c r="AA36" s="118"/>
      <c r="AB36" s="117"/>
      <c r="AC36" s="117"/>
      <c r="AD36" s="117"/>
      <c r="AE36" s="117"/>
      <c r="AF36" s="117"/>
      <c r="AG36" s="117"/>
      <c r="AH36" s="117"/>
      <c r="AI36" s="117"/>
      <c r="AJ36" s="117"/>
    </row>
    <row r="37" spans="1:36" ht="24.75" customHeight="1">
      <c r="A37" s="116"/>
      <c r="B37" s="117" t="s">
        <v>1239</v>
      </c>
      <c r="C37" s="117" t="s">
        <v>1312</v>
      </c>
      <c r="D37" s="117"/>
      <c r="E37" s="117" t="s">
        <v>1241</v>
      </c>
      <c r="F37" s="118" t="s">
        <v>1441</v>
      </c>
      <c r="G37" s="118" t="s">
        <v>1442</v>
      </c>
      <c r="H37" s="117" t="s">
        <v>295</v>
      </c>
      <c r="I37" s="117"/>
      <c r="J37" s="117" t="s">
        <v>259</v>
      </c>
      <c r="K37" s="123" t="s">
        <v>1243</v>
      </c>
      <c r="L37" s="117" t="s">
        <v>259</v>
      </c>
      <c r="M37" s="123" t="s">
        <v>1313</v>
      </c>
      <c r="N37" s="117"/>
      <c r="O37" s="118"/>
      <c r="P37" s="118"/>
      <c r="Q37" s="117"/>
      <c r="R37" s="117"/>
      <c r="S37" s="117"/>
      <c r="T37" s="117"/>
      <c r="U37" s="117"/>
      <c r="V37" s="123"/>
      <c r="W37" s="117"/>
      <c r="X37" s="118"/>
      <c r="Y37" s="118"/>
      <c r="Z37" s="118"/>
      <c r="AA37" s="118"/>
      <c r="AB37" s="117"/>
      <c r="AC37" s="117"/>
      <c r="AD37" s="117"/>
      <c r="AE37" s="117"/>
      <c r="AF37" s="117"/>
      <c r="AG37" s="117"/>
      <c r="AH37" s="117"/>
      <c r="AI37" s="117"/>
      <c r="AJ37" s="117"/>
    </row>
    <row r="38" spans="1:36" ht="24.75" customHeight="1">
      <c r="A38" s="116"/>
      <c r="B38" s="117" t="s">
        <v>1239</v>
      </c>
      <c r="C38" s="117" t="s">
        <v>1312</v>
      </c>
      <c r="D38" s="117"/>
      <c r="E38" s="117" t="s">
        <v>1372</v>
      </c>
      <c r="F38" s="118" t="s">
        <v>1443</v>
      </c>
      <c r="G38" s="118" t="s">
        <v>1443</v>
      </c>
      <c r="H38" s="117" t="s">
        <v>295</v>
      </c>
      <c r="I38" s="117"/>
      <c r="J38" s="117" t="s">
        <v>259</v>
      </c>
      <c r="K38" s="123" t="s">
        <v>1243</v>
      </c>
      <c r="L38" s="117" t="s">
        <v>259</v>
      </c>
      <c r="M38" s="123" t="s">
        <v>1313</v>
      </c>
      <c r="N38" s="117"/>
      <c r="O38" s="118" t="s">
        <v>1444</v>
      </c>
      <c r="P38" s="118" t="s">
        <v>1445</v>
      </c>
      <c r="Q38" s="117"/>
      <c r="R38" s="117"/>
      <c r="S38" s="117"/>
      <c r="T38" s="117"/>
      <c r="U38" s="117"/>
      <c r="V38" s="123"/>
      <c r="W38" s="117"/>
      <c r="X38" s="118" t="s">
        <v>1446</v>
      </c>
      <c r="Y38" s="118"/>
      <c r="Z38" s="118"/>
      <c r="AA38" s="118"/>
      <c r="AB38" s="117"/>
      <c r="AC38" s="117"/>
      <c r="AD38" s="117"/>
      <c r="AE38" s="117"/>
      <c r="AF38" s="117"/>
      <c r="AG38" s="117"/>
      <c r="AH38" s="117"/>
      <c r="AI38" s="117"/>
      <c r="AJ38" s="117"/>
    </row>
    <row r="39" spans="1:36" ht="24.75" customHeight="1">
      <c r="A39" s="116"/>
      <c r="B39" s="117" t="s">
        <v>1239</v>
      </c>
      <c r="C39" s="117" t="s">
        <v>1312</v>
      </c>
      <c r="D39" s="117"/>
      <c r="E39" s="117" t="s">
        <v>1372</v>
      </c>
      <c r="F39" s="118" t="s">
        <v>1447</v>
      </c>
      <c r="G39" s="118" t="s">
        <v>1448</v>
      </c>
      <c r="H39" s="117" t="s">
        <v>295</v>
      </c>
      <c r="I39" s="117"/>
      <c r="J39" s="117" t="s">
        <v>259</v>
      </c>
      <c r="K39" s="123" t="s">
        <v>1243</v>
      </c>
      <c r="L39" s="117" t="s">
        <v>259</v>
      </c>
      <c r="M39" s="123" t="s">
        <v>1313</v>
      </c>
      <c r="N39" s="117"/>
      <c r="O39" s="118" t="s">
        <v>1449</v>
      </c>
      <c r="P39" s="118" t="s">
        <v>1364</v>
      </c>
      <c r="Q39" s="117"/>
      <c r="R39" s="117"/>
      <c r="S39" s="117"/>
      <c r="T39" s="117"/>
      <c r="U39" s="117"/>
      <c r="V39" s="123"/>
      <c r="W39" s="117"/>
      <c r="X39" s="118" t="s">
        <v>1450</v>
      </c>
      <c r="Y39" s="118"/>
      <c r="Z39" s="118"/>
      <c r="AA39" s="118"/>
      <c r="AB39" s="117"/>
      <c r="AC39" s="117"/>
      <c r="AD39" s="117"/>
      <c r="AE39" s="117"/>
      <c r="AF39" s="117"/>
      <c r="AG39" s="117"/>
      <c r="AH39" s="117"/>
      <c r="AI39" s="117"/>
      <c r="AJ39" s="117"/>
    </row>
    <row r="40" spans="1:36" ht="24.75" customHeight="1">
      <c r="A40" s="116"/>
      <c r="B40" s="117" t="s">
        <v>1239</v>
      </c>
      <c r="C40" s="117" t="s">
        <v>1312</v>
      </c>
      <c r="D40" s="117"/>
      <c r="E40" s="117" t="s">
        <v>1372</v>
      </c>
      <c r="F40" s="118" t="s">
        <v>1451</v>
      </c>
      <c r="G40" s="118"/>
      <c r="H40" s="117" t="s">
        <v>295</v>
      </c>
      <c r="I40" s="117"/>
      <c r="J40" s="117" t="s">
        <v>259</v>
      </c>
      <c r="K40" s="123" t="s">
        <v>1243</v>
      </c>
      <c r="L40" s="117" t="s">
        <v>259</v>
      </c>
      <c r="M40" s="123" t="s">
        <v>1313</v>
      </c>
      <c r="N40" s="117"/>
      <c r="O40" s="118"/>
      <c r="P40" s="118"/>
      <c r="Q40" s="117"/>
      <c r="R40" s="117"/>
      <c r="S40" s="117"/>
      <c r="T40" s="117"/>
      <c r="U40" s="117"/>
      <c r="V40" s="123"/>
      <c r="W40" s="117"/>
      <c r="X40" s="118"/>
      <c r="Y40" s="118"/>
      <c r="Z40" s="118"/>
      <c r="AA40" s="118"/>
      <c r="AB40" s="117"/>
      <c r="AC40" s="117"/>
      <c r="AD40" s="117"/>
      <c r="AE40" s="117"/>
      <c r="AF40" s="117"/>
      <c r="AG40" s="117"/>
      <c r="AH40" s="117"/>
      <c r="AI40" s="117"/>
      <c r="AJ40" s="117"/>
    </row>
    <row r="41" spans="1:36" ht="24.75" customHeight="1">
      <c r="A41" s="116"/>
      <c r="B41" s="117" t="s">
        <v>1239</v>
      </c>
      <c r="C41" s="117" t="s">
        <v>1312</v>
      </c>
      <c r="D41" s="117"/>
      <c r="E41" s="117" t="s">
        <v>1372</v>
      </c>
      <c r="F41" s="118" t="s">
        <v>1452</v>
      </c>
      <c r="G41" s="118" t="s">
        <v>558</v>
      </c>
      <c r="H41" s="117" t="s">
        <v>295</v>
      </c>
      <c r="I41" s="117"/>
      <c r="J41" s="117" t="s">
        <v>259</v>
      </c>
      <c r="K41" s="123" t="s">
        <v>1243</v>
      </c>
      <c r="L41" s="117" t="s">
        <v>259</v>
      </c>
      <c r="M41" s="123" t="s">
        <v>1313</v>
      </c>
      <c r="N41" s="117"/>
      <c r="O41" s="118" t="s">
        <v>1453</v>
      </c>
      <c r="P41" s="118" t="s">
        <v>1454</v>
      </c>
      <c r="Q41" s="117"/>
      <c r="R41" s="117"/>
      <c r="S41" s="117"/>
      <c r="T41" s="117"/>
      <c r="U41" s="117"/>
      <c r="V41" s="123"/>
      <c r="W41" s="117"/>
      <c r="X41" s="118" t="s">
        <v>1455</v>
      </c>
      <c r="Y41" s="118"/>
      <c r="Z41" s="118"/>
      <c r="AA41" s="118"/>
      <c r="AB41" s="117"/>
      <c r="AC41" s="117"/>
      <c r="AD41" s="117"/>
      <c r="AE41" s="117"/>
      <c r="AF41" s="117"/>
      <c r="AG41" s="117"/>
      <c r="AH41" s="117"/>
      <c r="AI41" s="117"/>
      <c r="AJ41" s="117"/>
    </row>
    <row r="42" spans="1:36" ht="24.75" customHeight="1">
      <c r="A42" s="116"/>
      <c r="B42" s="117" t="s">
        <v>1239</v>
      </c>
      <c r="C42" s="117" t="s">
        <v>1312</v>
      </c>
      <c r="D42" s="117"/>
      <c r="E42" s="117" t="s">
        <v>1372</v>
      </c>
      <c r="F42" s="118" t="s">
        <v>1456</v>
      </c>
      <c r="G42" s="118"/>
      <c r="H42" s="117" t="s">
        <v>295</v>
      </c>
      <c r="I42" s="117"/>
      <c r="J42" s="117" t="s">
        <v>259</v>
      </c>
      <c r="K42" s="123" t="s">
        <v>1243</v>
      </c>
      <c r="L42" s="117" t="s">
        <v>259</v>
      </c>
      <c r="M42" s="123" t="s">
        <v>1313</v>
      </c>
      <c r="N42" s="117"/>
      <c r="O42" s="118"/>
      <c r="P42" s="118"/>
      <c r="Q42" s="117"/>
      <c r="R42" s="117"/>
      <c r="S42" s="117"/>
      <c r="T42" s="117"/>
      <c r="U42" s="117"/>
      <c r="V42" s="123"/>
      <c r="W42" s="117"/>
      <c r="X42" s="118"/>
      <c r="Y42" s="118"/>
      <c r="Z42" s="118"/>
      <c r="AA42" s="118"/>
      <c r="AB42" s="117"/>
      <c r="AC42" s="117"/>
      <c r="AD42" s="117"/>
      <c r="AE42" s="117"/>
      <c r="AF42" s="117"/>
      <c r="AG42" s="117"/>
      <c r="AH42" s="117"/>
      <c r="AI42" s="117"/>
      <c r="AJ42" s="117"/>
    </row>
    <row r="43" spans="1:36" ht="24.75" customHeight="1">
      <c r="A43" s="116"/>
      <c r="B43" s="117" t="s">
        <v>1239</v>
      </c>
      <c r="C43" s="117" t="s">
        <v>1312</v>
      </c>
      <c r="D43" s="117"/>
      <c r="E43" s="117" t="s">
        <v>1372</v>
      </c>
      <c r="F43" s="118" t="s">
        <v>1457</v>
      </c>
      <c r="G43" s="118" t="s">
        <v>1457</v>
      </c>
      <c r="H43" s="117" t="s">
        <v>295</v>
      </c>
      <c r="I43" s="117"/>
      <c r="J43" s="117" t="s">
        <v>259</v>
      </c>
      <c r="K43" s="123" t="s">
        <v>1243</v>
      </c>
      <c r="L43" s="117" t="s">
        <v>259</v>
      </c>
      <c r="M43" s="123" t="s">
        <v>1313</v>
      </c>
      <c r="N43" s="117"/>
      <c r="O43" s="118" t="s">
        <v>1458</v>
      </c>
      <c r="P43" s="118" t="s">
        <v>1459</v>
      </c>
      <c r="Q43" s="117"/>
      <c r="R43" s="117"/>
      <c r="S43" s="117"/>
      <c r="T43" s="117"/>
      <c r="U43" s="117"/>
      <c r="V43" s="123"/>
      <c r="W43" s="117"/>
      <c r="X43" s="118" t="s">
        <v>1460</v>
      </c>
      <c r="Y43" s="118"/>
      <c r="Z43" s="118"/>
      <c r="AA43" s="118"/>
      <c r="AB43" s="117"/>
      <c r="AC43" s="117"/>
      <c r="AD43" s="117"/>
      <c r="AE43" s="117"/>
      <c r="AF43" s="117"/>
      <c r="AG43" s="117"/>
      <c r="AH43" s="117"/>
      <c r="AI43" s="117"/>
      <c r="AJ43" s="117"/>
    </row>
    <row r="44" spans="1:36" ht="24.75" customHeight="1">
      <c r="A44" s="116"/>
      <c r="B44" s="117" t="s">
        <v>1239</v>
      </c>
      <c r="C44" s="117" t="s">
        <v>1312</v>
      </c>
      <c r="D44" s="117"/>
      <c r="E44" s="117" t="s">
        <v>1241</v>
      </c>
      <c r="F44" s="118" t="s">
        <v>1461</v>
      </c>
      <c r="G44" s="118" t="s">
        <v>1462</v>
      </c>
      <c r="H44" s="117" t="s">
        <v>295</v>
      </c>
      <c r="I44" s="117"/>
      <c r="J44" s="117" t="s">
        <v>259</v>
      </c>
      <c r="K44" s="123" t="s">
        <v>1243</v>
      </c>
      <c r="L44" s="117" t="s">
        <v>259</v>
      </c>
      <c r="M44" s="123" t="s">
        <v>1313</v>
      </c>
      <c r="N44" s="117"/>
      <c r="O44" s="118" t="s">
        <v>1463</v>
      </c>
      <c r="P44" s="118" t="s">
        <v>1345</v>
      </c>
      <c r="Q44" s="117"/>
      <c r="R44" s="117"/>
      <c r="S44" s="117"/>
      <c r="T44" s="117"/>
      <c r="U44" s="117"/>
      <c r="V44" s="123"/>
      <c r="W44" s="117"/>
      <c r="X44" s="118" t="s">
        <v>1464</v>
      </c>
      <c r="Y44" s="118"/>
      <c r="Z44" s="118" t="s">
        <v>1465</v>
      </c>
      <c r="AA44" s="118"/>
      <c r="AB44" s="117"/>
      <c r="AC44" s="117"/>
      <c r="AD44" s="117"/>
      <c r="AE44" s="117"/>
      <c r="AF44" s="117"/>
      <c r="AG44" s="117"/>
      <c r="AH44" s="117"/>
      <c r="AI44" s="117"/>
      <c r="AJ44" s="117"/>
    </row>
    <row r="45" spans="1:36" ht="24.75" customHeight="1">
      <c r="A45" s="116"/>
      <c r="B45" s="117" t="s">
        <v>1239</v>
      </c>
      <c r="C45" s="117" t="s">
        <v>1312</v>
      </c>
      <c r="D45" s="117"/>
      <c r="E45" s="117" t="s">
        <v>1372</v>
      </c>
      <c r="F45" s="118" t="s">
        <v>1466</v>
      </c>
      <c r="G45" s="118" t="s">
        <v>1467</v>
      </c>
      <c r="H45" s="117" t="s">
        <v>295</v>
      </c>
      <c r="I45" s="117"/>
      <c r="J45" s="117" t="s">
        <v>259</v>
      </c>
      <c r="K45" s="123" t="s">
        <v>1243</v>
      </c>
      <c r="L45" s="117" t="s">
        <v>259</v>
      </c>
      <c r="M45" s="123" t="s">
        <v>1313</v>
      </c>
      <c r="N45" s="117"/>
      <c r="O45" s="118" t="s">
        <v>1468</v>
      </c>
      <c r="P45" s="118" t="s">
        <v>1469</v>
      </c>
      <c r="Q45" s="117"/>
      <c r="R45" s="117"/>
      <c r="S45" s="117"/>
      <c r="T45" s="117"/>
      <c r="U45" s="117"/>
      <c r="V45" s="123"/>
      <c r="W45" s="117"/>
      <c r="X45" s="118" t="s">
        <v>1470</v>
      </c>
      <c r="Y45" s="118"/>
      <c r="Z45" s="118"/>
      <c r="AA45" s="118"/>
      <c r="AB45" s="117"/>
      <c r="AC45" s="117"/>
      <c r="AD45" s="117"/>
      <c r="AE45" s="117"/>
      <c r="AF45" s="117"/>
      <c r="AG45" s="117"/>
      <c r="AH45" s="117"/>
      <c r="AI45" s="117"/>
      <c r="AJ45" s="117"/>
    </row>
    <row r="46" spans="1:36" ht="24.75" customHeight="1">
      <c r="A46" s="116"/>
      <c r="B46" s="117" t="s">
        <v>1471</v>
      </c>
      <c r="C46" s="117"/>
      <c r="D46" s="117"/>
      <c r="E46" s="117" t="s">
        <v>1241</v>
      </c>
      <c r="F46" s="128" t="s">
        <v>1472</v>
      </c>
      <c r="G46" s="118" t="s">
        <v>1473</v>
      </c>
      <c r="H46" s="117" t="s">
        <v>292</v>
      </c>
      <c r="I46" s="117"/>
      <c r="J46" s="117" t="s">
        <v>1287</v>
      </c>
      <c r="K46" s="123" t="s">
        <v>1243</v>
      </c>
      <c r="L46" s="117" t="s">
        <v>288</v>
      </c>
      <c r="M46" s="123" t="s">
        <v>1474</v>
      </c>
      <c r="N46" s="117" t="s">
        <v>1245</v>
      </c>
      <c r="O46" s="118" t="s">
        <v>1475</v>
      </c>
      <c r="P46" s="118" t="s">
        <v>1476</v>
      </c>
      <c r="Q46" s="117"/>
      <c r="R46" s="117"/>
      <c r="S46" s="117"/>
      <c r="T46" s="117"/>
      <c r="U46" s="117"/>
      <c r="V46" s="123" t="s">
        <v>1477</v>
      </c>
      <c r="W46" s="117"/>
      <c r="X46" s="118" t="s">
        <v>1478</v>
      </c>
      <c r="Y46" s="118"/>
      <c r="Z46" s="175" t="s">
        <v>1479</v>
      </c>
      <c r="AA46" s="118" t="s">
        <v>1480</v>
      </c>
      <c r="AB46" s="117"/>
      <c r="AC46" s="117"/>
      <c r="AD46" s="123"/>
      <c r="AE46" s="123"/>
      <c r="AF46" s="123"/>
      <c r="AG46" s="123"/>
      <c r="AH46" s="123"/>
      <c r="AI46" s="123"/>
      <c r="AJ46" s="123"/>
    </row>
    <row r="47" spans="1:36" ht="24.75" customHeight="1">
      <c r="A47" s="116"/>
      <c r="B47" s="117" t="s">
        <v>1471</v>
      </c>
      <c r="C47" s="117"/>
      <c r="D47" s="117"/>
      <c r="E47" s="117" t="s">
        <v>1241</v>
      </c>
      <c r="F47" s="118" t="s">
        <v>1481</v>
      </c>
      <c r="G47" s="118" t="s">
        <v>1482</v>
      </c>
      <c r="H47" s="117" t="s">
        <v>292</v>
      </c>
      <c r="I47" s="117"/>
      <c r="J47" s="117" t="s">
        <v>1287</v>
      </c>
      <c r="K47" s="123" t="s">
        <v>1243</v>
      </c>
      <c r="L47" s="117" t="s">
        <v>288</v>
      </c>
      <c r="M47" s="123" t="s">
        <v>1483</v>
      </c>
      <c r="N47" s="117" t="s">
        <v>1245</v>
      </c>
      <c r="O47" s="118" t="s">
        <v>1484</v>
      </c>
      <c r="P47" s="118" t="s">
        <v>1485</v>
      </c>
      <c r="Q47" s="117"/>
      <c r="R47" s="117"/>
      <c r="S47" s="117"/>
      <c r="T47" s="117"/>
      <c r="U47" s="117"/>
      <c r="V47" s="123" t="s">
        <v>1486</v>
      </c>
      <c r="W47" s="117"/>
      <c r="X47" s="118" t="s">
        <v>1487</v>
      </c>
      <c r="Y47" s="128"/>
      <c r="Z47" s="118"/>
      <c r="AA47" s="118" t="s">
        <v>1488</v>
      </c>
      <c r="AB47" s="117"/>
      <c r="AC47" s="117"/>
      <c r="AD47" s="123"/>
      <c r="AE47" s="123"/>
      <c r="AF47" s="123"/>
      <c r="AG47" s="123"/>
      <c r="AH47" s="123"/>
      <c r="AI47" s="123"/>
      <c r="AJ47" s="123"/>
    </row>
    <row r="48" spans="1:36" ht="24.75" customHeight="1">
      <c r="A48" s="116"/>
      <c r="B48" s="117" t="s">
        <v>1438</v>
      </c>
      <c r="C48" s="117"/>
      <c r="D48" s="117"/>
      <c r="E48" s="117" t="s">
        <v>1241</v>
      </c>
      <c r="F48" s="118" t="s">
        <v>1489</v>
      </c>
      <c r="G48" s="118" t="s">
        <v>1490</v>
      </c>
      <c r="H48" s="117" t="s">
        <v>292</v>
      </c>
      <c r="I48" s="117"/>
      <c r="J48" s="117" t="s">
        <v>288</v>
      </c>
      <c r="K48" s="123" t="s">
        <v>1243</v>
      </c>
      <c r="L48" s="117" t="s">
        <v>288</v>
      </c>
      <c r="M48" s="123" t="s">
        <v>1491</v>
      </c>
      <c r="N48" s="117" t="s">
        <v>1245</v>
      </c>
      <c r="O48" s="118"/>
      <c r="P48" s="118"/>
      <c r="Q48" s="117"/>
      <c r="R48" s="117"/>
      <c r="S48" s="117"/>
      <c r="T48" s="117"/>
      <c r="U48" s="117"/>
      <c r="V48" s="123" t="s">
        <v>1492</v>
      </c>
      <c r="W48" s="117"/>
      <c r="X48" s="118" t="s">
        <v>1493</v>
      </c>
      <c r="Y48" s="118"/>
      <c r="Z48" s="118"/>
      <c r="AA48" s="118"/>
      <c r="AB48" s="117"/>
      <c r="AC48" s="117"/>
      <c r="AD48" s="123"/>
      <c r="AE48" s="123"/>
      <c r="AF48" s="123"/>
      <c r="AG48" s="123"/>
      <c r="AH48" s="123"/>
      <c r="AI48" s="123"/>
      <c r="AJ48" s="123"/>
    </row>
    <row r="49" spans="1:36" ht="24.75" customHeight="1">
      <c r="A49" s="116"/>
      <c r="B49" s="117" t="s">
        <v>1471</v>
      </c>
      <c r="C49" s="117" t="s">
        <v>1260</v>
      </c>
      <c r="D49" s="117"/>
      <c r="E49" s="117" t="s">
        <v>1241</v>
      </c>
      <c r="F49" s="128" t="s">
        <v>317</v>
      </c>
      <c r="G49" s="118" t="s">
        <v>1494</v>
      </c>
      <c r="H49" s="117" t="s">
        <v>292</v>
      </c>
      <c r="I49" s="117"/>
      <c r="J49" s="117" t="s">
        <v>316</v>
      </c>
      <c r="K49" s="123" t="s">
        <v>1243</v>
      </c>
      <c r="L49" s="117" t="s">
        <v>316</v>
      </c>
      <c r="M49" s="123" t="s">
        <v>1411</v>
      </c>
      <c r="N49" s="117" t="s">
        <v>1245</v>
      </c>
      <c r="O49" s="118" t="s">
        <v>1495</v>
      </c>
      <c r="P49" s="118" t="s">
        <v>1496</v>
      </c>
      <c r="Q49" s="117"/>
      <c r="R49" s="117"/>
      <c r="S49" s="117"/>
      <c r="T49" s="117"/>
      <c r="U49" s="117"/>
      <c r="V49" s="123" t="s">
        <v>1497</v>
      </c>
      <c r="W49" s="132"/>
      <c r="X49" s="133" t="s">
        <v>1498</v>
      </c>
      <c r="Y49" s="133"/>
      <c r="Z49" s="133"/>
      <c r="AA49" s="126" t="s">
        <v>1499</v>
      </c>
      <c r="AB49" s="121"/>
      <c r="AC49" s="121"/>
      <c r="AD49" s="117"/>
      <c r="AE49" s="117"/>
      <c r="AF49" s="117"/>
      <c r="AG49" s="117"/>
      <c r="AH49" s="117"/>
      <c r="AI49" s="117"/>
      <c r="AJ49" s="117"/>
    </row>
    <row r="50" spans="1:36" ht="24.75" customHeight="1">
      <c r="A50" s="116"/>
      <c r="B50" s="117" t="s">
        <v>1471</v>
      </c>
      <c r="C50" s="117" t="s">
        <v>1260</v>
      </c>
      <c r="D50" s="117"/>
      <c r="E50" s="117" t="s">
        <v>1241</v>
      </c>
      <c r="F50" s="128" t="s">
        <v>1500</v>
      </c>
      <c r="G50" s="118" t="s">
        <v>1501</v>
      </c>
      <c r="H50" s="117" t="s">
        <v>292</v>
      </c>
      <c r="I50" s="117"/>
      <c r="J50" s="117" t="s">
        <v>316</v>
      </c>
      <c r="K50" s="123" t="s">
        <v>1243</v>
      </c>
      <c r="L50" s="117" t="s">
        <v>316</v>
      </c>
      <c r="M50" s="123" t="s">
        <v>1411</v>
      </c>
      <c r="N50" s="117" t="s">
        <v>1245</v>
      </c>
      <c r="O50" s="118" t="s">
        <v>1502</v>
      </c>
      <c r="P50" s="118" t="s">
        <v>1503</v>
      </c>
      <c r="Q50" s="117"/>
      <c r="R50" s="117"/>
      <c r="S50" s="117"/>
      <c r="T50" s="117"/>
      <c r="U50" s="117"/>
      <c r="V50" s="135" t="s">
        <v>1504</v>
      </c>
      <c r="W50" s="132"/>
      <c r="X50" s="133" t="s">
        <v>1505</v>
      </c>
      <c r="Y50" s="133"/>
      <c r="Z50" s="133"/>
      <c r="AA50" s="126" t="s">
        <v>1506</v>
      </c>
      <c r="AB50" s="121"/>
      <c r="AC50" s="121"/>
      <c r="AD50" s="123"/>
      <c r="AE50" s="123"/>
      <c r="AF50" s="123"/>
      <c r="AG50" s="123"/>
      <c r="AH50" s="123"/>
      <c r="AI50" s="123"/>
      <c r="AJ50" s="123"/>
    </row>
    <row r="51" spans="1:36" ht="24.75" customHeight="1">
      <c r="A51" s="116"/>
      <c r="B51" s="117" t="s">
        <v>1471</v>
      </c>
      <c r="C51" s="117" t="s">
        <v>1312</v>
      </c>
      <c r="D51" s="117"/>
      <c r="E51" s="117" t="s">
        <v>1241</v>
      </c>
      <c r="F51" s="128" t="s">
        <v>1507</v>
      </c>
      <c r="G51" s="118" t="s">
        <v>1508</v>
      </c>
      <c r="H51" s="117" t="s">
        <v>292</v>
      </c>
      <c r="I51" s="117"/>
      <c r="J51" s="117" t="s">
        <v>316</v>
      </c>
      <c r="K51" s="123" t="s">
        <v>1243</v>
      </c>
      <c r="L51" s="117" t="s">
        <v>316</v>
      </c>
      <c r="M51" s="123" t="s">
        <v>1411</v>
      </c>
      <c r="N51" s="117" t="s">
        <v>1245</v>
      </c>
      <c r="O51" s="118" t="s">
        <v>1509</v>
      </c>
      <c r="P51" s="118" t="s">
        <v>1510</v>
      </c>
      <c r="Q51" s="117"/>
      <c r="R51" s="117"/>
      <c r="S51" s="117"/>
      <c r="T51" s="117"/>
      <c r="U51" s="117"/>
      <c r="V51" s="135" t="s">
        <v>1511</v>
      </c>
      <c r="W51" s="132"/>
      <c r="X51" s="133" t="s">
        <v>1512</v>
      </c>
      <c r="Y51" s="133"/>
      <c r="Z51" s="133"/>
      <c r="AA51" s="126" t="s">
        <v>1513</v>
      </c>
      <c r="AB51" s="121"/>
      <c r="AC51" s="121"/>
      <c r="AD51" s="117"/>
      <c r="AE51" s="117"/>
      <c r="AF51" s="117"/>
      <c r="AG51" s="117"/>
      <c r="AH51" s="117"/>
      <c r="AI51" s="117"/>
      <c r="AJ51" s="117"/>
    </row>
    <row r="52" spans="1:36" ht="24.75" customHeight="1">
      <c r="A52" s="116"/>
      <c r="B52" s="117" t="s">
        <v>1438</v>
      </c>
      <c r="C52" s="117"/>
      <c r="D52" s="117"/>
      <c r="E52" s="117"/>
      <c r="F52" s="128" t="s">
        <v>1514</v>
      </c>
      <c r="G52" s="163" t="s">
        <v>1515</v>
      </c>
      <c r="H52" s="117" t="s">
        <v>292</v>
      </c>
      <c r="I52" s="117"/>
      <c r="J52" s="117" t="s">
        <v>316</v>
      </c>
      <c r="K52" s="123" t="s">
        <v>1243</v>
      </c>
      <c r="L52" s="117" t="s">
        <v>316</v>
      </c>
      <c r="M52" s="123" t="s">
        <v>1411</v>
      </c>
      <c r="N52" s="117" t="s">
        <v>1245</v>
      </c>
      <c r="O52" s="118" t="s">
        <v>1516</v>
      </c>
      <c r="P52" s="118" t="s">
        <v>1517</v>
      </c>
      <c r="Q52" s="117"/>
      <c r="R52" s="117"/>
      <c r="S52" s="117"/>
      <c r="T52" s="117"/>
      <c r="U52" s="117"/>
      <c r="V52" s="123"/>
      <c r="W52" s="117"/>
      <c r="X52" s="133" t="s">
        <v>1518</v>
      </c>
      <c r="Y52" s="133"/>
      <c r="Z52" s="133"/>
      <c r="AA52" s="133"/>
      <c r="AB52" s="121"/>
      <c r="AC52" s="121"/>
      <c r="AD52" s="117"/>
      <c r="AE52" s="117"/>
      <c r="AF52" s="117"/>
      <c r="AG52" s="117"/>
      <c r="AH52" s="117"/>
      <c r="AI52" s="117"/>
      <c r="AJ52" s="117"/>
    </row>
    <row r="53" spans="1:36" ht="24.75" customHeight="1">
      <c r="A53" s="116"/>
      <c r="B53" s="117" t="s">
        <v>1438</v>
      </c>
      <c r="C53" s="117"/>
      <c r="D53" s="117"/>
      <c r="E53" s="117"/>
      <c r="F53" s="118" t="s">
        <v>1519</v>
      </c>
      <c r="G53" s="118" t="s">
        <v>1520</v>
      </c>
      <c r="H53" s="117" t="s">
        <v>292</v>
      </c>
      <c r="I53" s="117"/>
      <c r="J53" s="117" t="s">
        <v>316</v>
      </c>
      <c r="K53" s="123" t="s">
        <v>1243</v>
      </c>
      <c r="L53" s="117" t="s">
        <v>316</v>
      </c>
      <c r="M53" s="123" t="s">
        <v>1411</v>
      </c>
      <c r="N53" s="117" t="s">
        <v>1245</v>
      </c>
      <c r="O53" s="118"/>
      <c r="P53" s="118"/>
      <c r="Q53" s="117"/>
      <c r="R53" s="117"/>
      <c r="S53" s="117"/>
      <c r="T53" s="117"/>
      <c r="U53" s="117"/>
      <c r="V53" s="123"/>
      <c r="W53" s="117"/>
      <c r="X53" s="133" t="s">
        <v>1521</v>
      </c>
      <c r="Y53" s="133"/>
      <c r="Z53" s="133"/>
      <c r="AA53" s="133"/>
      <c r="AB53" s="121"/>
      <c r="AC53" s="121"/>
      <c r="AD53" s="117"/>
      <c r="AE53" s="117"/>
      <c r="AF53" s="117"/>
      <c r="AG53" s="117"/>
      <c r="AH53" s="117"/>
      <c r="AI53" s="117"/>
      <c r="AJ53" s="117"/>
    </row>
    <row r="54" spans="1:36" ht="24.75" customHeight="1">
      <c r="A54" s="116"/>
      <c r="B54" s="117" t="s">
        <v>1438</v>
      </c>
      <c r="C54" s="117"/>
      <c r="D54" s="117"/>
      <c r="E54" s="117"/>
      <c r="F54" s="118" t="s">
        <v>1522</v>
      </c>
      <c r="G54" s="118" t="s">
        <v>1523</v>
      </c>
      <c r="H54" s="117" t="s">
        <v>292</v>
      </c>
      <c r="I54" s="117"/>
      <c r="J54" s="117" t="s">
        <v>316</v>
      </c>
      <c r="K54" s="123" t="s">
        <v>1243</v>
      </c>
      <c r="L54" s="117" t="s">
        <v>316</v>
      </c>
      <c r="M54" s="123" t="s">
        <v>1411</v>
      </c>
      <c r="N54" s="117" t="s">
        <v>1245</v>
      </c>
      <c r="O54" s="118"/>
      <c r="P54" s="118"/>
      <c r="Q54" s="117"/>
      <c r="R54" s="117"/>
      <c r="S54" s="117"/>
      <c r="T54" s="117"/>
      <c r="U54" s="117"/>
      <c r="V54" s="123"/>
      <c r="W54" s="117"/>
      <c r="X54" s="133" t="s">
        <v>1524</v>
      </c>
      <c r="Y54" s="133"/>
      <c r="Z54" s="133"/>
      <c r="AA54" s="133"/>
      <c r="AB54" s="121"/>
      <c r="AC54" s="121"/>
      <c r="AD54" s="117"/>
      <c r="AE54" s="117"/>
      <c r="AF54" s="117"/>
      <c r="AG54" s="117"/>
      <c r="AH54" s="117"/>
      <c r="AI54" s="117"/>
      <c r="AJ54" s="117"/>
    </row>
    <row r="55" spans="1:36" ht="24.75" customHeight="1">
      <c r="A55" s="116"/>
      <c r="B55" s="117" t="s">
        <v>1438</v>
      </c>
      <c r="C55" s="117"/>
      <c r="D55" s="117"/>
      <c r="E55" s="117"/>
      <c r="F55" s="118" t="s">
        <v>1525</v>
      </c>
      <c r="G55" s="164" t="s">
        <v>1526</v>
      </c>
      <c r="H55" s="117" t="s">
        <v>292</v>
      </c>
      <c r="I55" s="117"/>
      <c r="J55" s="117" t="s">
        <v>316</v>
      </c>
      <c r="K55" s="123" t="s">
        <v>1243</v>
      </c>
      <c r="L55" s="117" t="s">
        <v>316</v>
      </c>
      <c r="M55" s="123" t="s">
        <v>1411</v>
      </c>
      <c r="N55" s="117" t="s">
        <v>1245</v>
      </c>
      <c r="O55" s="118"/>
      <c r="P55" s="118"/>
      <c r="Q55" s="117"/>
      <c r="R55" s="117"/>
      <c r="S55" s="117"/>
      <c r="T55" s="117"/>
      <c r="U55" s="117"/>
      <c r="V55" s="123"/>
      <c r="W55" s="117"/>
      <c r="X55" s="118"/>
      <c r="Y55" s="118"/>
      <c r="Z55" s="118"/>
      <c r="AA55" s="118"/>
      <c r="AB55" s="117"/>
      <c r="AC55" s="117"/>
      <c r="AD55" s="117"/>
      <c r="AE55" s="117"/>
      <c r="AF55" s="117"/>
      <c r="AG55" s="117"/>
      <c r="AH55" s="117"/>
      <c r="AI55" s="117"/>
      <c r="AJ55" s="117"/>
    </row>
    <row r="56" spans="1:36" ht="24.75" customHeight="1">
      <c r="A56" s="116"/>
      <c r="B56" s="117" t="s">
        <v>1438</v>
      </c>
      <c r="C56" s="117"/>
      <c r="D56" s="117"/>
      <c r="E56" s="117"/>
      <c r="F56" s="128" t="s">
        <v>1527</v>
      </c>
      <c r="G56" s="118" t="s">
        <v>1528</v>
      </c>
      <c r="H56" s="117" t="s">
        <v>292</v>
      </c>
      <c r="I56" s="117"/>
      <c r="J56" s="117" t="s">
        <v>316</v>
      </c>
      <c r="K56" s="123" t="s">
        <v>1243</v>
      </c>
      <c r="L56" s="117" t="s">
        <v>316</v>
      </c>
      <c r="M56" s="123" t="s">
        <v>1411</v>
      </c>
      <c r="N56" s="117" t="s">
        <v>1245</v>
      </c>
      <c r="O56" s="118" t="s">
        <v>1529</v>
      </c>
      <c r="P56" s="118" t="s">
        <v>1530</v>
      </c>
      <c r="Q56" s="117"/>
      <c r="R56" s="117"/>
      <c r="S56" s="117"/>
      <c r="T56" s="117"/>
      <c r="U56" s="117"/>
      <c r="V56" s="123"/>
      <c r="W56" s="117"/>
      <c r="X56" s="133" t="s">
        <v>1531</v>
      </c>
      <c r="Y56" s="133"/>
      <c r="Z56" s="133"/>
      <c r="AA56" s="133" t="s">
        <v>1532</v>
      </c>
      <c r="AB56" s="121"/>
      <c r="AC56" s="121"/>
      <c r="AD56" s="123"/>
      <c r="AE56" s="123"/>
      <c r="AF56" s="123"/>
      <c r="AG56" s="123"/>
      <c r="AH56" s="123"/>
      <c r="AI56" s="123"/>
      <c r="AJ56" s="123"/>
    </row>
    <row r="57" spans="1:36" ht="24.75" customHeight="1">
      <c r="A57" s="134"/>
      <c r="B57" s="117" t="s">
        <v>1471</v>
      </c>
      <c r="C57" s="117"/>
      <c r="D57" s="117"/>
      <c r="E57" s="117" t="s">
        <v>1241</v>
      </c>
      <c r="F57" s="128" t="s">
        <v>1533</v>
      </c>
      <c r="G57" s="118" t="s">
        <v>1534</v>
      </c>
      <c r="H57" s="117" t="s">
        <v>292</v>
      </c>
      <c r="I57" s="117"/>
      <c r="J57" s="117" t="s">
        <v>316</v>
      </c>
      <c r="K57" s="123" t="s">
        <v>1243</v>
      </c>
      <c r="L57" s="117" t="s">
        <v>316</v>
      </c>
      <c r="M57" s="123" t="s">
        <v>1411</v>
      </c>
      <c r="N57" s="117" t="s">
        <v>1245</v>
      </c>
      <c r="O57" s="118" t="s">
        <v>1535</v>
      </c>
      <c r="P57" s="118" t="s">
        <v>1536</v>
      </c>
      <c r="Q57" s="117"/>
      <c r="R57" s="117"/>
      <c r="S57" s="117"/>
      <c r="T57" s="117"/>
      <c r="U57" s="117"/>
      <c r="V57" s="135" t="s">
        <v>1537</v>
      </c>
      <c r="W57" s="135"/>
      <c r="X57" s="133" t="s">
        <v>1538</v>
      </c>
      <c r="Y57" s="133"/>
      <c r="Z57" s="133"/>
      <c r="AA57" s="126" t="s">
        <v>1539</v>
      </c>
      <c r="AB57" s="121"/>
      <c r="AC57" s="121"/>
      <c r="AD57" s="123"/>
      <c r="AE57" s="123"/>
      <c r="AF57" s="123"/>
      <c r="AG57" s="123"/>
      <c r="AH57" s="123"/>
      <c r="AI57" s="123">
        <v>0</v>
      </c>
      <c r="AJ57" s="123"/>
    </row>
    <row r="58" spans="1:36" ht="24.75" customHeight="1">
      <c r="A58" s="134"/>
      <c r="B58" s="117" t="s">
        <v>1438</v>
      </c>
      <c r="C58" s="117"/>
      <c r="D58" s="117"/>
      <c r="E58" s="117"/>
      <c r="F58" s="118" t="s">
        <v>333</v>
      </c>
      <c r="G58" s="118" t="s">
        <v>1540</v>
      </c>
      <c r="H58" s="117" t="s">
        <v>292</v>
      </c>
      <c r="I58" s="117"/>
      <c r="J58" s="117" t="s">
        <v>267</v>
      </c>
      <c r="K58" s="123" t="s">
        <v>1243</v>
      </c>
      <c r="L58" s="117" t="s">
        <v>267</v>
      </c>
      <c r="M58" s="123" t="s">
        <v>1541</v>
      </c>
      <c r="N58" s="117" t="s">
        <v>1245</v>
      </c>
      <c r="O58" s="118" t="s">
        <v>1542</v>
      </c>
      <c r="P58" s="118" t="s">
        <v>1543</v>
      </c>
      <c r="Q58" s="117"/>
      <c r="R58" s="117"/>
      <c r="S58" s="117"/>
      <c r="T58" s="117"/>
      <c r="U58" s="117"/>
      <c r="V58" s="168" t="s">
        <v>1544</v>
      </c>
      <c r="W58" s="117"/>
      <c r="X58" s="128" t="s">
        <v>1545</v>
      </c>
      <c r="Y58" s="118"/>
      <c r="Z58" s="118" t="s">
        <v>1546</v>
      </c>
      <c r="AA58" s="144" t="s">
        <v>1547</v>
      </c>
      <c r="AB58" s="117"/>
      <c r="AC58" s="117"/>
      <c r="AD58" s="117"/>
      <c r="AE58" s="117"/>
      <c r="AF58" s="117"/>
      <c r="AG58" s="117"/>
      <c r="AH58" s="117"/>
      <c r="AI58" s="117"/>
      <c r="AJ58" s="117"/>
    </row>
    <row r="59" spans="1:36" s="23" customFormat="1" ht="24.75" customHeight="1">
      <c r="A59" s="136"/>
      <c r="B59" s="131" t="s">
        <v>1438</v>
      </c>
      <c r="C59" s="131" t="s">
        <v>1260</v>
      </c>
      <c r="D59" s="131"/>
      <c r="E59" s="131" t="s">
        <v>1241</v>
      </c>
      <c r="F59" s="157" t="s">
        <v>466</v>
      </c>
      <c r="G59" s="157" t="s">
        <v>1548</v>
      </c>
      <c r="H59" s="117" t="s">
        <v>295</v>
      </c>
      <c r="I59" s="131"/>
      <c r="J59" s="131" t="s">
        <v>279</v>
      </c>
      <c r="K59" s="165" t="s">
        <v>1243</v>
      </c>
      <c r="L59" s="131" t="s">
        <v>279</v>
      </c>
      <c r="M59" s="165" t="s">
        <v>279</v>
      </c>
      <c r="N59" s="131" t="s">
        <v>1549</v>
      </c>
      <c r="O59" s="157"/>
      <c r="P59" s="157"/>
      <c r="Q59" s="131"/>
      <c r="R59" s="131"/>
      <c r="S59" s="131" t="s">
        <v>1550</v>
      </c>
      <c r="T59" s="131"/>
      <c r="U59" s="131"/>
      <c r="V59" s="165"/>
      <c r="W59" s="131"/>
      <c r="X59" s="157"/>
      <c r="Y59" s="157"/>
      <c r="Z59" s="157"/>
      <c r="AA59" s="157"/>
      <c r="AB59" s="131"/>
      <c r="AC59" s="131"/>
      <c r="AD59" s="131"/>
      <c r="AE59" s="131"/>
      <c r="AF59" s="131"/>
      <c r="AG59" s="131"/>
      <c r="AH59" s="131"/>
      <c r="AI59" s="131"/>
      <c r="AJ59" s="131"/>
    </row>
    <row r="60" spans="1:36" ht="24.75" customHeight="1">
      <c r="A60" s="134"/>
      <c r="B60" s="117" t="s">
        <v>1551</v>
      </c>
      <c r="C60" s="117"/>
      <c r="D60" s="117"/>
      <c r="E60" s="117"/>
      <c r="F60" s="118" t="s">
        <v>1552</v>
      </c>
      <c r="G60" s="118"/>
      <c r="H60" s="117" t="s">
        <v>292</v>
      </c>
      <c r="I60" s="117"/>
      <c r="J60" s="117" t="s">
        <v>316</v>
      </c>
      <c r="K60" s="123" t="s">
        <v>1243</v>
      </c>
      <c r="L60" s="117" t="s">
        <v>316</v>
      </c>
      <c r="M60" s="123" t="s">
        <v>1411</v>
      </c>
      <c r="N60" s="117" t="s">
        <v>1553</v>
      </c>
      <c r="O60" s="118" t="s">
        <v>1554</v>
      </c>
      <c r="P60" s="118" t="s">
        <v>1364</v>
      </c>
      <c r="Q60" s="117"/>
      <c r="R60" s="117"/>
      <c r="S60" s="117"/>
      <c r="T60" s="117"/>
      <c r="U60" s="117"/>
      <c r="V60" s="123"/>
      <c r="W60" s="117"/>
      <c r="X60" s="118" t="s">
        <v>1555</v>
      </c>
      <c r="Y60" s="118"/>
      <c r="Z60" s="118" t="s">
        <v>1556</v>
      </c>
      <c r="AA60" s="118"/>
      <c r="AB60" s="117"/>
      <c r="AC60" s="117"/>
      <c r="AD60" s="117"/>
      <c r="AE60" s="117"/>
      <c r="AF60" s="117"/>
      <c r="AG60" s="117"/>
      <c r="AH60" s="117"/>
      <c r="AI60" s="117"/>
      <c r="AJ60" s="117"/>
    </row>
    <row r="61" spans="1:36" ht="24.75" customHeight="1">
      <c r="A61" s="134"/>
      <c r="B61" s="117" t="s">
        <v>1239</v>
      </c>
      <c r="C61" s="117" t="s">
        <v>1312</v>
      </c>
      <c r="D61" s="117"/>
      <c r="E61" s="117" t="s">
        <v>1241</v>
      </c>
      <c r="F61" s="133" t="s">
        <v>384</v>
      </c>
      <c r="G61" s="118" t="s">
        <v>1557</v>
      </c>
      <c r="H61" s="117" t="s">
        <v>292</v>
      </c>
      <c r="I61" s="117"/>
      <c r="J61" s="117" t="s">
        <v>1287</v>
      </c>
      <c r="K61" s="123" t="s">
        <v>1243</v>
      </c>
      <c r="L61" s="117" t="s">
        <v>267</v>
      </c>
      <c r="M61" s="123" t="s">
        <v>1262</v>
      </c>
      <c r="N61" s="117" t="s">
        <v>1263</v>
      </c>
      <c r="O61" s="118" t="s">
        <v>1558</v>
      </c>
      <c r="P61" s="118" t="s">
        <v>1559</v>
      </c>
      <c r="Q61" s="117"/>
      <c r="R61" s="117"/>
      <c r="S61" s="117"/>
      <c r="T61" s="117"/>
      <c r="U61" s="117"/>
      <c r="V61" s="123" t="s">
        <v>1560</v>
      </c>
      <c r="W61" s="117"/>
      <c r="X61" s="128" t="s">
        <v>1561</v>
      </c>
      <c r="Y61" s="128"/>
      <c r="Z61" s="118"/>
      <c r="AA61" s="137" t="s">
        <v>1562</v>
      </c>
      <c r="AB61" s="117" t="s">
        <v>1269</v>
      </c>
      <c r="AC61" s="117" t="s">
        <v>1269</v>
      </c>
      <c r="AD61" s="117" t="s">
        <v>1269</v>
      </c>
      <c r="AE61" s="117" t="s">
        <v>1269</v>
      </c>
      <c r="AF61" s="117" t="s">
        <v>1563</v>
      </c>
      <c r="AG61" s="117"/>
      <c r="AH61" s="117"/>
      <c r="AI61" s="138" t="s">
        <v>1564</v>
      </c>
      <c r="AJ61" s="122" t="s">
        <v>1272</v>
      </c>
    </row>
    <row r="62" spans="1:36" ht="24.75" customHeight="1">
      <c r="A62" s="134"/>
      <c r="B62" s="117" t="s">
        <v>1438</v>
      </c>
      <c r="C62" s="117"/>
      <c r="D62" s="117"/>
      <c r="E62" s="117" t="s">
        <v>1241</v>
      </c>
      <c r="F62" s="118" t="s">
        <v>1565</v>
      </c>
      <c r="G62" s="118" t="s">
        <v>1566</v>
      </c>
      <c r="H62" s="117" t="s">
        <v>292</v>
      </c>
      <c r="I62" s="117"/>
      <c r="J62" s="117" t="s">
        <v>1287</v>
      </c>
      <c r="K62" s="123" t="s">
        <v>1243</v>
      </c>
      <c r="L62" s="117" t="s">
        <v>288</v>
      </c>
      <c r="M62" s="123" t="s">
        <v>1567</v>
      </c>
      <c r="N62" s="117" t="s">
        <v>1263</v>
      </c>
      <c r="O62" s="118" t="s">
        <v>1568</v>
      </c>
      <c r="P62" s="118" t="s">
        <v>1517</v>
      </c>
      <c r="Q62" s="117"/>
      <c r="R62" s="117"/>
      <c r="S62" s="117"/>
      <c r="T62" s="117"/>
      <c r="U62" s="117"/>
      <c r="V62" s="123" t="s">
        <v>1569</v>
      </c>
      <c r="W62" s="117"/>
      <c r="X62" s="128" t="s">
        <v>1570</v>
      </c>
      <c r="Y62" s="128"/>
      <c r="Z62" s="118"/>
      <c r="AA62" s="118" t="s">
        <v>1571</v>
      </c>
      <c r="AB62" s="117"/>
      <c r="AC62" s="117"/>
      <c r="AD62" s="117"/>
      <c r="AE62" s="117"/>
      <c r="AF62" s="117"/>
      <c r="AG62" s="117"/>
      <c r="AH62" s="117"/>
      <c r="AI62" s="117"/>
      <c r="AJ62" s="117"/>
    </row>
    <row r="63" spans="1:36" ht="24.75" customHeight="1">
      <c r="A63" s="134"/>
      <c r="B63" s="117" t="s">
        <v>1438</v>
      </c>
      <c r="C63" s="117"/>
      <c r="D63" s="117"/>
      <c r="E63" s="117" t="s">
        <v>1241</v>
      </c>
      <c r="F63" s="118" t="s">
        <v>1572</v>
      </c>
      <c r="G63" s="118" t="s">
        <v>1573</v>
      </c>
      <c r="H63" s="117" t="s">
        <v>292</v>
      </c>
      <c r="I63" s="117"/>
      <c r="J63" s="117" t="s">
        <v>1287</v>
      </c>
      <c r="K63" s="123" t="s">
        <v>1243</v>
      </c>
      <c r="L63" s="117" t="s">
        <v>288</v>
      </c>
      <c r="M63" s="123" t="s">
        <v>1574</v>
      </c>
      <c r="N63" s="117" t="s">
        <v>1245</v>
      </c>
      <c r="O63" s="118"/>
      <c r="P63" s="118"/>
      <c r="Q63" s="117"/>
      <c r="R63" s="117"/>
      <c r="S63" s="117"/>
      <c r="T63" s="117"/>
      <c r="U63" s="117"/>
      <c r="V63" s="123"/>
      <c r="W63" s="117"/>
      <c r="X63" s="118"/>
      <c r="Y63" s="118"/>
      <c r="Z63" s="118"/>
      <c r="AA63" s="118"/>
      <c r="AB63" s="117"/>
      <c r="AC63" s="117"/>
      <c r="AD63" s="117"/>
      <c r="AE63" s="117"/>
      <c r="AF63" s="117"/>
      <c r="AG63" s="117"/>
      <c r="AH63" s="117"/>
      <c r="AI63" s="117"/>
      <c r="AJ63" s="117"/>
    </row>
    <row r="64" spans="1:36" ht="24.75" customHeight="1">
      <c r="A64" s="134"/>
      <c r="B64" s="117" t="s">
        <v>1239</v>
      </c>
      <c r="C64" s="117" t="s">
        <v>1312</v>
      </c>
      <c r="D64" s="117"/>
      <c r="E64" s="117" t="s">
        <v>1241</v>
      </c>
      <c r="F64" s="128" t="s">
        <v>385</v>
      </c>
      <c r="G64" s="118" t="s">
        <v>1575</v>
      </c>
      <c r="H64" s="117" t="s">
        <v>292</v>
      </c>
      <c r="I64" s="117"/>
      <c r="J64" s="117" t="s">
        <v>1287</v>
      </c>
      <c r="K64" s="123" t="s">
        <v>1243</v>
      </c>
      <c r="L64" s="117" t="s">
        <v>267</v>
      </c>
      <c r="M64" s="123" t="s">
        <v>1576</v>
      </c>
      <c r="N64" s="117" t="s">
        <v>1263</v>
      </c>
      <c r="O64" s="118" t="s">
        <v>1577</v>
      </c>
      <c r="P64" s="118" t="s">
        <v>1578</v>
      </c>
      <c r="Q64" s="117"/>
      <c r="R64" s="117"/>
      <c r="S64" s="117"/>
      <c r="T64" s="117"/>
      <c r="U64" s="117"/>
      <c r="V64" s="123" t="s">
        <v>1579</v>
      </c>
      <c r="W64" s="117"/>
      <c r="X64" s="128" t="s">
        <v>1580</v>
      </c>
      <c r="Y64" s="128"/>
      <c r="Z64" s="118"/>
      <c r="AA64" s="118" t="s">
        <v>1581</v>
      </c>
      <c r="AB64" s="117" t="s">
        <v>1269</v>
      </c>
      <c r="AC64" s="117" t="s">
        <v>1269</v>
      </c>
      <c r="AD64" s="117" t="s">
        <v>1269</v>
      </c>
      <c r="AE64" s="117" t="s">
        <v>1269</v>
      </c>
      <c r="AF64" s="117" t="s">
        <v>1563</v>
      </c>
      <c r="AG64" s="117">
        <v>15</v>
      </c>
      <c r="AH64" s="117" t="s">
        <v>1582</v>
      </c>
      <c r="AI64" s="117" t="s">
        <v>1583</v>
      </c>
      <c r="AJ64" s="122" t="s">
        <v>1272</v>
      </c>
    </row>
    <row r="65" spans="1:36" s="2" customFormat="1" ht="24.75" customHeight="1">
      <c r="A65" s="134"/>
      <c r="B65" s="117" t="s">
        <v>1438</v>
      </c>
      <c r="C65" s="117"/>
      <c r="D65" s="117"/>
      <c r="E65" s="117" t="s">
        <v>1241</v>
      </c>
      <c r="F65" s="118" t="s">
        <v>331</v>
      </c>
      <c r="G65" s="118" t="s">
        <v>331</v>
      </c>
      <c r="H65" s="117" t="s">
        <v>422</v>
      </c>
      <c r="I65" s="117" t="s">
        <v>1252</v>
      </c>
      <c r="J65" s="117" t="s">
        <v>299</v>
      </c>
      <c r="K65" s="123" t="s">
        <v>1244</v>
      </c>
      <c r="L65" s="117" t="s">
        <v>299</v>
      </c>
      <c r="M65" s="123" t="s">
        <v>1584</v>
      </c>
      <c r="N65" s="117" t="s">
        <v>1585</v>
      </c>
      <c r="O65" s="118" t="s">
        <v>1586</v>
      </c>
      <c r="P65" s="118"/>
      <c r="Q65" s="117"/>
      <c r="R65" s="117"/>
      <c r="S65" s="117"/>
      <c r="T65" s="117"/>
      <c r="U65" s="117"/>
      <c r="V65" s="123"/>
      <c r="W65" s="117"/>
      <c r="X65" s="128" t="s">
        <v>1587</v>
      </c>
      <c r="Y65" s="128"/>
      <c r="Z65" s="128" t="s">
        <v>1588</v>
      </c>
      <c r="AA65" s="118"/>
      <c r="AB65" s="117"/>
      <c r="AC65" s="117"/>
      <c r="AD65" s="117"/>
      <c r="AE65" s="117"/>
      <c r="AF65" s="117"/>
      <c r="AG65" s="117"/>
      <c r="AH65" s="117"/>
      <c r="AI65" s="117"/>
      <c r="AJ65" s="117"/>
    </row>
    <row r="66" spans="1:36" s="2" customFormat="1" ht="24.75" customHeight="1">
      <c r="A66" s="134"/>
      <c r="B66" s="117" t="s">
        <v>1438</v>
      </c>
      <c r="C66" s="117"/>
      <c r="D66" s="117"/>
      <c r="E66" s="117" t="s">
        <v>1241</v>
      </c>
      <c r="F66" s="118" t="s">
        <v>1589</v>
      </c>
      <c r="G66" s="118" t="s">
        <v>1589</v>
      </c>
      <c r="H66" s="117" t="s">
        <v>422</v>
      </c>
      <c r="I66" s="117" t="s">
        <v>1252</v>
      </c>
      <c r="J66" s="117" t="s">
        <v>279</v>
      </c>
      <c r="K66" s="123" t="s">
        <v>1244</v>
      </c>
      <c r="L66" s="117" t="s">
        <v>279</v>
      </c>
      <c r="M66" s="123" t="s">
        <v>279</v>
      </c>
      <c r="N66" s="117" t="s">
        <v>1590</v>
      </c>
      <c r="O66" s="118"/>
      <c r="P66" s="118"/>
      <c r="Q66" s="117"/>
      <c r="R66" s="117"/>
      <c r="S66" s="117"/>
      <c r="T66" s="117"/>
      <c r="U66" s="117"/>
      <c r="V66" s="123"/>
      <c r="W66" s="117"/>
      <c r="X66" s="118"/>
      <c r="Y66" s="118"/>
      <c r="Z66" s="118" t="s">
        <v>1591</v>
      </c>
      <c r="AA66" s="118"/>
      <c r="AB66" s="117"/>
      <c r="AC66" s="117"/>
      <c r="AD66" s="117"/>
      <c r="AE66" s="117"/>
      <c r="AF66" s="117"/>
      <c r="AG66" s="117"/>
      <c r="AH66" s="117"/>
      <c r="AI66" s="117"/>
      <c r="AJ66" s="117"/>
    </row>
    <row r="67" spans="1:36" ht="24.75" customHeight="1">
      <c r="A67" s="134"/>
      <c r="B67" s="117" t="s">
        <v>1438</v>
      </c>
      <c r="C67" s="117"/>
      <c r="D67" s="117"/>
      <c r="E67" s="117" t="s">
        <v>1241</v>
      </c>
      <c r="F67" s="158"/>
      <c r="G67" s="118" t="s">
        <v>1592</v>
      </c>
      <c r="H67" s="117" t="s">
        <v>292</v>
      </c>
      <c r="I67" s="117"/>
      <c r="J67" s="117" t="s">
        <v>267</v>
      </c>
      <c r="K67" s="123" t="s">
        <v>1243</v>
      </c>
      <c r="L67" s="117" t="s">
        <v>267</v>
      </c>
      <c r="M67" s="123" t="s">
        <v>1576</v>
      </c>
      <c r="N67" s="117" t="s">
        <v>1263</v>
      </c>
      <c r="O67" s="118" t="s">
        <v>1593</v>
      </c>
      <c r="P67" s="118" t="s">
        <v>1594</v>
      </c>
      <c r="Q67" s="117"/>
      <c r="R67" s="117"/>
      <c r="S67" s="117"/>
      <c r="T67" s="117"/>
      <c r="U67" s="117"/>
      <c r="V67" s="123" t="s">
        <v>1595</v>
      </c>
      <c r="W67" s="117"/>
      <c r="X67" s="118" t="s">
        <v>1596</v>
      </c>
      <c r="Y67" s="118"/>
      <c r="Z67" s="118"/>
      <c r="AA67" s="118" t="s">
        <v>1597</v>
      </c>
      <c r="AB67" s="117"/>
      <c r="AC67" s="117"/>
      <c r="AD67" s="117"/>
      <c r="AE67" s="117"/>
      <c r="AF67" s="117"/>
      <c r="AG67" s="117"/>
      <c r="AH67" s="117"/>
      <c r="AI67" s="117"/>
      <c r="AJ67" s="117"/>
    </row>
    <row r="68" spans="1:36" s="2" customFormat="1" ht="24.75" customHeight="1">
      <c r="A68" s="134"/>
      <c r="B68" s="117" t="s">
        <v>1598</v>
      </c>
      <c r="C68" s="117"/>
      <c r="D68" s="117"/>
      <c r="E68" s="117"/>
      <c r="F68" s="157" t="s">
        <v>1599</v>
      </c>
      <c r="G68" s="118"/>
      <c r="H68" s="117" t="s">
        <v>292</v>
      </c>
      <c r="I68" s="117"/>
      <c r="J68" s="117"/>
      <c r="K68" s="123" t="s">
        <v>1243</v>
      </c>
      <c r="L68" s="117"/>
      <c r="M68" s="123"/>
      <c r="N68" s="117"/>
      <c r="O68" s="118"/>
      <c r="P68" s="118"/>
      <c r="Q68" s="117"/>
      <c r="R68" s="117"/>
      <c r="S68" s="117"/>
      <c r="T68" s="117"/>
      <c r="U68" s="117"/>
      <c r="V68" s="123"/>
      <c r="W68" s="117"/>
      <c r="X68" s="118"/>
      <c r="Y68" s="118"/>
      <c r="Z68" s="118"/>
      <c r="AA68" s="118"/>
      <c r="AB68" s="117"/>
      <c r="AC68" s="117"/>
      <c r="AD68" s="117"/>
      <c r="AE68" s="117"/>
      <c r="AF68" s="117"/>
      <c r="AG68" s="117"/>
      <c r="AH68" s="117"/>
      <c r="AI68" s="117"/>
      <c r="AJ68" s="117"/>
    </row>
    <row r="69" spans="1:36" ht="24.75" customHeight="1">
      <c r="A69" s="134"/>
      <c r="B69" s="117" t="s">
        <v>1598</v>
      </c>
      <c r="C69" s="117"/>
      <c r="D69" s="117"/>
      <c r="E69" s="117" t="s">
        <v>1241</v>
      </c>
      <c r="F69" s="158" t="s">
        <v>322</v>
      </c>
      <c r="G69" s="118" t="s">
        <v>1600</v>
      </c>
      <c r="H69" s="117" t="s">
        <v>292</v>
      </c>
      <c r="I69" s="117"/>
      <c r="J69" s="117" t="s">
        <v>285</v>
      </c>
      <c r="K69" s="123" t="s">
        <v>1243</v>
      </c>
      <c r="L69" s="117" t="s">
        <v>267</v>
      </c>
      <c r="M69" s="123" t="s">
        <v>1329</v>
      </c>
      <c r="N69" s="117" t="s">
        <v>1263</v>
      </c>
      <c r="O69" s="118" t="s">
        <v>1601</v>
      </c>
      <c r="P69" s="118" t="s">
        <v>1602</v>
      </c>
      <c r="Q69" s="123"/>
      <c r="R69" s="123"/>
      <c r="S69" s="123"/>
      <c r="T69" s="123"/>
      <c r="U69" s="123"/>
      <c r="V69" s="123" t="s">
        <v>1603</v>
      </c>
      <c r="W69" s="117"/>
      <c r="X69" s="128" t="s">
        <v>1604</v>
      </c>
      <c r="Y69" s="128"/>
      <c r="Z69" s="128" t="s">
        <v>1605</v>
      </c>
      <c r="AA69" s="118" t="s">
        <v>1606</v>
      </c>
      <c r="AB69" s="117"/>
      <c r="AC69" s="117"/>
      <c r="AD69" s="117"/>
      <c r="AE69" s="117"/>
      <c r="AF69" s="117"/>
      <c r="AG69" s="117"/>
      <c r="AH69" s="117"/>
      <c r="AI69" s="117"/>
      <c r="AJ69" s="117"/>
    </row>
    <row r="70" spans="1:36" s="2" customFormat="1" ht="24.75" customHeight="1">
      <c r="A70" s="134"/>
      <c r="B70" s="117" t="s">
        <v>1438</v>
      </c>
      <c r="C70" s="117"/>
      <c r="D70" s="117"/>
      <c r="E70" s="117" t="s">
        <v>235</v>
      </c>
      <c r="F70" s="118" t="s">
        <v>1607</v>
      </c>
      <c r="G70" s="118" t="s">
        <v>1608</v>
      </c>
      <c r="H70" s="117" t="s">
        <v>292</v>
      </c>
      <c r="I70" s="117"/>
      <c r="J70" s="117" t="s">
        <v>151</v>
      </c>
      <c r="K70" s="123" t="s">
        <v>1244</v>
      </c>
      <c r="L70" s="117" t="s">
        <v>151</v>
      </c>
      <c r="M70" s="123" t="s">
        <v>1609</v>
      </c>
      <c r="N70" s="117" t="s">
        <v>1610</v>
      </c>
      <c r="O70" s="118"/>
      <c r="P70" s="118"/>
      <c r="Q70" s="117"/>
      <c r="R70" s="117"/>
      <c r="S70" s="117"/>
      <c r="T70" s="117"/>
      <c r="U70" s="117"/>
      <c r="V70" s="123"/>
      <c r="W70" s="117"/>
      <c r="X70" s="118"/>
      <c r="Y70" s="118"/>
      <c r="Z70" s="118"/>
      <c r="AA70" s="118"/>
      <c r="AB70" s="117"/>
      <c r="AC70" s="117"/>
      <c r="AD70" s="117"/>
      <c r="AE70" s="117"/>
      <c r="AF70" s="117"/>
      <c r="AG70" s="117"/>
      <c r="AH70" s="117"/>
      <c r="AI70" s="117"/>
      <c r="AJ70" s="117"/>
    </row>
    <row r="71" spans="1:36" ht="24.75" customHeight="1">
      <c r="A71" s="134"/>
      <c r="B71" s="117" t="s">
        <v>1471</v>
      </c>
      <c r="C71" s="117"/>
      <c r="D71" s="117"/>
      <c r="E71" s="117" t="s">
        <v>1241</v>
      </c>
      <c r="F71" s="157" t="s">
        <v>1611</v>
      </c>
      <c r="G71" s="118" t="s">
        <v>1612</v>
      </c>
      <c r="H71" s="117" t="s">
        <v>292</v>
      </c>
      <c r="I71" s="117"/>
      <c r="J71" s="117" t="s">
        <v>267</v>
      </c>
      <c r="K71" s="123" t="s">
        <v>1243</v>
      </c>
      <c r="L71" s="117" t="s">
        <v>267</v>
      </c>
      <c r="M71" s="123" t="s">
        <v>1576</v>
      </c>
      <c r="N71" s="117" t="s">
        <v>1263</v>
      </c>
      <c r="O71" s="118" t="s">
        <v>1613</v>
      </c>
      <c r="P71" s="118" t="s">
        <v>1614</v>
      </c>
      <c r="Q71" s="117"/>
      <c r="R71" s="117"/>
      <c r="S71" s="117"/>
      <c r="T71" s="117"/>
      <c r="U71" s="117"/>
      <c r="V71" s="123" t="s">
        <v>1615</v>
      </c>
      <c r="W71" s="117"/>
      <c r="X71" s="128" t="s">
        <v>1616</v>
      </c>
      <c r="Y71" s="128"/>
      <c r="Z71" s="118"/>
      <c r="AA71" s="118" t="s">
        <v>1617</v>
      </c>
      <c r="AB71" s="117"/>
      <c r="AC71" s="117"/>
      <c r="AD71" s="117"/>
      <c r="AE71" s="117"/>
      <c r="AF71" s="117"/>
      <c r="AG71" s="117"/>
      <c r="AH71" s="117"/>
      <c r="AI71" s="117"/>
      <c r="AJ71" s="117"/>
    </row>
    <row r="72" spans="1:36" s="2" customFormat="1" ht="24.75" customHeight="1">
      <c r="A72" s="134"/>
      <c r="B72" s="117" t="s">
        <v>1438</v>
      </c>
      <c r="C72" s="117"/>
      <c r="D72" s="117"/>
      <c r="E72" s="117"/>
      <c r="F72" s="118" t="s">
        <v>300</v>
      </c>
      <c r="G72" s="118" t="s">
        <v>1618</v>
      </c>
      <c r="H72" s="117" t="s">
        <v>422</v>
      </c>
      <c r="I72" s="117" t="s">
        <v>1252</v>
      </c>
      <c r="J72" s="117" t="s">
        <v>1619</v>
      </c>
      <c r="K72" s="123" t="s">
        <v>1244</v>
      </c>
      <c r="L72" s="117" t="s">
        <v>1619</v>
      </c>
      <c r="M72" s="123" t="s">
        <v>1253</v>
      </c>
      <c r="N72" s="117"/>
      <c r="O72" s="126" t="s">
        <v>1620</v>
      </c>
      <c r="P72" s="126" t="s">
        <v>1621</v>
      </c>
      <c r="Q72" s="139"/>
      <c r="R72" s="139"/>
      <c r="S72" s="139"/>
      <c r="T72" s="139"/>
      <c r="U72" s="139"/>
      <c r="V72" s="123"/>
      <c r="W72" s="117"/>
      <c r="X72" s="128" t="s">
        <v>1622</v>
      </c>
      <c r="Y72" s="128"/>
      <c r="Z72" s="128"/>
      <c r="AA72" s="128"/>
      <c r="AB72" s="122"/>
      <c r="AC72" s="122"/>
      <c r="AD72" s="117"/>
      <c r="AE72" s="117"/>
      <c r="AF72" s="117"/>
      <c r="AG72" s="117"/>
      <c r="AH72" s="117"/>
      <c r="AI72" s="117"/>
      <c r="AJ72" s="117"/>
    </row>
    <row r="73" spans="1:36" ht="24.75" customHeight="1">
      <c r="A73" s="134"/>
      <c r="B73" s="117" t="s">
        <v>1239</v>
      </c>
      <c r="C73" s="117"/>
      <c r="D73" s="117"/>
      <c r="E73" s="117" t="s">
        <v>1241</v>
      </c>
      <c r="F73" s="158" t="s">
        <v>386</v>
      </c>
      <c r="G73" s="118" t="s">
        <v>1623</v>
      </c>
      <c r="H73" s="117" t="s">
        <v>292</v>
      </c>
      <c r="I73" s="117"/>
      <c r="J73" s="117" t="s">
        <v>316</v>
      </c>
      <c r="K73" s="123" t="s">
        <v>1243</v>
      </c>
      <c r="L73" s="117" t="s">
        <v>316</v>
      </c>
      <c r="M73" s="123" t="s">
        <v>1624</v>
      </c>
      <c r="N73" s="117" t="s">
        <v>1245</v>
      </c>
      <c r="O73" s="118" t="s">
        <v>1625</v>
      </c>
      <c r="P73" s="118"/>
      <c r="Q73" s="117"/>
      <c r="R73" s="117"/>
      <c r="S73" s="117"/>
      <c r="T73" s="117"/>
      <c r="U73" s="117"/>
      <c r="V73" s="123"/>
      <c r="W73" s="117"/>
      <c r="X73" s="128" t="s">
        <v>1626</v>
      </c>
      <c r="Y73" s="128"/>
      <c r="Z73" s="118"/>
      <c r="AA73" s="118" t="s">
        <v>1627</v>
      </c>
      <c r="AB73" s="117" t="s">
        <v>1269</v>
      </c>
      <c r="AC73" s="117" t="s">
        <v>1269</v>
      </c>
      <c r="AD73" s="117" t="s">
        <v>1269</v>
      </c>
      <c r="AE73" s="117" t="s">
        <v>1269</v>
      </c>
      <c r="AF73" s="117" t="s">
        <v>1563</v>
      </c>
      <c r="AG73" s="117"/>
      <c r="AH73" s="117"/>
      <c r="AI73" s="117" t="s">
        <v>1311</v>
      </c>
      <c r="AJ73" s="122" t="s">
        <v>1272</v>
      </c>
    </row>
    <row r="74" spans="1:36" ht="24.75" customHeight="1">
      <c r="A74" s="134"/>
      <c r="B74" s="117" t="s">
        <v>1239</v>
      </c>
      <c r="C74" s="117"/>
      <c r="D74" s="117"/>
      <c r="E74" s="117" t="s">
        <v>1241</v>
      </c>
      <c r="F74" s="158" t="s">
        <v>380</v>
      </c>
      <c r="G74" s="118" t="s">
        <v>1628</v>
      </c>
      <c r="H74" s="117" t="s">
        <v>292</v>
      </c>
      <c r="I74" s="117"/>
      <c r="J74" s="117" t="s">
        <v>1287</v>
      </c>
      <c r="K74" s="123" t="s">
        <v>1243</v>
      </c>
      <c r="L74" s="117" t="s">
        <v>267</v>
      </c>
      <c r="M74" s="123" t="s">
        <v>1253</v>
      </c>
      <c r="N74" s="117" t="s">
        <v>1263</v>
      </c>
      <c r="O74" s="118" t="s">
        <v>1629</v>
      </c>
      <c r="P74" s="118" t="s">
        <v>1630</v>
      </c>
      <c r="Q74" s="117"/>
      <c r="R74" s="117"/>
      <c r="S74" s="117"/>
      <c r="T74" s="117"/>
      <c r="U74" s="117"/>
      <c r="V74" s="135" t="s">
        <v>1631</v>
      </c>
      <c r="W74" s="132"/>
      <c r="X74" s="133" t="s">
        <v>1632</v>
      </c>
      <c r="Y74" s="133"/>
      <c r="Z74" s="133"/>
      <c r="AA74" s="140" t="s">
        <v>1633</v>
      </c>
      <c r="AB74" s="121"/>
      <c r="AC74" s="121"/>
      <c r="AD74" s="141"/>
      <c r="AE74" s="141"/>
      <c r="AF74" s="141"/>
      <c r="AG74" s="141"/>
      <c r="AH74" s="141"/>
      <c r="AI74" s="141"/>
      <c r="AJ74" s="141"/>
    </row>
    <row r="75" spans="1:36" ht="24.75" customHeight="1">
      <c r="A75" s="134"/>
      <c r="B75" s="117" t="s">
        <v>1471</v>
      </c>
      <c r="C75" s="117"/>
      <c r="D75" s="117"/>
      <c r="E75" s="117" t="s">
        <v>1241</v>
      </c>
      <c r="F75" s="158" t="s">
        <v>1634</v>
      </c>
      <c r="G75" s="118" t="s">
        <v>1635</v>
      </c>
      <c r="H75" s="117" t="s">
        <v>292</v>
      </c>
      <c r="I75" s="117"/>
      <c r="J75" s="117" t="s">
        <v>1287</v>
      </c>
      <c r="K75" s="123" t="s">
        <v>1243</v>
      </c>
      <c r="L75" s="117" t="s">
        <v>288</v>
      </c>
      <c r="M75" s="123" t="s">
        <v>1474</v>
      </c>
      <c r="N75" s="117" t="s">
        <v>1263</v>
      </c>
      <c r="O75" s="118" t="s">
        <v>1636</v>
      </c>
      <c r="P75" s="118" t="s">
        <v>1637</v>
      </c>
      <c r="Q75" s="123"/>
      <c r="R75" s="123"/>
      <c r="S75" s="123"/>
      <c r="T75" s="123"/>
      <c r="U75" s="123"/>
      <c r="V75" s="135" t="s">
        <v>1638</v>
      </c>
      <c r="W75" s="132"/>
      <c r="X75" s="133"/>
      <c r="Y75" s="133"/>
      <c r="Z75" s="133" t="s">
        <v>1639</v>
      </c>
      <c r="AA75" s="133"/>
      <c r="AB75" s="121"/>
      <c r="AC75" s="121"/>
      <c r="AD75" s="141"/>
      <c r="AE75" s="141"/>
      <c r="AF75" s="141"/>
      <c r="AG75" s="141"/>
      <c r="AH75" s="141"/>
      <c r="AI75" s="141"/>
      <c r="AJ75" s="141"/>
    </row>
    <row r="76" spans="1:36" ht="24.75" customHeight="1">
      <c r="A76" s="134"/>
      <c r="B76" s="117" t="s">
        <v>1471</v>
      </c>
      <c r="C76" s="117"/>
      <c r="D76" s="117"/>
      <c r="E76" s="117" t="s">
        <v>1241</v>
      </c>
      <c r="F76" s="158" t="s">
        <v>1640</v>
      </c>
      <c r="G76" s="118" t="s">
        <v>1641</v>
      </c>
      <c r="H76" s="117" t="s">
        <v>292</v>
      </c>
      <c r="I76" s="117"/>
      <c r="J76" s="117" t="s">
        <v>316</v>
      </c>
      <c r="K76" s="123" t="s">
        <v>1243</v>
      </c>
      <c r="L76" s="117" t="s">
        <v>316</v>
      </c>
      <c r="M76" s="123" t="s">
        <v>1411</v>
      </c>
      <c r="N76" s="117" t="s">
        <v>1263</v>
      </c>
      <c r="O76" s="118" t="s">
        <v>1642</v>
      </c>
      <c r="P76" s="118" t="s">
        <v>1643</v>
      </c>
      <c r="Q76" s="123"/>
      <c r="R76" s="123"/>
      <c r="S76" s="123"/>
      <c r="T76" s="123"/>
      <c r="U76" s="123"/>
      <c r="V76" s="135" t="s">
        <v>1644</v>
      </c>
      <c r="W76" s="132"/>
      <c r="X76" s="133" t="s">
        <v>1645</v>
      </c>
      <c r="Y76" s="133"/>
      <c r="Z76" s="133"/>
      <c r="AA76" s="133"/>
      <c r="AB76" s="121"/>
      <c r="AC76" s="121"/>
      <c r="AD76" s="141"/>
      <c r="AE76" s="141"/>
      <c r="AF76" s="141"/>
      <c r="AG76" s="141"/>
      <c r="AH76" s="141"/>
      <c r="AI76" s="141"/>
      <c r="AJ76" s="141"/>
    </row>
    <row r="77" spans="1:36" ht="24.75" customHeight="1">
      <c r="A77" s="134"/>
      <c r="B77" s="117" t="s">
        <v>1646</v>
      </c>
      <c r="C77" s="117" t="s">
        <v>1260</v>
      </c>
      <c r="D77" s="117"/>
      <c r="E77" s="117" t="s">
        <v>1241</v>
      </c>
      <c r="F77" s="158" t="s">
        <v>289</v>
      </c>
      <c r="G77" s="118" t="s">
        <v>1647</v>
      </c>
      <c r="H77" s="117" t="s">
        <v>292</v>
      </c>
      <c r="I77" s="117"/>
      <c r="J77" s="117" t="s">
        <v>1287</v>
      </c>
      <c r="K77" s="123" t="s">
        <v>1243</v>
      </c>
      <c r="L77" s="117" t="s">
        <v>288</v>
      </c>
      <c r="M77" s="123" t="s">
        <v>1648</v>
      </c>
      <c r="N77" s="117" t="s">
        <v>1245</v>
      </c>
      <c r="O77" s="118" t="s">
        <v>1649</v>
      </c>
      <c r="P77" s="118" t="s">
        <v>1650</v>
      </c>
      <c r="Q77" s="117"/>
      <c r="R77" s="117"/>
      <c r="S77" s="117"/>
      <c r="T77" s="117"/>
      <c r="U77" s="117"/>
      <c r="V77" s="135" t="s">
        <v>1651</v>
      </c>
      <c r="W77" s="132"/>
      <c r="X77" s="133" t="s">
        <v>1652</v>
      </c>
      <c r="Y77" s="133"/>
      <c r="Z77" s="133"/>
      <c r="AA77" s="126" t="s">
        <v>1653</v>
      </c>
      <c r="AB77" s="117" t="s">
        <v>1326</v>
      </c>
      <c r="AC77" s="117" t="s">
        <v>1326</v>
      </c>
      <c r="AD77" s="117" t="s">
        <v>1326</v>
      </c>
      <c r="AE77" s="117" t="s">
        <v>1326</v>
      </c>
      <c r="AF77" s="117" t="s">
        <v>1563</v>
      </c>
      <c r="AG77" s="141"/>
      <c r="AH77" s="141"/>
      <c r="AI77" s="138" t="s">
        <v>1654</v>
      </c>
      <c r="AJ77" s="138"/>
    </row>
    <row r="78" spans="1:36" ht="24.75" customHeight="1">
      <c r="A78" s="134"/>
      <c r="B78" s="117" t="s">
        <v>1646</v>
      </c>
      <c r="C78" s="117" t="s">
        <v>1312</v>
      </c>
      <c r="D78" s="117"/>
      <c r="E78" s="117" t="s">
        <v>1241</v>
      </c>
      <c r="F78" s="158" t="s">
        <v>1655</v>
      </c>
      <c r="G78" s="118" t="s">
        <v>1656</v>
      </c>
      <c r="H78" s="117" t="s">
        <v>292</v>
      </c>
      <c r="I78" s="117"/>
      <c r="J78" s="117" t="s">
        <v>316</v>
      </c>
      <c r="K78" s="123" t="s">
        <v>1243</v>
      </c>
      <c r="L78" s="117" t="s">
        <v>316</v>
      </c>
      <c r="M78" s="123" t="s">
        <v>1657</v>
      </c>
      <c r="N78" s="117" t="s">
        <v>1263</v>
      </c>
      <c r="O78" s="118" t="s">
        <v>1658</v>
      </c>
      <c r="P78" s="118" t="s">
        <v>1659</v>
      </c>
      <c r="Q78" s="123"/>
      <c r="R78" s="123"/>
      <c r="S78" s="123"/>
      <c r="T78" s="123"/>
      <c r="U78" s="123"/>
      <c r="V78" s="135" t="s">
        <v>1660</v>
      </c>
      <c r="W78" s="132"/>
      <c r="X78" s="133" t="s">
        <v>1661</v>
      </c>
      <c r="Y78" s="133"/>
      <c r="Z78" s="133"/>
      <c r="AA78" s="140" t="s">
        <v>1662</v>
      </c>
      <c r="AB78" s="121"/>
      <c r="AC78" s="121"/>
      <c r="AD78" s="117"/>
      <c r="AE78" s="117"/>
      <c r="AF78" s="117"/>
      <c r="AG78" s="117"/>
      <c r="AH78" s="117"/>
      <c r="AI78" s="138" t="s">
        <v>1311</v>
      </c>
      <c r="AJ78" s="138"/>
    </row>
    <row r="79" spans="1:36" ht="24.75" customHeight="1">
      <c r="A79" s="134"/>
      <c r="B79" s="117" t="s">
        <v>1438</v>
      </c>
      <c r="C79" s="117"/>
      <c r="D79" s="117"/>
      <c r="E79" s="117"/>
      <c r="F79" s="157" t="s">
        <v>1663</v>
      </c>
      <c r="G79" s="118" t="s">
        <v>1664</v>
      </c>
      <c r="H79" s="117" t="s">
        <v>292</v>
      </c>
      <c r="I79" s="117"/>
      <c r="J79" s="117" t="s">
        <v>316</v>
      </c>
      <c r="K79" s="123" t="s">
        <v>1243</v>
      </c>
      <c r="L79" s="117" t="s">
        <v>316</v>
      </c>
      <c r="M79" s="123" t="s">
        <v>1411</v>
      </c>
      <c r="N79" s="117" t="s">
        <v>1263</v>
      </c>
      <c r="O79" s="118" t="s">
        <v>1665</v>
      </c>
      <c r="P79" s="118" t="s">
        <v>1666</v>
      </c>
      <c r="Q79" s="117"/>
      <c r="R79" s="117"/>
      <c r="S79" s="117"/>
      <c r="T79" s="117"/>
      <c r="U79" s="117"/>
      <c r="V79" s="135" t="s">
        <v>1667</v>
      </c>
      <c r="W79" s="132"/>
      <c r="X79" s="133" t="s">
        <v>1668</v>
      </c>
      <c r="Y79" s="133"/>
      <c r="Z79" s="133"/>
      <c r="AA79" s="126" t="s">
        <v>1669</v>
      </c>
      <c r="AB79" s="121"/>
      <c r="AC79" s="121"/>
      <c r="AD79" s="117"/>
      <c r="AE79" s="117"/>
      <c r="AF79" s="117"/>
      <c r="AG79" s="117"/>
      <c r="AH79" s="117"/>
      <c r="AI79" s="117"/>
      <c r="AJ79" s="117"/>
    </row>
    <row r="80" spans="1:36" ht="24.75" customHeight="1">
      <c r="A80" s="134"/>
      <c r="B80" s="117" t="s">
        <v>1471</v>
      </c>
      <c r="C80" s="117"/>
      <c r="D80" s="117"/>
      <c r="E80" s="117" t="s">
        <v>1241</v>
      </c>
      <c r="F80" s="158" t="s">
        <v>344</v>
      </c>
      <c r="G80" s="118" t="s">
        <v>1670</v>
      </c>
      <c r="H80" s="117" t="s">
        <v>292</v>
      </c>
      <c r="I80" s="117"/>
      <c r="J80" s="117" t="s">
        <v>267</v>
      </c>
      <c r="K80" s="123" t="s">
        <v>1243</v>
      </c>
      <c r="L80" s="117" t="s">
        <v>267</v>
      </c>
      <c r="M80" s="123" t="s">
        <v>1262</v>
      </c>
      <c r="N80" s="117" t="s">
        <v>1263</v>
      </c>
      <c r="O80" s="118" t="s">
        <v>1671</v>
      </c>
      <c r="P80" s="118" t="s">
        <v>1672</v>
      </c>
      <c r="Q80" s="123"/>
      <c r="R80" s="123"/>
      <c r="S80" s="123"/>
      <c r="T80" s="123"/>
      <c r="U80" s="123"/>
      <c r="V80" s="123" t="s">
        <v>1673</v>
      </c>
      <c r="W80" s="117"/>
      <c r="X80" s="128" t="s">
        <v>1674</v>
      </c>
      <c r="Y80" s="128"/>
      <c r="Z80" s="118" t="s">
        <v>1675</v>
      </c>
      <c r="AA80" s="118" t="s">
        <v>1676</v>
      </c>
      <c r="AB80" s="117"/>
      <c r="AC80" s="117"/>
      <c r="AD80" s="117"/>
      <c r="AE80" s="117"/>
      <c r="AF80" s="117"/>
      <c r="AG80" s="117"/>
      <c r="AH80" s="117"/>
      <c r="AI80" s="117"/>
      <c r="AJ80" s="117"/>
    </row>
    <row r="81" spans="1:36" s="2" customFormat="1" ht="24.75" customHeight="1">
      <c r="A81" s="134"/>
      <c r="B81" s="117" t="s">
        <v>1438</v>
      </c>
      <c r="C81" s="117"/>
      <c r="D81" s="117"/>
      <c r="E81" s="117"/>
      <c r="F81" s="118" t="s">
        <v>1677</v>
      </c>
      <c r="G81" s="118" t="s">
        <v>1678</v>
      </c>
      <c r="H81" s="117" t="s">
        <v>292</v>
      </c>
      <c r="I81" s="117"/>
      <c r="J81" s="117"/>
      <c r="K81" s="123" t="s">
        <v>267</v>
      </c>
      <c r="L81" s="117"/>
      <c r="M81" s="123"/>
      <c r="N81" s="117"/>
      <c r="O81" s="118"/>
      <c r="P81" s="118"/>
      <c r="Q81" s="117"/>
      <c r="R81" s="117"/>
      <c r="S81" s="117"/>
      <c r="T81" s="117"/>
      <c r="U81" s="117"/>
      <c r="V81" s="123"/>
      <c r="W81" s="117"/>
      <c r="X81" s="118"/>
      <c r="Y81" s="118"/>
      <c r="Z81" s="118"/>
      <c r="AA81" s="118"/>
      <c r="AB81" s="117"/>
      <c r="AC81" s="117"/>
      <c r="AD81" s="117"/>
      <c r="AE81" s="117"/>
      <c r="AF81" s="117"/>
      <c r="AG81" s="117"/>
      <c r="AH81" s="117"/>
      <c r="AI81" s="117"/>
      <c r="AJ81" s="117"/>
    </row>
    <row r="82" spans="1:36" s="2" customFormat="1" ht="24.75" customHeight="1">
      <c r="A82" s="134"/>
      <c r="B82" s="117" t="s">
        <v>1438</v>
      </c>
      <c r="C82" s="117"/>
      <c r="D82" s="117"/>
      <c r="E82" s="117"/>
      <c r="F82" s="118" t="s">
        <v>1679</v>
      </c>
      <c r="G82" s="118" t="s">
        <v>1680</v>
      </c>
      <c r="H82" s="117" t="s">
        <v>292</v>
      </c>
      <c r="I82" s="117"/>
      <c r="J82" s="117"/>
      <c r="K82" s="123" t="s">
        <v>267</v>
      </c>
      <c r="L82" s="117"/>
      <c r="M82" s="123"/>
      <c r="N82" s="117"/>
      <c r="O82" s="118"/>
      <c r="P82" s="118"/>
      <c r="Q82" s="117"/>
      <c r="R82" s="117"/>
      <c r="S82" s="117"/>
      <c r="T82" s="117"/>
      <c r="U82" s="117"/>
      <c r="V82" s="123"/>
      <c r="W82" s="117"/>
      <c r="X82" s="118"/>
      <c r="Y82" s="118"/>
      <c r="Z82" s="118"/>
      <c r="AA82" s="118"/>
      <c r="AB82" s="117"/>
      <c r="AC82" s="117"/>
      <c r="AD82" s="117"/>
      <c r="AE82" s="117"/>
      <c r="AF82" s="117"/>
      <c r="AG82" s="117"/>
      <c r="AH82" s="117"/>
      <c r="AI82" s="117"/>
      <c r="AJ82" s="117"/>
    </row>
    <row r="83" spans="1:36" s="2" customFormat="1" ht="24.75" customHeight="1">
      <c r="A83" s="134"/>
      <c r="B83" s="117" t="s">
        <v>1438</v>
      </c>
      <c r="C83" s="117"/>
      <c r="D83" s="117"/>
      <c r="E83" s="117"/>
      <c r="F83" s="118" t="s">
        <v>1681</v>
      </c>
      <c r="G83" s="118" t="s">
        <v>1682</v>
      </c>
      <c r="H83" s="117" t="s">
        <v>292</v>
      </c>
      <c r="I83" s="117"/>
      <c r="J83" s="117"/>
      <c r="K83" s="123" t="s">
        <v>267</v>
      </c>
      <c r="L83" s="117"/>
      <c r="M83" s="123"/>
      <c r="N83" s="117"/>
      <c r="O83" s="118"/>
      <c r="P83" s="118"/>
      <c r="Q83" s="117"/>
      <c r="R83" s="117"/>
      <c r="S83" s="117"/>
      <c r="T83" s="117"/>
      <c r="U83" s="117"/>
      <c r="V83" s="123"/>
      <c r="W83" s="117"/>
      <c r="X83" s="118"/>
      <c r="Y83" s="118"/>
      <c r="Z83" s="118"/>
      <c r="AA83" s="118"/>
      <c r="AB83" s="117"/>
      <c r="AC83" s="117"/>
      <c r="AD83" s="117"/>
      <c r="AE83" s="117"/>
      <c r="AF83" s="117"/>
      <c r="AG83" s="117"/>
      <c r="AH83" s="117"/>
      <c r="AI83" s="117"/>
      <c r="AJ83" s="117"/>
    </row>
    <row r="84" spans="1:36" s="2" customFormat="1" ht="24.75" customHeight="1">
      <c r="A84" s="134"/>
      <c r="B84" s="117" t="s">
        <v>1438</v>
      </c>
      <c r="C84" s="117"/>
      <c r="D84" s="117"/>
      <c r="E84" s="117"/>
      <c r="F84" s="118" t="s">
        <v>1683</v>
      </c>
      <c r="G84" s="118" t="s">
        <v>1684</v>
      </c>
      <c r="H84" s="117" t="s">
        <v>292</v>
      </c>
      <c r="I84" s="117"/>
      <c r="J84" s="117"/>
      <c r="K84" s="123" t="s">
        <v>267</v>
      </c>
      <c r="L84" s="117"/>
      <c r="M84" s="123"/>
      <c r="N84" s="117"/>
      <c r="O84" s="118"/>
      <c r="P84" s="118"/>
      <c r="Q84" s="117"/>
      <c r="R84" s="117"/>
      <c r="S84" s="117"/>
      <c r="T84" s="117"/>
      <c r="U84" s="117"/>
      <c r="V84" s="123"/>
      <c r="W84" s="117"/>
      <c r="X84" s="118"/>
      <c r="Y84" s="118"/>
      <c r="Z84" s="118"/>
      <c r="AA84" s="118"/>
      <c r="AB84" s="117"/>
      <c r="AC84" s="117"/>
      <c r="AD84" s="117"/>
      <c r="AE84" s="117"/>
      <c r="AF84" s="117"/>
      <c r="AG84" s="117"/>
      <c r="AH84" s="117"/>
      <c r="AI84" s="117"/>
      <c r="AJ84" s="117"/>
    </row>
    <row r="85" spans="1:36" s="2" customFormat="1" ht="24.75" customHeight="1">
      <c r="A85" s="134"/>
      <c r="B85" s="117" t="s">
        <v>1438</v>
      </c>
      <c r="C85" s="117"/>
      <c r="D85" s="117"/>
      <c r="E85" s="117"/>
      <c r="F85" s="118" t="s">
        <v>1685</v>
      </c>
      <c r="G85" s="118" t="s">
        <v>1686</v>
      </c>
      <c r="H85" s="117" t="s">
        <v>292</v>
      </c>
      <c r="I85" s="117"/>
      <c r="J85" s="117"/>
      <c r="K85" s="123" t="s">
        <v>267</v>
      </c>
      <c r="L85" s="117"/>
      <c r="M85" s="123"/>
      <c r="N85" s="117"/>
      <c r="O85" s="118"/>
      <c r="P85" s="118"/>
      <c r="Q85" s="117"/>
      <c r="R85" s="117"/>
      <c r="S85" s="117"/>
      <c r="T85" s="117"/>
      <c r="U85" s="117"/>
      <c r="V85" s="123"/>
      <c r="W85" s="117"/>
      <c r="X85" s="118"/>
      <c r="Y85" s="118"/>
      <c r="Z85" s="118"/>
      <c r="AA85" s="118"/>
      <c r="AB85" s="117"/>
      <c r="AC85" s="117"/>
      <c r="AD85" s="117"/>
      <c r="AE85" s="117"/>
      <c r="AF85" s="117"/>
      <c r="AG85" s="117"/>
      <c r="AH85" s="117"/>
      <c r="AI85" s="117"/>
      <c r="AJ85" s="117"/>
    </row>
    <row r="86" spans="1:36" s="2" customFormat="1" ht="24.75" customHeight="1">
      <c r="A86" s="134"/>
      <c r="B86" s="117" t="s">
        <v>1438</v>
      </c>
      <c r="C86" s="117"/>
      <c r="D86" s="117"/>
      <c r="E86" s="117"/>
      <c r="F86" s="118" t="s">
        <v>1687</v>
      </c>
      <c r="G86" s="118" t="s">
        <v>1688</v>
      </c>
      <c r="H86" s="117" t="s">
        <v>292</v>
      </c>
      <c r="I86" s="117"/>
      <c r="J86" s="117" t="s">
        <v>358</v>
      </c>
      <c r="K86" s="123" t="s">
        <v>1243</v>
      </c>
      <c r="L86" s="117" t="s">
        <v>358</v>
      </c>
      <c r="M86" s="123"/>
      <c r="N86" s="117"/>
      <c r="O86" s="118"/>
      <c r="P86" s="118"/>
      <c r="Q86" s="117"/>
      <c r="R86" s="117"/>
      <c r="S86" s="117"/>
      <c r="T86" s="117"/>
      <c r="U86" s="117"/>
      <c r="V86" s="123"/>
      <c r="W86" s="117"/>
      <c r="X86" s="118"/>
      <c r="Y86" s="118"/>
      <c r="Z86" s="118"/>
      <c r="AA86" s="118"/>
      <c r="AB86" s="117"/>
      <c r="AC86" s="117"/>
      <c r="AD86" s="117"/>
      <c r="AE86" s="117"/>
      <c r="AF86" s="117"/>
      <c r="AG86" s="117"/>
      <c r="AH86" s="117"/>
      <c r="AI86" s="117"/>
      <c r="AJ86" s="117"/>
    </row>
    <row r="87" spans="1:36" s="2" customFormat="1" ht="24.75" customHeight="1">
      <c r="A87" s="134"/>
      <c r="B87" s="117" t="s">
        <v>1438</v>
      </c>
      <c r="C87" s="117"/>
      <c r="D87" s="117"/>
      <c r="E87" s="117"/>
      <c r="F87" s="118" t="s">
        <v>1689</v>
      </c>
      <c r="G87" s="118" t="s">
        <v>1690</v>
      </c>
      <c r="H87" s="117" t="s">
        <v>292</v>
      </c>
      <c r="I87" s="117"/>
      <c r="J87" s="117"/>
      <c r="K87" s="123" t="s">
        <v>267</v>
      </c>
      <c r="L87" s="117"/>
      <c r="M87" s="123"/>
      <c r="N87" s="117"/>
      <c r="O87" s="118"/>
      <c r="P87" s="118"/>
      <c r="Q87" s="117"/>
      <c r="R87" s="117"/>
      <c r="S87" s="117"/>
      <c r="T87" s="117"/>
      <c r="U87" s="117"/>
      <c r="V87" s="123"/>
      <c r="W87" s="117"/>
      <c r="X87" s="118"/>
      <c r="Y87" s="118"/>
      <c r="Z87" s="118"/>
      <c r="AA87" s="118"/>
      <c r="AB87" s="117"/>
      <c r="AC87" s="117"/>
      <c r="AD87" s="117"/>
      <c r="AE87" s="117"/>
      <c r="AF87" s="117"/>
      <c r="AG87" s="117"/>
      <c r="AH87" s="117"/>
      <c r="AI87" s="117"/>
      <c r="AJ87" s="117"/>
    </row>
    <row r="88" spans="1:36" s="2" customFormat="1" ht="24.75" customHeight="1">
      <c r="A88" s="116"/>
      <c r="B88" s="117" t="s">
        <v>1438</v>
      </c>
      <c r="C88" s="117"/>
      <c r="D88" s="117"/>
      <c r="E88" s="117"/>
      <c r="F88" s="118" t="s">
        <v>1691</v>
      </c>
      <c r="G88" s="118" t="s">
        <v>1692</v>
      </c>
      <c r="H88" s="117" t="s">
        <v>292</v>
      </c>
      <c r="I88" s="117"/>
      <c r="J88" s="117"/>
      <c r="K88" s="123" t="s">
        <v>267</v>
      </c>
      <c r="L88" s="117"/>
      <c r="M88" s="123"/>
      <c r="N88" s="117"/>
      <c r="O88" s="118"/>
      <c r="P88" s="118"/>
      <c r="Q88" s="117"/>
      <c r="R88" s="117"/>
      <c r="S88" s="117"/>
      <c r="T88" s="117"/>
      <c r="U88" s="117"/>
      <c r="V88" s="123"/>
      <c r="W88" s="117"/>
      <c r="X88" s="118"/>
      <c r="Y88" s="118"/>
      <c r="Z88" s="118"/>
      <c r="AA88" s="118"/>
      <c r="AB88" s="117"/>
      <c r="AC88" s="117"/>
      <c r="AD88" s="117"/>
      <c r="AE88" s="117"/>
      <c r="AF88" s="117"/>
      <c r="AG88" s="117"/>
      <c r="AH88" s="117"/>
      <c r="AI88" s="117"/>
      <c r="AJ88" s="117"/>
    </row>
    <row r="89" spans="1:36" ht="24.75" customHeight="1">
      <c r="A89" s="116"/>
      <c r="B89" s="117" t="s">
        <v>1471</v>
      </c>
      <c r="C89" s="117"/>
      <c r="D89" s="117"/>
      <c r="E89" s="117" t="s">
        <v>1241</v>
      </c>
      <c r="F89" s="118" t="s">
        <v>1693</v>
      </c>
      <c r="G89" s="118" t="s">
        <v>1694</v>
      </c>
      <c r="H89" s="117" t="s">
        <v>422</v>
      </c>
      <c r="I89" s="117" t="s">
        <v>295</v>
      </c>
      <c r="J89" s="117" t="s">
        <v>323</v>
      </c>
      <c r="K89" s="123" t="s">
        <v>1695</v>
      </c>
      <c r="L89" s="117" t="s">
        <v>323</v>
      </c>
      <c r="M89" s="123" t="s">
        <v>1696</v>
      </c>
      <c r="N89" s="117" t="s">
        <v>1274</v>
      </c>
      <c r="O89" s="118" t="s">
        <v>1697</v>
      </c>
      <c r="P89" s="118" t="s">
        <v>1698</v>
      </c>
      <c r="Q89" s="117"/>
      <c r="R89" s="117"/>
      <c r="S89" s="117"/>
      <c r="T89" s="117"/>
      <c r="U89" s="117"/>
      <c r="V89" s="127">
        <v>773371442</v>
      </c>
      <c r="W89" s="119"/>
      <c r="X89" s="128" t="s">
        <v>1699</v>
      </c>
      <c r="Y89" s="128"/>
      <c r="Z89" s="118" t="s">
        <v>1700</v>
      </c>
      <c r="AA89" s="118" t="s">
        <v>1701</v>
      </c>
      <c r="AB89" s="117"/>
      <c r="AC89" s="117"/>
      <c r="AD89" s="117"/>
      <c r="AE89" s="117"/>
      <c r="AF89" s="117"/>
      <c r="AG89" s="117"/>
      <c r="AH89" s="117"/>
      <c r="AI89" s="117"/>
      <c r="AJ89" s="117"/>
    </row>
    <row r="90" spans="1:36" s="2" customFormat="1" ht="24.75" customHeight="1">
      <c r="A90" s="116"/>
      <c r="B90" s="117" t="s">
        <v>1438</v>
      </c>
      <c r="C90" s="117"/>
      <c r="D90" s="117"/>
      <c r="E90" s="117" t="s">
        <v>1241</v>
      </c>
      <c r="F90" s="118" t="s">
        <v>1702</v>
      </c>
      <c r="G90" s="118" t="s">
        <v>1703</v>
      </c>
      <c r="H90" s="117" t="s">
        <v>422</v>
      </c>
      <c r="I90" s="117" t="s">
        <v>1252</v>
      </c>
      <c r="J90" s="117" t="s">
        <v>279</v>
      </c>
      <c r="K90" s="123" t="s">
        <v>1695</v>
      </c>
      <c r="L90" s="117" t="s">
        <v>279</v>
      </c>
      <c r="M90" s="123" t="s">
        <v>279</v>
      </c>
      <c r="N90" s="117" t="s">
        <v>1704</v>
      </c>
      <c r="O90" s="118"/>
      <c r="P90" s="118"/>
      <c r="Q90" s="117"/>
      <c r="R90" s="117"/>
      <c r="S90" s="117"/>
      <c r="T90" s="117"/>
      <c r="U90" s="117"/>
      <c r="V90" s="123"/>
      <c r="W90" s="117"/>
      <c r="X90" s="118"/>
      <c r="Y90" s="118"/>
      <c r="Z90" s="128" t="s">
        <v>1705</v>
      </c>
      <c r="AA90" s="118"/>
      <c r="AB90" s="117"/>
      <c r="AC90" s="117"/>
      <c r="AD90" s="117"/>
      <c r="AE90" s="117"/>
      <c r="AF90" s="117"/>
      <c r="AG90" s="117"/>
      <c r="AH90" s="117"/>
      <c r="AI90" s="117"/>
      <c r="AJ90" s="117"/>
    </row>
    <row r="91" spans="1:36" s="2" customFormat="1" ht="24.75" customHeight="1">
      <c r="A91" s="116"/>
      <c r="B91" s="117" t="s">
        <v>1438</v>
      </c>
      <c r="C91" s="117"/>
      <c r="D91" s="117"/>
      <c r="E91" s="117" t="s">
        <v>1241</v>
      </c>
      <c r="F91" s="118" t="s">
        <v>1706</v>
      </c>
      <c r="G91" s="118" t="s">
        <v>1707</v>
      </c>
      <c r="H91" s="117" t="s">
        <v>422</v>
      </c>
      <c r="I91" s="117" t="s">
        <v>1252</v>
      </c>
      <c r="J91" s="117" t="s">
        <v>279</v>
      </c>
      <c r="K91" s="123" t="s">
        <v>1695</v>
      </c>
      <c r="L91" s="117" t="s">
        <v>279</v>
      </c>
      <c r="M91" s="123" t="s">
        <v>279</v>
      </c>
      <c r="N91" s="117" t="s">
        <v>1708</v>
      </c>
      <c r="O91" s="118" t="s">
        <v>1709</v>
      </c>
      <c r="P91" s="118" t="s">
        <v>1710</v>
      </c>
      <c r="Q91" s="117"/>
      <c r="R91" s="117"/>
      <c r="S91" s="117"/>
      <c r="T91" s="117"/>
      <c r="U91" s="117"/>
      <c r="V91" s="123">
        <v>90053309</v>
      </c>
      <c r="W91" s="117"/>
      <c r="X91" s="118" t="s">
        <v>1711</v>
      </c>
      <c r="Y91" s="118"/>
      <c r="Z91" s="128" t="s">
        <v>1712</v>
      </c>
      <c r="AA91" s="118" t="s">
        <v>1713</v>
      </c>
      <c r="AB91" s="117"/>
      <c r="AC91" s="117"/>
      <c r="AD91" s="117"/>
      <c r="AE91" s="117"/>
      <c r="AF91" s="117"/>
      <c r="AG91" s="117"/>
      <c r="AH91" s="117"/>
      <c r="AI91" s="117"/>
      <c r="AJ91" s="117"/>
    </row>
    <row r="92" spans="1:36" s="2" customFormat="1" ht="24.75" customHeight="1">
      <c r="A92" s="116"/>
      <c r="B92" s="117" t="s">
        <v>1438</v>
      </c>
      <c r="C92" s="117"/>
      <c r="D92" s="117"/>
      <c r="E92" s="117" t="s">
        <v>235</v>
      </c>
      <c r="F92" s="118" t="s">
        <v>1714</v>
      </c>
      <c r="G92" s="118" t="s">
        <v>1715</v>
      </c>
      <c r="H92" s="117" t="s">
        <v>422</v>
      </c>
      <c r="I92" s="117" t="s">
        <v>1252</v>
      </c>
      <c r="J92" s="117" t="s">
        <v>279</v>
      </c>
      <c r="K92" s="123" t="s">
        <v>1695</v>
      </c>
      <c r="L92" s="117" t="s">
        <v>279</v>
      </c>
      <c r="M92" s="123" t="s">
        <v>279</v>
      </c>
      <c r="N92" s="117" t="s">
        <v>1263</v>
      </c>
      <c r="O92" s="118"/>
      <c r="P92" s="118"/>
      <c r="Q92" s="117"/>
      <c r="R92" s="117"/>
      <c r="S92" s="117"/>
      <c r="T92" s="117"/>
      <c r="U92" s="117"/>
      <c r="V92" s="123"/>
      <c r="W92" s="117"/>
      <c r="X92" s="118"/>
      <c r="Y92" s="118"/>
      <c r="Z92" s="128" t="s">
        <v>1716</v>
      </c>
      <c r="AA92" s="118"/>
      <c r="AB92" s="117"/>
      <c r="AC92" s="117"/>
      <c r="AD92" s="117"/>
      <c r="AE92" s="117"/>
      <c r="AF92" s="117"/>
      <c r="AG92" s="117"/>
      <c r="AH92" s="117"/>
      <c r="AI92" s="117"/>
      <c r="AJ92" s="117"/>
    </row>
    <row r="93" spans="1:36" s="2" customFormat="1" ht="24.75" customHeight="1">
      <c r="A93" s="116"/>
      <c r="B93" s="117" t="s">
        <v>1438</v>
      </c>
      <c r="C93" s="117"/>
      <c r="D93" s="117"/>
      <c r="E93" s="117" t="s">
        <v>1241</v>
      </c>
      <c r="F93" s="118" t="s">
        <v>1717</v>
      </c>
      <c r="G93" s="118" t="s">
        <v>1717</v>
      </c>
      <c r="H93" s="117" t="s">
        <v>422</v>
      </c>
      <c r="I93" s="117" t="s">
        <v>1252</v>
      </c>
      <c r="J93" s="117" t="s">
        <v>279</v>
      </c>
      <c r="K93" s="123" t="s">
        <v>1695</v>
      </c>
      <c r="L93" s="117" t="s">
        <v>279</v>
      </c>
      <c r="M93" s="123" t="s">
        <v>279</v>
      </c>
      <c r="N93" s="117" t="s">
        <v>1263</v>
      </c>
      <c r="O93" s="118"/>
      <c r="P93" s="118"/>
      <c r="Q93" s="117"/>
      <c r="R93" s="117"/>
      <c r="S93" s="117"/>
      <c r="T93" s="117"/>
      <c r="U93" s="117"/>
      <c r="V93" s="123"/>
      <c r="W93" s="117"/>
      <c r="X93" s="118"/>
      <c r="Y93" s="118"/>
      <c r="Z93" s="128" t="s">
        <v>1718</v>
      </c>
      <c r="AA93" s="118"/>
      <c r="AB93" s="117"/>
      <c r="AC93" s="117"/>
      <c r="AD93" s="117"/>
      <c r="AE93" s="117"/>
      <c r="AF93" s="117"/>
      <c r="AG93" s="117"/>
      <c r="AH93" s="117"/>
      <c r="AI93" s="117"/>
      <c r="AJ93" s="117"/>
    </row>
    <row r="94" spans="1:36" s="2" customFormat="1" ht="24.75" customHeight="1">
      <c r="A94" s="116"/>
      <c r="B94" s="117" t="s">
        <v>1438</v>
      </c>
      <c r="C94" s="117"/>
      <c r="D94" s="117"/>
      <c r="E94" s="117" t="s">
        <v>235</v>
      </c>
      <c r="F94" s="118" t="s">
        <v>1719</v>
      </c>
      <c r="G94" s="118" t="s">
        <v>1719</v>
      </c>
      <c r="H94" s="117" t="s">
        <v>422</v>
      </c>
      <c r="I94" s="117" t="s">
        <v>1252</v>
      </c>
      <c r="J94" s="117" t="s">
        <v>308</v>
      </c>
      <c r="K94" s="123" t="s">
        <v>1695</v>
      </c>
      <c r="L94" s="117" t="s">
        <v>308</v>
      </c>
      <c r="M94" s="123" t="s">
        <v>1720</v>
      </c>
      <c r="N94" s="117" t="s">
        <v>1721</v>
      </c>
      <c r="O94" s="118"/>
      <c r="P94" s="118"/>
      <c r="Q94" s="117"/>
      <c r="R94" s="117"/>
      <c r="S94" s="117"/>
      <c r="T94" s="117"/>
      <c r="U94" s="117"/>
      <c r="V94" s="123"/>
      <c r="W94" s="117"/>
      <c r="X94" s="118"/>
      <c r="Y94" s="118"/>
      <c r="Z94" s="128" t="s">
        <v>1722</v>
      </c>
      <c r="AA94" s="118"/>
      <c r="AB94" s="117"/>
      <c r="AC94" s="117"/>
      <c r="AD94" s="117"/>
      <c r="AE94" s="117"/>
      <c r="AF94" s="117"/>
      <c r="AG94" s="117"/>
      <c r="AH94" s="117"/>
      <c r="AI94" s="117"/>
      <c r="AJ94" s="117"/>
    </row>
    <row r="95" spans="1:36" ht="24.75" customHeight="1">
      <c r="A95" s="116"/>
      <c r="B95" s="117" t="s">
        <v>1723</v>
      </c>
      <c r="C95" s="117" t="s">
        <v>1312</v>
      </c>
      <c r="D95" s="117"/>
      <c r="E95" s="117" t="s">
        <v>1241</v>
      </c>
      <c r="F95" s="133" t="s">
        <v>377</v>
      </c>
      <c r="G95" s="118" t="s">
        <v>1724</v>
      </c>
      <c r="H95" s="117" t="s">
        <v>292</v>
      </c>
      <c r="I95" s="117"/>
      <c r="J95" s="117" t="s">
        <v>1287</v>
      </c>
      <c r="K95" s="123" t="s">
        <v>1243</v>
      </c>
      <c r="L95" s="117" t="s">
        <v>267</v>
      </c>
      <c r="M95" s="123" t="s">
        <v>1576</v>
      </c>
      <c r="N95" s="117" t="s">
        <v>1263</v>
      </c>
      <c r="O95" s="118" t="s">
        <v>1725</v>
      </c>
      <c r="P95" s="137" t="s">
        <v>1726</v>
      </c>
      <c r="Q95" s="142"/>
      <c r="R95" s="142"/>
      <c r="S95" s="142"/>
      <c r="T95" s="142"/>
      <c r="U95" s="142"/>
      <c r="V95" s="123" t="s">
        <v>1727</v>
      </c>
      <c r="W95" s="117"/>
      <c r="X95" s="128" t="s">
        <v>1728</v>
      </c>
      <c r="Y95" s="128"/>
      <c r="Z95" s="118"/>
      <c r="AA95" s="118" t="s">
        <v>1729</v>
      </c>
      <c r="AB95" s="117" t="s">
        <v>1326</v>
      </c>
      <c r="AC95" s="117" t="s">
        <v>1326</v>
      </c>
      <c r="AD95" s="117" t="s">
        <v>1326</v>
      </c>
      <c r="AE95" s="117" t="s">
        <v>1326</v>
      </c>
      <c r="AF95" s="117" t="s">
        <v>1563</v>
      </c>
      <c r="AG95" s="117"/>
      <c r="AH95" s="117"/>
      <c r="AI95" s="138" t="s">
        <v>1654</v>
      </c>
      <c r="AJ95" s="138"/>
    </row>
    <row r="96" spans="1:36" s="2" customFormat="1" ht="24.75" customHeight="1">
      <c r="A96" s="116"/>
      <c r="B96" s="117" t="s">
        <v>1438</v>
      </c>
      <c r="C96" s="117"/>
      <c r="D96" s="117"/>
      <c r="E96" s="117" t="s">
        <v>1372</v>
      </c>
      <c r="F96" s="128" t="s">
        <v>1730</v>
      </c>
      <c r="G96" s="118" t="s">
        <v>1731</v>
      </c>
      <c r="H96" s="117" t="s">
        <v>422</v>
      </c>
      <c r="I96" s="117" t="s">
        <v>1252</v>
      </c>
      <c r="J96" s="117" t="s">
        <v>299</v>
      </c>
      <c r="K96" s="123" t="s">
        <v>1732</v>
      </c>
      <c r="L96" s="117" t="s">
        <v>299</v>
      </c>
      <c r="M96" s="123" t="s">
        <v>1733</v>
      </c>
      <c r="N96" s="117" t="s">
        <v>1274</v>
      </c>
      <c r="O96" s="118" t="s">
        <v>1734</v>
      </c>
      <c r="P96" s="118"/>
      <c r="Q96" s="117"/>
      <c r="R96" s="117"/>
      <c r="S96" s="117"/>
      <c r="T96" s="117"/>
      <c r="U96" s="117"/>
      <c r="V96" s="123"/>
      <c r="W96" s="117"/>
      <c r="X96" s="128" t="s">
        <v>1735</v>
      </c>
      <c r="Y96" s="128"/>
      <c r="Z96" s="128" t="s">
        <v>1736</v>
      </c>
      <c r="AA96" s="118" t="s">
        <v>1737</v>
      </c>
      <c r="AB96" s="117"/>
      <c r="AC96" s="117"/>
      <c r="AD96" s="117"/>
      <c r="AE96" s="117"/>
      <c r="AF96" s="117"/>
      <c r="AG96" s="117"/>
      <c r="AH96" s="117"/>
      <c r="AI96" s="117"/>
      <c r="AJ96" s="117"/>
    </row>
    <row r="97" spans="1:36" ht="24.75" customHeight="1">
      <c r="A97" s="116"/>
      <c r="B97" s="117" t="s">
        <v>1471</v>
      </c>
      <c r="C97" s="117"/>
      <c r="D97" s="117"/>
      <c r="E97" s="117" t="s">
        <v>1241</v>
      </c>
      <c r="F97" s="118" t="s">
        <v>1738</v>
      </c>
      <c r="G97" s="118" t="s">
        <v>1739</v>
      </c>
      <c r="H97" s="117" t="s">
        <v>422</v>
      </c>
      <c r="I97" s="117" t="s">
        <v>295</v>
      </c>
      <c r="J97" s="117" t="s">
        <v>323</v>
      </c>
      <c r="K97" s="123" t="s">
        <v>1695</v>
      </c>
      <c r="L97" s="117" t="s">
        <v>323</v>
      </c>
      <c r="M97" s="123" t="s">
        <v>1696</v>
      </c>
      <c r="N97" s="117" t="s">
        <v>1274</v>
      </c>
      <c r="O97" s="118" t="s">
        <v>1740</v>
      </c>
      <c r="P97" s="118" t="s">
        <v>1741</v>
      </c>
      <c r="Q97" s="117"/>
      <c r="R97" s="117"/>
      <c r="S97" s="117"/>
      <c r="T97" s="117"/>
      <c r="U97" s="117"/>
      <c r="V97" s="123"/>
      <c r="W97" s="117" t="s">
        <v>1742</v>
      </c>
      <c r="X97" s="128" t="s">
        <v>1743</v>
      </c>
      <c r="Y97" s="128" t="s">
        <v>1744</v>
      </c>
      <c r="Z97" s="118" t="s">
        <v>1745</v>
      </c>
      <c r="AA97" s="118" t="s">
        <v>1746</v>
      </c>
      <c r="AB97" s="117"/>
      <c r="AC97" s="117"/>
      <c r="AD97" s="117"/>
      <c r="AE97" s="117"/>
      <c r="AF97" s="117"/>
      <c r="AG97" s="117"/>
      <c r="AH97" s="117"/>
      <c r="AI97" s="117"/>
      <c r="AJ97" s="117"/>
    </row>
    <row r="98" spans="1:36" ht="24.75" customHeight="1">
      <c r="A98" s="116"/>
      <c r="B98" s="117" t="s">
        <v>1723</v>
      </c>
      <c r="C98" s="117" t="s">
        <v>1312</v>
      </c>
      <c r="D98" s="117"/>
      <c r="E98" s="117" t="s">
        <v>1372</v>
      </c>
      <c r="F98" s="118" t="s">
        <v>1747</v>
      </c>
      <c r="G98" s="118" t="s">
        <v>1748</v>
      </c>
      <c r="H98" s="117" t="s">
        <v>422</v>
      </c>
      <c r="I98" s="117" t="s">
        <v>295</v>
      </c>
      <c r="J98" s="117" t="s">
        <v>323</v>
      </c>
      <c r="K98" s="123" t="s">
        <v>1695</v>
      </c>
      <c r="L98" s="117" t="s">
        <v>323</v>
      </c>
      <c r="M98" s="123" t="s">
        <v>1749</v>
      </c>
      <c r="N98" s="117" t="s">
        <v>1274</v>
      </c>
      <c r="O98" s="118" t="s">
        <v>1750</v>
      </c>
      <c r="P98" s="118" t="s">
        <v>1751</v>
      </c>
      <c r="Q98" s="123"/>
      <c r="R98" s="123"/>
      <c r="S98" s="123"/>
      <c r="T98" s="123"/>
      <c r="U98" s="123"/>
      <c r="V98" s="123" t="s">
        <v>1752</v>
      </c>
      <c r="W98" s="117"/>
      <c r="X98" s="128" t="s">
        <v>1753</v>
      </c>
      <c r="Y98" s="128" t="s">
        <v>1754</v>
      </c>
      <c r="Z98" s="118" t="s">
        <v>1755</v>
      </c>
      <c r="AA98" s="118" t="s">
        <v>1756</v>
      </c>
      <c r="AB98" s="117" t="s">
        <v>1269</v>
      </c>
      <c r="AC98" s="117" t="s">
        <v>1269</v>
      </c>
      <c r="AD98" s="117" t="s">
        <v>1303</v>
      </c>
      <c r="AE98" s="117" t="s">
        <v>1269</v>
      </c>
      <c r="AF98" s="117" t="s">
        <v>1757</v>
      </c>
      <c r="AG98" s="117"/>
      <c r="AH98" s="117"/>
      <c r="AI98" s="117"/>
      <c r="AJ98" s="117"/>
    </row>
    <row r="99" spans="1:36" ht="24.75" customHeight="1">
      <c r="A99" s="116"/>
      <c r="B99" s="117" t="s">
        <v>1723</v>
      </c>
      <c r="C99" s="117"/>
      <c r="D99" s="117"/>
      <c r="E99" s="117" t="s">
        <v>1241</v>
      </c>
      <c r="F99" s="118" t="s">
        <v>345</v>
      </c>
      <c r="G99" s="118" t="s">
        <v>1758</v>
      </c>
      <c r="H99" s="117" t="s">
        <v>422</v>
      </c>
      <c r="I99" s="117" t="s">
        <v>295</v>
      </c>
      <c r="J99" s="117" t="s">
        <v>323</v>
      </c>
      <c r="K99" s="123" t="s">
        <v>1695</v>
      </c>
      <c r="L99" s="117" t="s">
        <v>323</v>
      </c>
      <c r="M99" s="123" t="s">
        <v>1749</v>
      </c>
      <c r="N99" s="117" t="s">
        <v>1274</v>
      </c>
      <c r="O99" s="118" t="s">
        <v>1759</v>
      </c>
      <c r="P99" s="118" t="s">
        <v>1760</v>
      </c>
      <c r="Q99" s="117"/>
      <c r="R99" s="117"/>
      <c r="S99" s="117"/>
      <c r="T99" s="117"/>
      <c r="U99" s="117"/>
      <c r="V99" s="127" t="s">
        <v>1761</v>
      </c>
      <c r="W99" s="119"/>
      <c r="X99" s="133" t="s">
        <v>1762</v>
      </c>
      <c r="Y99" s="133" t="s">
        <v>1763</v>
      </c>
      <c r="Z99" s="118" t="s">
        <v>1764</v>
      </c>
      <c r="AA99" s="118" t="s">
        <v>1765</v>
      </c>
      <c r="AB99" s="117" t="s">
        <v>1269</v>
      </c>
      <c r="AC99" s="117" t="s">
        <v>1269</v>
      </c>
      <c r="AD99" s="117" t="s">
        <v>1303</v>
      </c>
      <c r="AE99" s="117" t="s">
        <v>1269</v>
      </c>
      <c r="AF99" s="117" t="s">
        <v>1766</v>
      </c>
      <c r="AG99" s="117" t="s">
        <v>1563</v>
      </c>
      <c r="AH99" s="117" t="s">
        <v>1767</v>
      </c>
      <c r="AI99" s="117"/>
      <c r="AJ99" s="117"/>
    </row>
    <row r="100" spans="1:36" ht="24.75" customHeight="1">
      <c r="A100" s="116"/>
      <c r="B100" s="117" t="s">
        <v>1723</v>
      </c>
      <c r="C100" s="117"/>
      <c r="D100" s="117"/>
      <c r="E100" s="117" t="s">
        <v>1372</v>
      </c>
      <c r="F100" s="118" t="s">
        <v>346</v>
      </c>
      <c r="G100" s="118" t="s">
        <v>1758</v>
      </c>
      <c r="H100" s="117" t="s">
        <v>422</v>
      </c>
      <c r="I100" s="117" t="s">
        <v>295</v>
      </c>
      <c r="J100" s="117" t="s">
        <v>323</v>
      </c>
      <c r="K100" s="123" t="s">
        <v>1695</v>
      </c>
      <c r="L100" s="117" t="s">
        <v>323</v>
      </c>
      <c r="M100" s="123" t="s">
        <v>1696</v>
      </c>
      <c r="N100" s="117" t="s">
        <v>1274</v>
      </c>
      <c r="O100" s="118" t="s">
        <v>1768</v>
      </c>
      <c r="P100" s="118" t="s">
        <v>1769</v>
      </c>
      <c r="Q100" s="117"/>
      <c r="R100" s="117"/>
      <c r="S100" s="117"/>
      <c r="T100" s="117"/>
      <c r="U100" s="117"/>
      <c r="V100" s="127" t="s">
        <v>1770</v>
      </c>
      <c r="W100" s="119" t="s">
        <v>1771</v>
      </c>
      <c r="X100" s="183" t="s">
        <v>1772</v>
      </c>
      <c r="Y100" s="133"/>
      <c r="Z100" s="118" t="s">
        <v>1764</v>
      </c>
      <c r="AA100" s="118" t="s">
        <v>1773</v>
      </c>
      <c r="AB100" s="117" t="s">
        <v>1303</v>
      </c>
      <c r="AC100" s="117" t="s">
        <v>1303</v>
      </c>
      <c r="AD100" s="117" t="s">
        <v>1303</v>
      </c>
      <c r="AE100" s="117" t="s">
        <v>1303</v>
      </c>
      <c r="AF100" s="117" t="s">
        <v>1766</v>
      </c>
      <c r="AG100" s="117" t="s">
        <v>1563</v>
      </c>
      <c r="AH100" s="117" t="s">
        <v>1767</v>
      </c>
      <c r="AI100" s="117"/>
      <c r="AJ100" s="117"/>
    </row>
    <row r="101" spans="1:36" ht="24.75" customHeight="1">
      <c r="A101" s="116"/>
      <c r="B101" s="117" t="s">
        <v>1471</v>
      </c>
      <c r="C101" s="117"/>
      <c r="D101" s="117"/>
      <c r="E101" s="117" t="s">
        <v>1241</v>
      </c>
      <c r="F101" s="118" t="s">
        <v>1774</v>
      </c>
      <c r="G101" s="118" t="s">
        <v>1775</v>
      </c>
      <c r="H101" s="117" t="s">
        <v>422</v>
      </c>
      <c r="I101" s="117" t="s">
        <v>295</v>
      </c>
      <c r="J101" s="117" t="s">
        <v>323</v>
      </c>
      <c r="K101" s="123" t="s">
        <v>1695</v>
      </c>
      <c r="L101" s="117" t="s">
        <v>323</v>
      </c>
      <c r="M101" s="123" t="s">
        <v>1749</v>
      </c>
      <c r="N101" s="117" t="s">
        <v>1590</v>
      </c>
      <c r="O101" s="118" t="s">
        <v>1776</v>
      </c>
      <c r="P101" s="118" t="s">
        <v>1777</v>
      </c>
      <c r="Q101" s="117"/>
      <c r="R101" s="117"/>
      <c r="S101" s="117"/>
      <c r="T101" s="117"/>
      <c r="U101" s="117"/>
      <c r="V101" s="127" t="s">
        <v>1778</v>
      </c>
      <c r="W101" s="119"/>
      <c r="X101" s="128" t="s">
        <v>1779</v>
      </c>
      <c r="Y101" s="128" t="s">
        <v>1780</v>
      </c>
      <c r="Z101" s="118" t="s">
        <v>1781</v>
      </c>
      <c r="AA101" s="118" t="s">
        <v>1782</v>
      </c>
      <c r="AB101" s="117"/>
      <c r="AC101" s="117"/>
      <c r="AD101" s="117"/>
      <c r="AE101" s="117"/>
      <c r="AF101" s="117"/>
      <c r="AG101" s="117"/>
      <c r="AH101" s="117"/>
      <c r="AI101" s="117"/>
      <c r="AJ101" s="117"/>
    </row>
    <row r="102" spans="1:36" ht="24.75" customHeight="1">
      <c r="A102" s="116"/>
      <c r="B102" s="117" t="s">
        <v>1471</v>
      </c>
      <c r="C102" s="117"/>
      <c r="D102" s="117"/>
      <c r="E102" s="117" t="s">
        <v>1241</v>
      </c>
      <c r="F102" s="118" t="s">
        <v>1783</v>
      </c>
      <c r="G102" s="118" t="s">
        <v>1784</v>
      </c>
      <c r="H102" s="117" t="s">
        <v>422</v>
      </c>
      <c r="I102" s="117" t="s">
        <v>295</v>
      </c>
      <c r="J102" s="117" t="s">
        <v>323</v>
      </c>
      <c r="K102" s="123" t="s">
        <v>1695</v>
      </c>
      <c r="L102" s="117" t="s">
        <v>323</v>
      </c>
      <c r="M102" s="123" t="s">
        <v>1696</v>
      </c>
      <c r="N102" s="117" t="s">
        <v>1704</v>
      </c>
      <c r="O102" s="118" t="s">
        <v>1785</v>
      </c>
      <c r="P102" s="118" t="s">
        <v>1786</v>
      </c>
      <c r="Q102" s="117"/>
      <c r="R102" s="117"/>
      <c r="S102" s="117"/>
      <c r="T102" s="117"/>
      <c r="U102" s="117"/>
      <c r="V102" s="127">
        <v>84906084268</v>
      </c>
      <c r="W102" s="119"/>
      <c r="X102" s="128" t="s">
        <v>1787</v>
      </c>
      <c r="Y102" s="128"/>
      <c r="Z102" s="118" t="s">
        <v>1788</v>
      </c>
      <c r="AA102" s="118" t="s">
        <v>1789</v>
      </c>
      <c r="AB102" s="117"/>
      <c r="AC102" s="117"/>
      <c r="AD102" s="117"/>
      <c r="AE102" s="117"/>
      <c r="AF102" s="117"/>
      <c r="AG102" s="117"/>
      <c r="AH102" s="117"/>
      <c r="AI102" s="117"/>
      <c r="AJ102" s="117"/>
    </row>
    <row r="103" spans="1:36" ht="24.75" customHeight="1">
      <c r="A103" s="116"/>
      <c r="B103" s="117" t="s">
        <v>526</v>
      </c>
      <c r="C103" s="117"/>
      <c r="D103" s="117"/>
      <c r="E103" s="117" t="s">
        <v>1241</v>
      </c>
      <c r="F103" s="118" t="s">
        <v>1790</v>
      </c>
      <c r="G103" s="118" t="s">
        <v>1791</v>
      </c>
      <c r="H103" s="117" t="s">
        <v>422</v>
      </c>
      <c r="I103" s="117" t="s">
        <v>295</v>
      </c>
      <c r="J103" s="117" t="s">
        <v>323</v>
      </c>
      <c r="K103" s="123" t="s">
        <v>1695</v>
      </c>
      <c r="L103" s="117" t="s">
        <v>323</v>
      </c>
      <c r="M103" s="123" t="s">
        <v>1696</v>
      </c>
      <c r="N103" s="117" t="s">
        <v>1274</v>
      </c>
      <c r="O103" s="118" t="s">
        <v>1792</v>
      </c>
      <c r="P103" s="118" t="s">
        <v>1793</v>
      </c>
      <c r="Q103" s="123"/>
      <c r="R103" s="123"/>
      <c r="S103" s="123"/>
      <c r="T103" s="123"/>
      <c r="U103" s="123"/>
      <c r="V103" s="123" t="s">
        <v>1794</v>
      </c>
      <c r="W103" s="117"/>
      <c r="X103" s="128" t="s">
        <v>1795</v>
      </c>
      <c r="Y103" s="128" t="s">
        <v>1796</v>
      </c>
      <c r="Z103" s="128" t="s">
        <v>1797</v>
      </c>
      <c r="AA103" s="118" t="s">
        <v>1798</v>
      </c>
      <c r="AB103" s="117"/>
      <c r="AC103" s="117"/>
      <c r="AD103" s="117"/>
      <c r="AE103" s="117"/>
      <c r="AF103" s="117"/>
      <c r="AG103" s="117"/>
      <c r="AH103" s="117"/>
      <c r="AI103" s="117"/>
      <c r="AJ103" s="117"/>
    </row>
    <row r="104" spans="1:36" s="2" customFormat="1" ht="24.75" customHeight="1">
      <c r="A104" s="116"/>
      <c r="B104" s="117" t="s">
        <v>1471</v>
      </c>
      <c r="C104" s="117"/>
      <c r="D104" s="117"/>
      <c r="E104" s="117"/>
      <c r="F104" s="118" t="s">
        <v>1799</v>
      </c>
      <c r="G104" s="118" t="s">
        <v>1800</v>
      </c>
      <c r="H104" s="117" t="s">
        <v>422</v>
      </c>
      <c r="I104" s="117" t="s">
        <v>1252</v>
      </c>
      <c r="J104" s="117" t="s">
        <v>299</v>
      </c>
      <c r="K104" s="123" t="s">
        <v>1695</v>
      </c>
      <c r="L104" s="117" t="s">
        <v>299</v>
      </c>
      <c r="M104" s="123" t="s">
        <v>1801</v>
      </c>
      <c r="N104" s="117" t="s">
        <v>1263</v>
      </c>
      <c r="O104" s="118" t="s">
        <v>1802</v>
      </c>
      <c r="P104" s="118" t="s">
        <v>1803</v>
      </c>
      <c r="Q104" s="117"/>
      <c r="R104" s="117"/>
      <c r="S104" s="117"/>
      <c r="T104" s="117"/>
      <c r="U104" s="117"/>
      <c r="V104" s="127" t="s">
        <v>1804</v>
      </c>
      <c r="W104" s="119"/>
      <c r="X104" s="128" t="s">
        <v>1805</v>
      </c>
      <c r="Y104" s="128"/>
      <c r="Z104" s="118" t="s">
        <v>1806</v>
      </c>
      <c r="AA104" s="118" t="s">
        <v>1807</v>
      </c>
      <c r="AB104" s="117"/>
      <c r="AC104" s="117"/>
      <c r="AD104" s="117"/>
      <c r="AE104" s="117"/>
      <c r="AF104" s="117"/>
      <c r="AG104" s="117"/>
      <c r="AH104" s="117"/>
      <c r="AI104" s="117"/>
      <c r="AJ104" s="117"/>
    </row>
    <row r="105" spans="1:36" ht="24.75" customHeight="1">
      <c r="A105" s="116"/>
      <c r="B105" s="117" t="s">
        <v>1471</v>
      </c>
      <c r="C105" s="117"/>
      <c r="D105" s="117"/>
      <c r="E105" s="117" t="s">
        <v>1241</v>
      </c>
      <c r="F105" s="118" t="s">
        <v>1808</v>
      </c>
      <c r="G105" s="118" t="s">
        <v>1809</v>
      </c>
      <c r="H105" s="117" t="s">
        <v>422</v>
      </c>
      <c r="I105" s="117" t="s">
        <v>1252</v>
      </c>
      <c r="J105" s="117" t="s">
        <v>293</v>
      </c>
      <c r="K105" s="123" t="s">
        <v>1695</v>
      </c>
      <c r="L105" s="117" t="s">
        <v>293</v>
      </c>
      <c r="M105" s="123" t="s">
        <v>1810</v>
      </c>
      <c r="N105" s="117" t="s">
        <v>1263</v>
      </c>
      <c r="O105" s="118" t="s">
        <v>1811</v>
      </c>
      <c r="P105" s="118" t="s">
        <v>1812</v>
      </c>
      <c r="Q105" s="117"/>
      <c r="R105" s="117"/>
      <c r="S105" s="117"/>
      <c r="T105" s="117"/>
      <c r="U105" s="117"/>
      <c r="V105" s="127">
        <v>2122221232</v>
      </c>
      <c r="W105" s="119"/>
      <c r="X105" s="118" t="s">
        <v>1813</v>
      </c>
      <c r="Y105" s="128"/>
      <c r="Z105" s="118" t="s">
        <v>1814</v>
      </c>
      <c r="AA105" s="118" t="s">
        <v>1815</v>
      </c>
      <c r="AB105" s="117"/>
      <c r="AC105" s="117"/>
      <c r="AD105" s="117"/>
      <c r="AE105" s="117"/>
      <c r="AF105" s="117"/>
      <c r="AG105" s="117"/>
      <c r="AH105" s="117"/>
      <c r="AI105" s="117"/>
      <c r="AJ105" s="117"/>
    </row>
    <row r="106" spans="1:36" s="2" customFormat="1" ht="24.75" customHeight="1">
      <c r="A106" s="116"/>
      <c r="B106" s="117" t="s">
        <v>1471</v>
      </c>
      <c r="C106" s="117"/>
      <c r="D106" s="117"/>
      <c r="E106" s="117"/>
      <c r="F106" s="118" t="s">
        <v>1816</v>
      </c>
      <c r="G106" s="118" t="s">
        <v>1816</v>
      </c>
      <c r="H106" s="117" t="s">
        <v>422</v>
      </c>
      <c r="I106" s="117" t="s">
        <v>1252</v>
      </c>
      <c r="J106" s="117" t="s">
        <v>299</v>
      </c>
      <c r="K106" s="123" t="s">
        <v>1695</v>
      </c>
      <c r="L106" s="117" t="s">
        <v>299</v>
      </c>
      <c r="M106" s="123" t="s">
        <v>1817</v>
      </c>
      <c r="N106" s="117" t="s">
        <v>1245</v>
      </c>
      <c r="O106" s="118" t="s">
        <v>1818</v>
      </c>
      <c r="P106" s="118"/>
      <c r="Q106" s="117"/>
      <c r="R106" s="117"/>
      <c r="S106" s="117"/>
      <c r="T106" s="117"/>
      <c r="U106" s="117"/>
      <c r="V106" s="127">
        <f>919748869553/919831511234</f>
        <v>0.99991015563177532</v>
      </c>
      <c r="W106" s="119"/>
      <c r="X106" s="128" t="s">
        <v>1819</v>
      </c>
      <c r="Y106" s="128"/>
      <c r="Z106" s="118" t="s">
        <v>1820</v>
      </c>
      <c r="AA106" s="118" t="s">
        <v>1821</v>
      </c>
      <c r="AB106" s="117"/>
      <c r="AC106" s="117"/>
      <c r="AD106" s="117"/>
      <c r="AE106" s="117"/>
      <c r="AF106" s="117"/>
      <c r="AG106" s="117"/>
      <c r="AH106" s="117"/>
      <c r="AI106" s="117"/>
      <c r="AJ106" s="117"/>
    </row>
    <row r="107" spans="1:36" s="2" customFormat="1" ht="24.75" customHeight="1">
      <c r="A107" s="116"/>
      <c r="B107" s="117" t="s">
        <v>1471</v>
      </c>
      <c r="C107" s="117"/>
      <c r="D107" s="117"/>
      <c r="E107" s="117"/>
      <c r="F107" s="118" t="s">
        <v>1822</v>
      </c>
      <c r="G107" s="118" t="s">
        <v>1823</v>
      </c>
      <c r="H107" s="117" t="s">
        <v>422</v>
      </c>
      <c r="I107" s="117" t="s">
        <v>1252</v>
      </c>
      <c r="J107" s="117" t="s">
        <v>299</v>
      </c>
      <c r="K107" s="123" t="s">
        <v>1695</v>
      </c>
      <c r="L107" s="117" t="s">
        <v>299</v>
      </c>
      <c r="M107" s="123" t="s">
        <v>1824</v>
      </c>
      <c r="N107" s="117" t="s">
        <v>1245</v>
      </c>
      <c r="O107" s="118" t="s">
        <v>1825</v>
      </c>
      <c r="P107" s="118" t="s">
        <v>1826</v>
      </c>
      <c r="Q107" s="117"/>
      <c r="R107" s="117"/>
      <c r="S107" s="117"/>
      <c r="T107" s="117"/>
      <c r="U107" s="117"/>
      <c r="V107" s="127">
        <v>919650243814</v>
      </c>
      <c r="W107" s="119"/>
      <c r="X107" s="128" t="s">
        <v>1827</v>
      </c>
      <c r="Y107" s="128"/>
      <c r="Z107" s="128" t="s">
        <v>1828</v>
      </c>
      <c r="AA107" s="118" t="s">
        <v>1829</v>
      </c>
      <c r="AB107" s="117"/>
      <c r="AC107" s="117"/>
      <c r="AD107" s="117"/>
      <c r="AE107" s="117"/>
      <c r="AF107" s="117"/>
      <c r="AG107" s="117"/>
      <c r="AH107" s="117"/>
      <c r="AI107" s="117"/>
      <c r="AJ107" s="117"/>
    </row>
    <row r="108" spans="1:36" s="2" customFormat="1" ht="24.75" customHeight="1">
      <c r="A108" s="116"/>
      <c r="B108" s="117" t="s">
        <v>1471</v>
      </c>
      <c r="C108" s="117"/>
      <c r="D108" s="117"/>
      <c r="E108" s="117"/>
      <c r="F108" s="118" t="s">
        <v>1830</v>
      </c>
      <c r="G108" s="118" t="s">
        <v>1831</v>
      </c>
      <c r="H108" s="117" t="s">
        <v>422</v>
      </c>
      <c r="I108" s="117" t="s">
        <v>1252</v>
      </c>
      <c r="J108" s="117" t="s">
        <v>1832</v>
      </c>
      <c r="K108" s="123" t="s">
        <v>1833</v>
      </c>
      <c r="L108" s="117" t="s">
        <v>1834</v>
      </c>
      <c r="M108" s="123" t="s">
        <v>1835</v>
      </c>
      <c r="N108" s="117" t="s">
        <v>1836</v>
      </c>
      <c r="O108" s="118" t="s">
        <v>1837</v>
      </c>
      <c r="P108" s="118" t="s">
        <v>1838</v>
      </c>
      <c r="Q108" s="117"/>
      <c r="R108" s="117"/>
      <c r="S108" s="117"/>
      <c r="T108" s="117"/>
      <c r="U108" s="117"/>
      <c r="V108" s="127">
        <v>8801713028320</v>
      </c>
      <c r="W108" s="119"/>
      <c r="X108" s="128" t="s">
        <v>1839</v>
      </c>
      <c r="Y108" s="128"/>
      <c r="Z108" s="118" t="s">
        <v>1840</v>
      </c>
      <c r="AA108" s="118" t="s">
        <v>1841</v>
      </c>
      <c r="AB108" s="117"/>
      <c r="AC108" s="117"/>
      <c r="AD108" s="117"/>
      <c r="AE108" s="117"/>
      <c r="AF108" s="117"/>
      <c r="AG108" s="117"/>
      <c r="AH108" s="117"/>
      <c r="AI108" s="117"/>
      <c r="AJ108" s="117"/>
    </row>
    <row r="109" spans="1:36" s="2" customFormat="1" ht="24.75" customHeight="1">
      <c r="A109" s="116"/>
      <c r="B109" s="117" t="s">
        <v>1471</v>
      </c>
      <c r="C109" s="117"/>
      <c r="D109" s="117"/>
      <c r="E109" s="117"/>
      <c r="F109" s="118" t="s">
        <v>1842</v>
      </c>
      <c r="G109" s="118" t="s">
        <v>1843</v>
      </c>
      <c r="H109" s="117" t="s">
        <v>292</v>
      </c>
      <c r="I109" s="143" t="s">
        <v>1252</v>
      </c>
      <c r="J109" s="117" t="s">
        <v>279</v>
      </c>
      <c r="K109" s="123" t="s">
        <v>1695</v>
      </c>
      <c r="L109" s="117" t="s">
        <v>279</v>
      </c>
      <c r="M109" s="123" t="s">
        <v>279</v>
      </c>
      <c r="N109" s="117" t="s">
        <v>1263</v>
      </c>
      <c r="O109" s="118" t="s">
        <v>1844</v>
      </c>
      <c r="P109" s="118" t="s">
        <v>1845</v>
      </c>
      <c r="Q109" s="117"/>
      <c r="R109" s="117"/>
      <c r="S109" s="117"/>
      <c r="T109" s="117"/>
      <c r="U109" s="117"/>
      <c r="V109" s="127">
        <v>65911332212</v>
      </c>
      <c r="W109" s="119"/>
      <c r="X109" s="128" t="s">
        <v>1846</v>
      </c>
      <c r="Y109" s="128"/>
      <c r="Z109" s="118" t="s">
        <v>1847</v>
      </c>
      <c r="AA109" s="118" t="s">
        <v>1848</v>
      </c>
      <c r="AB109" s="117"/>
      <c r="AC109" s="117"/>
      <c r="AD109" s="117"/>
      <c r="AE109" s="117"/>
      <c r="AF109" s="117"/>
      <c r="AG109" s="117"/>
      <c r="AH109" s="117"/>
      <c r="AI109" s="117"/>
      <c r="AJ109" s="117"/>
    </row>
    <row r="110" spans="1:36" s="2" customFormat="1" ht="24.75" customHeight="1">
      <c r="A110" s="116"/>
      <c r="B110" s="117" t="s">
        <v>1471</v>
      </c>
      <c r="C110" s="117"/>
      <c r="D110" s="117"/>
      <c r="E110" s="117" t="s">
        <v>1241</v>
      </c>
      <c r="F110" s="118" t="s">
        <v>1849</v>
      </c>
      <c r="G110" s="118" t="s">
        <v>1850</v>
      </c>
      <c r="H110" s="117" t="s">
        <v>422</v>
      </c>
      <c r="I110" s="117" t="s">
        <v>1252</v>
      </c>
      <c r="J110" s="117" t="s">
        <v>151</v>
      </c>
      <c r="K110" s="123" t="s">
        <v>1732</v>
      </c>
      <c r="L110" s="117" t="s">
        <v>151</v>
      </c>
      <c r="M110" s="123" t="s">
        <v>1851</v>
      </c>
      <c r="N110" s="117" t="s">
        <v>1245</v>
      </c>
      <c r="O110" s="118" t="s">
        <v>1852</v>
      </c>
      <c r="P110" s="118" t="s">
        <v>1853</v>
      </c>
      <c r="Q110" s="117"/>
      <c r="R110" s="117"/>
      <c r="S110" s="117"/>
      <c r="T110" s="117"/>
      <c r="U110" s="117"/>
      <c r="V110" s="127" t="s">
        <v>1854</v>
      </c>
      <c r="W110" s="119"/>
      <c r="X110" s="128" t="s">
        <v>1855</v>
      </c>
      <c r="Y110" s="128"/>
      <c r="Z110" s="118" t="s">
        <v>1856</v>
      </c>
      <c r="AA110" s="118" t="s">
        <v>1857</v>
      </c>
      <c r="AB110" s="117"/>
      <c r="AC110" s="117"/>
      <c r="AD110" s="117"/>
      <c r="AE110" s="117"/>
      <c r="AF110" s="117"/>
      <c r="AG110" s="117"/>
      <c r="AH110" s="117"/>
      <c r="AI110" s="117"/>
      <c r="AJ110" s="117"/>
    </row>
    <row r="111" spans="1:36" ht="24.75" customHeight="1">
      <c r="A111" s="116"/>
      <c r="B111" s="117" t="s">
        <v>1471</v>
      </c>
      <c r="C111" s="117"/>
      <c r="D111" s="117"/>
      <c r="E111" s="117" t="s">
        <v>1241</v>
      </c>
      <c r="F111" s="118" t="s">
        <v>1858</v>
      </c>
      <c r="G111" s="118"/>
      <c r="H111" s="117" t="s">
        <v>292</v>
      </c>
      <c r="I111" s="117"/>
      <c r="J111" s="117" t="s">
        <v>267</v>
      </c>
      <c r="K111" s="123" t="s">
        <v>1243</v>
      </c>
      <c r="L111" s="117" t="s">
        <v>267</v>
      </c>
      <c r="M111" s="123" t="s">
        <v>1859</v>
      </c>
      <c r="N111" s="117" t="s">
        <v>1263</v>
      </c>
      <c r="O111" s="118" t="s">
        <v>1860</v>
      </c>
      <c r="P111" s="118" t="s">
        <v>1289</v>
      </c>
      <c r="Q111" s="117"/>
      <c r="R111" s="117"/>
      <c r="S111" s="117"/>
      <c r="T111" s="117"/>
      <c r="U111" s="117"/>
      <c r="V111" s="123" t="s">
        <v>1861</v>
      </c>
      <c r="W111" s="117"/>
      <c r="X111" s="170" t="s">
        <v>1862</v>
      </c>
      <c r="Y111" s="170"/>
      <c r="Z111" s="118"/>
      <c r="AA111" s="118" t="s">
        <v>1863</v>
      </c>
      <c r="AB111" s="117"/>
      <c r="AC111" s="117"/>
      <c r="AD111" s="117"/>
      <c r="AE111" s="117"/>
      <c r="AF111" s="117"/>
      <c r="AG111" s="117"/>
      <c r="AH111" s="117"/>
      <c r="AI111" s="117"/>
      <c r="AJ111" s="117"/>
    </row>
    <row r="112" spans="1:36" ht="24.75" customHeight="1">
      <c r="A112" s="116"/>
      <c r="B112" s="117" t="s">
        <v>1471</v>
      </c>
      <c r="C112" s="117"/>
      <c r="D112" s="117"/>
      <c r="E112" s="117"/>
      <c r="F112" s="128" t="s">
        <v>1864</v>
      </c>
      <c r="G112" s="118"/>
      <c r="H112" s="117" t="s">
        <v>292</v>
      </c>
      <c r="I112" s="117"/>
      <c r="J112" s="117" t="s">
        <v>267</v>
      </c>
      <c r="K112" s="123" t="s">
        <v>1243</v>
      </c>
      <c r="L112" s="117" t="s">
        <v>267</v>
      </c>
      <c r="M112" s="123" t="s">
        <v>1253</v>
      </c>
      <c r="N112" s="117" t="s">
        <v>1263</v>
      </c>
      <c r="O112" s="118" t="s">
        <v>1865</v>
      </c>
      <c r="P112" s="118" t="s">
        <v>1666</v>
      </c>
      <c r="Q112" s="117"/>
      <c r="R112" s="117"/>
      <c r="S112" s="117"/>
      <c r="T112" s="117"/>
      <c r="U112" s="117"/>
      <c r="V112" s="123" t="s">
        <v>1866</v>
      </c>
      <c r="W112" s="117"/>
      <c r="X112" s="128" t="s">
        <v>1867</v>
      </c>
      <c r="Y112" s="128"/>
      <c r="Z112" s="118"/>
      <c r="AA112" s="118" t="s">
        <v>1868</v>
      </c>
      <c r="AB112" s="117"/>
      <c r="AC112" s="117"/>
      <c r="AD112" s="117"/>
      <c r="AE112" s="117"/>
      <c r="AF112" s="117"/>
      <c r="AG112" s="117"/>
      <c r="AH112" s="117"/>
      <c r="AI112" s="117"/>
      <c r="AJ112" s="117"/>
    </row>
    <row r="113" spans="1:36" ht="24.75" customHeight="1">
      <c r="A113" s="116"/>
      <c r="B113" s="117" t="s">
        <v>1598</v>
      </c>
      <c r="C113" s="117" t="s">
        <v>1312</v>
      </c>
      <c r="D113" s="117"/>
      <c r="E113" s="117" t="s">
        <v>1241</v>
      </c>
      <c r="F113" s="133" t="s">
        <v>378</v>
      </c>
      <c r="G113" s="118" t="s">
        <v>1869</v>
      </c>
      <c r="H113" s="117" t="s">
        <v>292</v>
      </c>
      <c r="I113" s="117"/>
      <c r="J113" s="117" t="s">
        <v>1287</v>
      </c>
      <c r="K113" s="123" t="s">
        <v>1243</v>
      </c>
      <c r="L113" s="117" t="s">
        <v>267</v>
      </c>
      <c r="M113" s="123" t="s">
        <v>1329</v>
      </c>
      <c r="N113" s="117" t="s">
        <v>1870</v>
      </c>
      <c r="O113" s="118" t="s">
        <v>1871</v>
      </c>
      <c r="P113" s="118" t="s">
        <v>1872</v>
      </c>
      <c r="Q113" s="117"/>
      <c r="R113" s="117"/>
      <c r="S113" s="117"/>
      <c r="T113" s="117"/>
      <c r="U113" s="117"/>
      <c r="V113" s="123"/>
      <c r="W113" s="117"/>
      <c r="X113" s="128" t="s">
        <v>1873</v>
      </c>
      <c r="Y113" s="128"/>
      <c r="Z113" s="176" t="s">
        <v>1874</v>
      </c>
      <c r="AA113" s="118"/>
      <c r="AB113" s="117" t="s">
        <v>1269</v>
      </c>
      <c r="AC113" s="117" t="s">
        <v>1269</v>
      </c>
      <c r="AD113" s="117" t="s">
        <v>1269</v>
      </c>
      <c r="AE113" s="117" t="s">
        <v>1269</v>
      </c>
      <c r="AF113" s="117" t="s">
        <v>1563</v>
      </c>
      <c r="AG113" s="117"/>
      <c r="AH113" s="117"/>
      <c r="AI113" s="117"/>
      <c r="AJ113" s="117"/>
    </row>
    <row r="114" spans="1:36" ht="24.75" customHeight="1">
      <c r="A114" s="116"/>
      <c r="B114" s="117" t="s">
        <v>1471</v>
      </c>
      <c r="C114" s="117"/>
      <c r="D114" s="117"/>
      <c r="E114" s="117" t="s">
        <v>1241</v>
      </c>
      <c r="F114" s="128" t="s">
        <v>1875</v>
      </c>
      <c r="G114" s="118"/>
      <c r="H114" s="117" t="s">
        <v>292</v>
      </c>
      <c r="I114" s="117"/>
      <c r="J114" s="117" t="s">
        <v>316</v>
      </c>
      <c r="K114" s="123" t="s">
        <v>1243</v>
      </c>
      <c r="L114" s="117" t="s">
        <v>316</v>
      </c>
      <c r="M114" s="123" t="s">
        <v>1411</v>
      </c>
      <c r="N114" s="117" t="s">
        <v>1245</v>
      </c>
      <c r="O114" s="118" t="s">
        <v>1475</v>
      </c>
      <c r="P114" s="118" t="s">
        <v>1289</v>
      </c>
      <c r="Q114" s="117"/>
      <c r="R114" s="117"/>
      <c r="S114" s="117"/>
      <c r="T114" s="117"/>
      <c r="U114" s="117"/>
      <c r="V114" s="123" t="s">
        <v>1876</v>
      </c>
      <c r="W114" s="117"/>
      <c r="X114" s="128" t="s">
        <v>1877</v>
      </c>
      <c r="Y114" s="128"/>
      <c r="Z114" s="118"/>
      <c r="AA114" s="118" t="s">
        <v>1878</v>
      </c>
      <c r="AB114" s="117"/>
      <c r="AC114" s="117"/>
      <c r="AD114" s="117"/>
      <c r="AE114" s="117"/>
      <c r="AF114" s="117"/>
      <c r="AG114" s="117"/>
      <c r="AH114" s="117"/>
      <c r="AI114" s="117" t="s">
        <v>1311</v>
      </c>
      <c r="AJ114" s="117"/>
    </row>
    <row r="115" spans="1:36" s="2" customFormat="1" ht="24.75" customHeight="1">
      <c r="A115" s="116"/>
      <c r="B115" s="117" t="s">
        <v>1471</v>
      </c>
      <c r="C115" s="117"/>
      <c r="D115" s="117"/>
      <c r="E115" s="117"/>
      <c r="F115" s="118" t="s">
        <v>1879</v>
      </c>
      <c r="G115" s="118" t="s">
        <v>1880</v>
      </c>
      <c r="H115" s="117" t="s">
        <v>422</v>
      </c>
      <c r="I115" s="117" t="s">
        <v>1252</v>
      </c>
      <c r="J115" s="117" t="s">
        <v>1881</v>
      </c>
      <c r="K115" s="123" t="s">
        <v>1882</v>
      </c>
      <c r="L115" s="117" t="s">
        <v>1883</v>
      </c>
      <c r="M115" s="123" t="s">
        <v>1884</v>
      </c>
      <c r="N115" s="117" t="s">
        <v>1274</v>
      </c>
      <c r="O115" s="118" t="s">
        <v>1885</v>
      </c>
      <c r="P115" s="118" t="s">
        <v>1886</v>
      </c>
      <c r="Q115" s="117"/>
      <c r="R115" s="117"/>
      <c r="S115" s="117"/>
      <c r="T115" s="117"/>
      <c r="U115" s="117"/>
      <c r="V115" s="127" t="s">
        <v>1887</v>
      </c>
      <c r="W115" s="119"/>
      <c r="X115" s="128" t="s">
        <v>1888</v>
      </c>
      <c r="Y115" s="128"/>
      <c r="Z115" s="118" t="s">
        <v>1889</v>
      </c>
      <c r="AA115" s="118" t="s">
        <v>1890</v>
      </c>
      <c r="AB115" s="117"/>
      <c r="AC115" s="117"/>
      <c r="AD115" s="117"/>
      <c r="AE115" s="117"/>
      <c r="AF115" s="117"/>
      <c r="AG115" s="117"/>
      <c r="AH115" s="117"/>
      <c r="AI115" s="117"/>
      <c r="AJ115" s="117"/>
    </row>
    <row r="116" spans="1:36" ht="24.75" customHeight="1">
      <c r="A116" s="116"/>
      <c r="B116" s="117" t="s">
        <v>1471</v>
      </c>
      <c r="C116" s="117"/>
      <c r="D116" s="117"/>
      <c r="E116" s="117" t="s">
        <v>1241</v>
      </c>
      <c r="F116" s="156" t="s">
        <v>294</v>
      </c>
      <c r="G116" s="118" t="s">
        <v>1891</v>
      </c>
      <c r="H116" s="117" t="s">
        <v>422</v>
      </c>
      <c r="I116" s="117" t="s">
        <v>1252</v>
      </c>
      <c r="J116" s="117" t="s">
        <v>293</v>
      </c>
      <c r="K116" s="123" t="s">
        <v>1695</v>
      </c>
      <c r="L116" s="117" t="s">
        <v>293</v>
      </c>
      <c r="M116" s="123" t="s">
        <v>1385</v>
      </c>
      <c r="N116" s="117" t="s">
        <v>1836</v>
      </c>
      <c r="O116" s="118" t="s">
        <v>1892</v>
      </c>
      <c r="P116" s="118" t="s">
        <v>1893</v>
      </c>
      <c r="Q116" s="117"/>
      <c r="R116" s="117"/>
      <c r="S116" s="117"/>
      <c r="T116" s="117"/>
      <c r="U116" s="117"/>
      <c r="V116" s="123"/>
      <c r="W116" s="117"/>
      <c r="X116" s="118" t="s">
        <v>1894</v>
      </c>
      <c r="Y116" s="118" t="s">
        <v>1895</v>
      </c>
      <c r="Z116" s="118" t="s">
        <v>1896</v>
      </c>
      <c r="AA116" s="118" t="s">
        <v>1897</v>
      </c>
      <c r="AB116" s="117"/>
      <c r="AC116" s="117"/>
      <c r="AD116" s="117"/>
      <c r="AE116" s="117"/>
      <c r="AF116" s="117"/>
      <c r="AG116" s="117"/>
      <c r="AH116" s="117"/>
      <c r="AI116" s="117"/>
      <c r="AJ116" s="117"/>
    </row>
    <row r="117" spans="1:36" ht="24.75" customHeight="1">
      <c r="A117" s="116"/>
      <c r="B117" s="117" t="s">
        <v>1471</v>
      </c>
      <c r="C117" s="117"/>
      <c r="D117" s="117"/>
      <c r="E117" s="117" t="s">
        <v>1241</v>
      </c>
      <c r="F117" s="128" t="s">
        <v>1898</v>
      </c>
      <c r="G117" s="118" t="s">
        <v>1899</v>
      </c>
      <c r="H117" s="117" t="s">
        <v>292</v>
      </c>
      <c r="I117" s="117"/>
      <c r="J117" s="117" t="s">
        <v>267</v>
      </c>
      <c r="K117" s="123" t="s">
        <v>1243</v>
      </c>
      <c r="L117" s="117" t="s">
        <v>267</v>
      </c>
      <c r="M117" s="123" t="s">
        <v>1329</v>
      </c>
      <c r="N117" s="117" t="s">
        <v>1263</v>
      </c>
      <c r="O117" s="118" t="s">
        <v>1900</v>
      </c>
      <c r="P117" s="118" t="s">
        <v>1901</v>
      </c>
      <c r="Q117" s="117"/>
      <c r="R117" s="117"/>
      <c r="S117" s="117"/>
      <c r="T117" s="117"/>
      <c r="U117" s="117"/>
      <c r="V117" s="123" t="s">
        <v>1902</v>
      </c>
      <c r="W117" s="117"/>
      <c r="X117" s="128" t="s">
        <v>1903</v>
      </c>
      <c r="Y117" s="128"/>
      <c r="Z117" s="118"/>
      <c r="AA117" s="118" t="s">
        <v>1904</v>
      </c>
      <c r="AB117" s="117"/>
      <c r="AC117" s="117"/>
      <c r="AD117" s="117"/>
      <c r="AE117" s="117"/>
      <c r="AF117" s="117"/>
      <c r="AG117" s="117"/>
      <c r="AH117" s="117"/>
      <c r="AI117" s="117"/>
      <c r="AJ117" s="117"/>
    </row>
    <row r="118" spans="1:36" ht="24.75" customHeight="1">
      <c r="A118" s="116"/>
      <c r="B118" s="117" t="s">
        <v>1646</v>
      </c>
      <c r="C118" s="117"/>
      <c r="D118" s="117"/>
      <c r="E118" s="117" t="s">
        <v>1241</v>
      </c>
      <c r="F118" s="118" t="s">
        <v>332</v>
      </c>
      <c r="G118" s="118" t="s">
        <v>1905</v>
      </c>
      <c r="H118" s="117" t="s">
        <v>422</v>
      </c>
      <c r="I118" s="117" t="s">
        <v>295</v>
      </c>
      <c r="J118" s="117" t="s">
        <v>323</v>
      </c>
      <c r="K118" s="123" t="s">
        <v>1695</v>
      </c>
      <c r="L118" s="117" t="s">
        <v>323</v>
      </c>
      <c r="M118" s="123" t="s">
        <v>1749</v>
      </c>
      <c r="N118" s="117" t="s">
        <v>1836</v>
      </c>
      <c r="O118" s="118" t="s">
        <v>1906</v>
      </c>
      <c r="P118" s="118" t="s">
        <v>1907</v>
      </c>
      <c r="Q118" s="117"/>
      <c r="R118" s="117"/>
      <c r="S118" s="117"/>
      <c r="T118" s="117"/>
      <c r="U118" s="117"/>
      <c r="V118" s="123"/>
      <c r="W118" s="117"/>
      <c r="X118" s="128" t="s">
        <v>1908</v>
      </c>
      <c r="Y118" s="128" t="s">
        <v>1909</v>
      </c>
      <c r="Z118" s="118" t="s">
        <v>1910</v>
      </c>
      <c r="AA118" s="118" t="s">
        <v>1911</v>
      </c>
      <c r="AB118" s="117"/>
      <c r="AC118" s="117"/>
      <c r="AD118" s="117"/>
      <c r="AE118" s="117"/>
      <c r="AF118" s="117"/>
      <c r="AG118" s="117"/>
      <c r="AH118" s="117"/>
      <c r="AI118" s="117"/>
      <c r="AJ118" s="117"/>
    </row>
    <row r="119" spans="1:36" ht="24.75" customHeight="1">
      <c r="A119" s="116"/>
      <c r="B119" s="117" t="s">
        <v>1239</v>
      </c>
      <c r="C119" s="117" t="s">
        <v>1312</v>
      </c>
      <c r="D119" s="117"/>
      <c r="E119" s="117" t="s">
        <v>1241</v>
      </c>
      <c r="F119" s="118" t="s">
        <v>387</v>
      </c>
      <c r="G119" s="118" t="s">
        <v>1912</v>
      </c>
      <c r="H119" s="117" t="s">
        <v>292</v>
      </c>
      <c r="I119" s="117"/>
      <c r="J119" s="117" t="s">
        <v>1287</v>
      </c>
      <c r="K119" s="123" t="s">
        <v>1243</v>
      </c>
      <c r="L119" s="117" t="s">
        <v>267</v>
      </c>
      <c r="M119" s="123" t="s">
        <v>1253</v>
      </c>
      <c r="N119" s="117" t="s">
        <v>1263</v>
      </c>
      <c r="O119" s="118" t="s">
        <v>1913</v>
      </c>
      <c r="P119" s="118" t="s">
        <v>1914</v>
      </c>
      <c r="Q119" s="117"/>
      <c r="R119" s="117"/>
      <c r="S119" s="117"/>
      <c r="T119" s="117"/>
      <c r="U119" s="117"/>
      <c r="V119" s="123" t="s">
        <v>1915</v>
      </c>
      <c r="W119" s="117"/>
      <c r="X119" s="128" t="s">
        <v>1916</v>
      </c>
      <c r="Y119" s="128"/>
      <c r="Z119" s="118"/>
      <c r="AA119" s="137" t="s">
        <v>1917</v>
      </c>
      <c r="AB119" s="117" t="s">
        <v>1326</v>
      </c>
      <c r="AC119" s="117" t="s">
        <v>1326</v>
      </c>
      <c r="AD119" s="117" t="s">
        <v>1326</v>
      </c>
      <c r="AE119" s="117" t="s">
        <v>1326</v>
      </c>
      <c r="AF119" s="117" t="s">
        <v>1563</v>
      </c>
      <c r="AG119" s="117">
        <v>15</v>
      </c>
      <c r="AH119" s="117" t="s">
        <v>1582</v>
      </c>
      <c r="AI119" s="117" t="s">
        <v>1918</v>
      </c>
      <c r="AJ119" s="122" t="s">
        <v>1272</v>
      </c>
    </row>
    <row r="120" spans="1:36" ht="24.75" customHeight="1">
      <c r="A120" s="116"/>
      <c r="B120" s="117" t="s">
        <v>1598</v>
      </c>
      <c r="C120" s="117"/>
      <c r="D120" s="117"/>
      <c r="E120" s="117" t="s">
        <v>1241</v>
      </c>
      <c r="F120" s="157" t="s">
        <v>321</v>
      </c>
      <c r="G120" s="118" t="s">
        <v>1919</v>
      </c>
      <c r="H120" s="117" t="s">
        <v>292</v>
      </c>
      <c r="I120" s="117"/>
      <c r="J120" s="117" t="s">
        <v>267</v>
      </c>
      <c r="K120" s="123" t="s">
        <v>1243</v>
      </c>
      <c r="L120" s="117" t="s">
        <v>267</v>
      </c>
      <c r="M120" s="123" t="s">
        <v>1329</v>
      </c>
      <c r="N120" s="117" t="s">
        <v>1263</v>
      </c>
      <c r="O120" s="118" t="s">
        <v>1920</v>
      </c>
      <c r="P120" s="118" t="s">
        <v>1921</v>
      </c>
      <c r="Q120" s="117"/>
      <c r="R120" s="117"/>
      <c r="S120" s="117"/>
      <c r="T120" s="117"/>
      <c r="U120" s="117"/>
      <c r="V120" s="123" t="s">
        <v>1922</v>
      </c>
      <c r="W120" s="117"/>
      <c r="X120" s="128" t="s">
        <v>1923</v>
      </c>
      <c r="Y120" s="128"/>
      <c r="Z120" s="118"/>
      <c r="AA120" s="118" t="s">
        <v>1924</v>
      </c>
      <c r="AB120" s="117" t="s">
        <v>1326</v>
      </c>
      <c r="AC120" s="117" t="s">
        <v>1326</v>
      </c>
      <c r="AD120" s="117" t="s">
        <v>1326</v>
      </c>
      <c r="AE120" s="117" t="s">
        <v>1326</v>
      </c>
      <c r="AF120" s="117" t="s">
        <v>1563</v>
      </c>
      <c r="AG120" s="117"/>
      <c r="AH120" s="117"/>
      <c r="AI120" s="117"/>
      <c r="AJ120" s="117"/>
    </row>
    <row r="121" spans="1:36" ht="24.75" customHeight="1">
      <c r="A121" s="116"/>
      <c r="B121" s="117" t="s">
        <v>1239</v>
      </c>
      <c r="C121" s="117" t="s">
        <v>1312</v>
      </c>
      <c r="D121" s="117"/>
      <c r="E121" s="117" t="s">
        <v>1241</v>
      </c>
      <c r="F121" s="118" t="s">
        <v>601</v>
      </c>
      <c r="G121" s="118" t="s">
        <v>601</v>
      </c>
      <c r="H121" s="117" t="s">
        <v>295</v>
      </c>
      <c r="I121" s="117"/>
      <c r="J121" s="117" t="s">
        <v>259</v>
      </c>
      <c r="K121" s="123" t="s">
        <v>1243</v>
      </c>
      <c r="L121" s="117" t="s">
        <v>259</v>
      </c>
      <c r="M121" s="123" t="s">
        <v>1313</v>
      </c>
      <c r="N121" s="117" t="s">
        <v>1263</v>
      </c>
      <c r="O121" s="118" t="s">
        <v>1344</v>
      </c>
      <c r="P121" s="118" t="s">
        <v>1345</v>
      </c>
      <c r="Q121" s="123"/>
      <c r="R121" s="123"/>
      <c r="S121" s="123"/>
      <c r="T121" s="123"/>
      <c r="U121" s="123"/>
      <c r="V121" s="123" t="s">
        <v>1925</v>
      </c>
      <c r="W121" s="123"/>
      <c r="X121" s="118" t="s">
        <v>1926</v>
      </c>
      <c r="Y121" s="118"/>
      <c r="Z121" s="118"/>
      <c r="AA121" s="118" t="s">
        <v>1927</v>
      </c>
      <c r="AB121" s="117"/>
      <c r="AC121" s="117"/>
      <c r="AD121" s="117"/>
      <c r="AE121" s="117"/>
      <c r="AF121" s="117"/>
      <c r="AG121" s="117"/>
      <c r="AH121" s="117"/>
      <c r="AI121" s="117"/>
      <c r="AJ121" s="122" t="s">
        <v>1272</v>
      </c>
    </row>
    <row r="122" spans="1:36" s="2" customFormat="1" ht="24.75" customHeight="1">
      <c r="A122" s="116"/>
      <c r="B122" s="117" t="s">
        <v>1471</v>
      </c>
      <c r="C122" s="117"/>
      <c r="D122" s="117"/>
      <c r="E122" s="117" t="s">
        <v>1241</v>
      </c>
      <c r="F122" s="118" t="s">
        <v>309</v>
      </c>
      <c r="G122" s="118" t="s">
        <v>1928</v>
      </c>
      <c r="H122" s="117" t="s">
        <v>422</v>
      </c>
      <c r="I122" s="117" t="s">
        <v>1252</v>
      </c>
      <c r="J122" s="117" t="s">
        <v>1929</v>
      </c>
      <c r="K122" s="123" t="s">
        <v>1930</v>
      </c>
      <c r="L122" s="117" t="s">
        <v>1931</v>
      </c>
      <c r="M122" s="123" t="s">
        <v>1932</v>
      </c>
      <c r="N122" s="117" t="s">
        <v>1263</v>
      </c>
      <c r="O122" s="118" t="s">
        <v>1933</v>
      </c>
      <c r="P122" s="118" t="s">
        <v>1934</v>
      </c>
      <c r="Q122" s="117" t="s">
        <v>275</v>
      </c>
      <c r="R122" s="117" t="s">
        <v>268</v>
      </c>
      <c r="S122" s="117"/>
      <c r="T122" s="117"/>
      <c r="U122" s="117"/>
      <c r="V122" s="123" t="s">
        <v>1935</v>
      </c>
      <c r="W122" s="117"/>
      <c r="X122" s="128" t="s">
        <v>1936</v>
      </c>
      <c r="Y122" s="128"/>
      <c r="Z122" s="118" t="s">
        <v>1937</v>
      </c>
      <c r="AA122" s="118"/>
      <c r="AB122" s="117"/>
      <c r="AC122" s="117"/>
      <c r="AD122" s="117"/>
      <c r="AE122" s="117"/>
      <c r="AF122" s="117"/>
      <c r="AG122" s="117"/>
      <c r="AH122" s="117"/>
      <c r="AI122" s="117"/>
      <c r="AJ122" s="117"/>
    </row>
    <row r="123" spans="1:36" ht="24.75" customHeight="1">
      <c r="A123" s="116"/>
      <c r="B123" s="117" t="s">
        <v>1471</v>
      </c>
      <c r="C123" s="117"/>
      <c r="D123" s="117"/>
      <c r="E123" s="117" t="s">
        <v>1241</v>
      </c>
      <c r="F123" s="118" t="s">
        <v>1938</v>
      </c>
      <c r="G123" s="118"/>
      <c r="H123" s="117" t="s">
        <v>295</v>
      </c>
      <c r="I123" s="117"/>
      <c r="J123" s="117"/>
      <c r="K123" s="123"/>
      <c r="L123" s="117" t="s">
        <v>267</v>
      </c>
      <c r="M123" s="123" t="s">
        <v>1253</v>
      </c>
      <c r="N123" s="117" t="s">
        <v>1263</v>
      </c>
      <c r="O123" s="118" t="s">
        <v>1939</v>
      </c>
      <c r="P123" s="118"/>
      <c r="Q123" s="117"/>
      <c r="R123" s="117"/>
      <c r="S123" s="117" t="s">
        <v>1239</v>
      </c>
      <c r="T123" s="117"/>
      <c r="U123" s="117"/>
      <c r="V123" s="123"/>
      <c r="W123" s="117"/>
      <c r="X123" s="118"/>
      <c r="Y123" s="118"/>
      <c r="Z123" s="118"/>
      <c r="AA123" s="118"/>
      <c r="AB123" s="117"/>
      <c r="AC123" s="117"/>
      <c r="AD123" s="117"/>
      <c r="AE123" s="117"/>
      <c r="AF123" s="117"/>
      <c r="AG123" s="117"/>
      <c r="AH123" s="117"/>
      <c r="AI123" s="117"/>
      <c r="AJ123" s="117"/>
    </row>
    <row r="124" spans="1:36" s="2" customFormat="1" ht="24.75" customHeight="1">
      <c r="A124" s="116"/>
      <c r="B124" s="117" t="s">
        <v>1471</v>
      </c>
      <c r="C124" s="117"/>
      <c r="D124" s="117"/>
      <c r="E124" s="117" t="s">
        <v>1241</v>
      </c>
      <c r="F124" s="118" t="s">
        <v>315</v>
      </c>
      <c r="G124" s="118"/>
      <c r="H124" s="117" t="s">
        <v>295</v>
      </c>
      <c r="I124" s="117"/>
      <c r="J124" s="117" t="s">
        <v>293</v>
      </c>
      <c r="K124" s="123" t="s">
        <v>1695</v>
      </c>
      <c r="L124" s="117" t="s">
        <v>293</v>
      </c>
      <c r="M124" s="123" t="s">
        <v>1385</v>
      </c>
      <c r="N124" s="117" t="s">
        <v>1263</v>
      </c>
      <c r="O124" s="118"/>
      <c r="P124" s="118"/>
      <c r="Q124" s="117"/>
      <c r="R124" s="117"/>
      <c r="S124" s="117" t="s">
        <v>1239</v>
      </c>
      <c r="T124" s="117"/>
      <c r="U124" s="117"/>
      <c r="V124" s="123"/>
      <c r="W124" s="117"/>
      <c r="X124" s="118"/>
      <c r="Y124" s="118"/>
      <c r="Z124" s="118"/>
      <c r="AA124" s="118"/>
      <c r="AB124" s="117"/>
      <c r="AC124" s="117"/>
      <c r="AD124" s="117"/>
      <c r="AE124" s="117"/>
      <c r="AF124" s="117"/>
      <c r="AG124" s="117"/>
      <c r="AH124" s="117"/>
      <c r="AI124" s="117"/>
      <c r="AJ124" s="117"/>
    </row>
    <row r="125" spans="1:36" ht="24.75" customHeight="1">
      <c r="A125" s="116"/>
      <c r="B125" s="117" t="s">
        <v>1471</v>
      </c>
      <c r="C125" s="117" t="s">
        <v>1312</v>
      </c>
      <c r="D125" s="117"/>
      <c r="E125" s="117" t="s">
        <v>1241</v>
      </c>
      <c r="F125" s="118" t="s">
        <v>335</v>
      </c>
      <c r="G125" s="118"/>
      <c r="H125" s="117" t="s">
        <v>292</v>
      </c>
      <c r="I125" s="117"/>
      <c r="J125" s="117" t="s">
        <v>267</v>
      </c>
      <c r="K125" s="123" t="s">
        <v>1243</v>
      </c>
      <c r="L125" s="117" t="s">
        <v>267</v>
      </c>
      <c r="M125" s="123" t="s">
        <v>1329</v>
      </c>
      <c r="N125" s="117" t="s">
        <v>1263</v>
      </c>
      <c r="O125" s="118" t="s">
        <v>1940</v>
      </c>
      <c r="P125" s="118" t="s">
        <v>1941</v>
      </c>
      <c r="Q125" s="117"/>
      <c r="R125" s="117"/>
      <c r="S125" s="117"/>
      <c r="T125" s="117"/>
      <c r="U125" s="117"/>
      <c r="V125" s="123" t="s">
        <v>1942</v>
      </c>
      <c r="W125" s="117"/>
      <c r="X125" s="128" t="s">
        <v>1943</v>
      </c>
      <c r="Y125" s="118"/>
      <c r="Z125" s="118"/>
      <c r="AA125" s="118" t="s">
        <v>1944</v>
      </c>
      <c r="AB125" s="117"/>
      <c r="AC125" s="117"/>
      <c r="AD125" s="117"/>
      <c r="AE125" s="117"/>
      <c r="AF125" s="117"/>
      <c r="AG125" s="117"/>
      <c r="AH125" s="117"/>
      <c r="AI125" s="117"/>
      <c r="AJ125" s="117"/>
    </row>
    <row r="126" spans="1:36" ht="24.75" customHeight="1">
      <c r="A126" s="116"/>
      <c r="B126" s="117" t="s">
        <v>1438</v>
      </c>
      <c r="C126" s="117"/>
      <c r="D126" s="117"/>
      <c r="E126" s="117" t="s">
        <v>1241</v>
      </c>
      <c r="F126" s="118" t="s">
        <v>1945</v>
      </c>
      <c r="G126" s="118" t="s">
        <v>1945</v>
      </c>
      <c r="H126" s="117" t="s">
        <v>292</v>
      </c>
      <c r="I126" s="143" t="s">
        <v>1252</v>
      </c>
      <c r="J126" s="117" t="s">
        <v>1946</v>
      </c>
      <c r="K126" s="123" t="s">
        <v>1695</v>
      </c>
      <c r="L126" s="117" t="s">
        <v>1946</v>
      </c>
      <c r="M126" s="123" t="s">
        <v>1947</v>
      </c>
      <c r="N126" s="117" t="s">
        <v>1263</v>
      </c>
      <c r="O126" s="118"/>
      <c r="P126" s="118"/>
      <c r="Q126" s="117"/>
      <c r="R126" s="117"/>
      <c r="S126" s="117"/>
      <c r="T126" s="117"/>
      <c r="U126" s="117"/>
      <c r="V126" s="123"/>
      <c r="W126" s="117"/>
      <c r="X126" s="118"/>
      <c r="Y126" s="118"/>
      <c r="Z126" s="118"/>
      <c r="AA126" s="118"/>
      <c r="AB126" s="117"/>
      <c r="AC126" s="117"/>
      <c r="AD126" s="117"/>
      <c r="AE126" s="117"/>
      <c r="AF126" s="117"/>
      <c r="AG126" s="117"/>
      <c r="AH126" s="117"/>
      <c r="AI126" s="117"/>
      <c r="AJ126" s="117"/>
    </row>
    <row r="127" spans="1:36" ht="24.75" customHeight="1">
      <c r="A127" s="116"/>
      <c r="B127" s="117" t="s">
        <v>1438</v>
      </c>
      <c r="C127" s="117"/>
      <c r="D127" s="117"/>
      <c r="E127" s="117" t="s">
        <v>1241</v>
      </c>
      <c r="F127" s="157" t="s">
        <v>1948</v>
      </c>
      <c r="G127" s="157" t="s">
        <v>1948</v>
      </c>
      <c r="H127" s="117" t="s">
        <v>292</v>
      </c>
      <c r="I127" s="143" t="s">
        <v>1252</v>
      </c>
      <c r="J127" s="117" t="s">
        <v>1946</v>
      </c>
      <c r="K127" s="123" t="s">
        <v>1695</v>
      </c>
      <c r="L127" s="117" t="s">
        <v>1946</v>
      </c>
      <c r="M127" s="123" t="s">
        <v>1947</v>
      </c>
      <c r="N127" s="117" t="s">
        <v>1263</v>
      </c>
      <c r="O127" s="118" t="s">
        <v>1949</v>
      </c>
      <c r="P127" s="118" t="s">
        <v>1921</v>
      </c>
      <c r="Q127" s="117"/>
      <c r="R127" s="117"/>
      <c r="S127" s="117"/>
      <c r="T127" s="117"/>
      <c r="U127" s="117"/>
      <c r="V127" s="169" t="s">
        <v>1950</v>
      </c>
      <c r="W127" s="151"/>
      <c r="X127" s="128" t="s">
        <v>1951</v>
      </c>
      <c r="Y127" s="128"/>
      <c r="Z127" s="118" t="s">
        <v>1952</v>
      </c>
      <c r="AA127" s="118" t="s">
        <v>1953</v>
      </c>
      <c r="AB127" s="117"/>
      <c r="AC127" s="117"/>
      <c r="AD127" s="117"/>
      <c r="AE127" s="117"/>
      <c r="AF127" s="117"/>
      <c r="AG127" s="117"/>
      <c r="AH127" s="117"/>
      <c r="AI127" s="117"/>
      <c r="AJ127" s="117"/>
    </row>
    <row r="128" spans="1:36" ht="24.75" customHeight="1">
      <c r="A128" s="116"/>
      <c r="B128" s="117" t="s">
        <v>1438</v>
      </c>
      <c r="C128" s="117"/>
      <c r="D128" s="117"/>
      <c r="E128" s="117" t="s">
        <v>1241</v>
      </c>
      <c r="F128" s="157" t="s">
        <v>1954</v>
      </c>
      <c r="G128" s="157" t="s">
        <v>1954</v>
      </c>
      <c r="H128" s="117" t="s">
        <v>292</v>
      </c>
      <c r="I128" s="143" t="s">
        <v>1252</v>
      </c>
      <c r="J128" s="117" t="s">
        <v>1946</v>
      </c>
      <c r="K128" s="123" t="s">
        <v>1695</v>
      </c>
      <c r="L128" s="117" t="s">
        <v>1946</v>
      </c>
      <c r="M128" s="123" t="s">
        <v>1947</v>
      </c>
      <c r="N128" s="117" t="s">
        <v>1263</v>
      </c>
      <c r="O128" s="118" t="s">
        <v>1955</v>
      </c>
      <c r="P128" s="118" t="s">
        <v>1956</v>
      </c>
      <c r="Q128" s="117"/>
      <c r="R128" s="117" t="s">
        <v>275</v>
      </c>
      <c r="S128" s="117"/>
      <c r="T128" s="117"/>
      <c r="U128" s="117"/>
      <c r="V128" s="123" t="s">
        <v>1957</v>
      </c>
      <c r="W128" s="117"/>
      <c r="X128" s="128" t="s">
        <v>1958</v>
      </c>
      <c r="Y128" s="128"/>
      <c r="Z128" s="118"/>
      <c r="AA128" s="118" t="s">
        <v>1959</v>
      </c>
      <c r="AB128" s="117"/>
      <c r="AC128" s="117"/>
      <c r="AD128" s="117"/>
      <c r="AE128" s="117"/>
      <c r="AF128" s="117"/>
      <c r="AG128" s="117"/>
      <c r="AH128" s="117"/>
      <c r="AI128" s="117"/>
      <c r="AJ128" s="117"/>
    </row>
    <row r="129" spans="1:36" ht="24.75" customHeight="1">
      <c r="A129" s="116"/>
      <c r="B129" s="117" t="s">
        <v>1438</v>
      </c>
      <c r="C129" s="117"/>
      <c r="D129" s="117"/>
      <c r="E129" s="117" t="s">
        <v>1241</v>
      </c>
      <c r="F129" s="157" t="s">
        <v>1960</v>
      </c>
      <c r="G129" s="157" t="s">
        <v>1960</v>
      </c>
      <c r="H129" s="117" t="s">
        <v>292</v>
      </c>
      <c r="I129" s="143" t="s">
        <v>1252</v>
      </c>
      <c r="J129" s="117" t="s">
        <v>1946</v>
      </c>
      <c r="K129" s="123" t="s">
        <v>1695</v>
      </c>
      <c r="L129" s="117" t="s">
        <v>1946</v>
      </c>
      <c r="M129" s="123" t="s">
        <v>1947</v>
      </c>
      <c r="N129" s="117" t="s">
        <v>1245</v>
      </c>
      <c r="O129" s="118" t="s">
        <v>1961</v>
      </c>
      <c r="P129" s="118" t="s">
        <v>1962</v>
      </c>
      <c r="Q129" s="117"/>
      <c r="R129" s="117" t="s">
        <v>274</v>
      </c>
      <c r="S129" s="117"/>
      <c r="T129" s="117"/>
      <c r="U129" s="117"/>
      <c r="V129" s="123" t="s">
        <v>1963</v>
      </c>
      <c r="W129" s="117"/>
      <c r="X129" s="128" t="s">
        <v>1964</v>
      </c>
      <c r="Y129" s="128"/>
      <c r="Z129" s="118" t="s">
        <v>1965</v>
      </c>
      <c r="AA129" s="180" t="s">
        <v>1966</v>
      </c>
      <c r="AB129" s="117"/>
      <c r="AC129" s="117"/>
      <c r="AD129" s="117"/>
      <c r="AE129" s="117"/>
      <c r="AF129" s="117"/>
      <c r="AG129" s="117"/>
      <c r="AH129" s="117"/>
      <c r="AI129" s="117"/>
      <c r="AJ129" s="117"/>
    </row>
    <row r="130" spans="1:36" ht="24.75" customHeight="1">
      <c r="A130" s="116"/>
      <c r="B130" s="117" t="s">
        <v>1438</v>
      </c>
      <c r="C130" s="117"/>
      <c r="D130" s="117"/>
      <c r="E130" s="117" t="s">
        <v>1241</v>
      </c>
      <c r="F130" s="157" t="s">
        <v>1967</v>
      </c>
      <c r="G130" s="118" t="s">
        <v>1968</v>
      </c>
      <c r="H130" s="117" t="s">
        <v>292</v>
      </c>
      <c r="I130" s="143" t="s">
        <v>1252</v>
      </c>
      <c r="J130" s="117" t="s">
        <v>1946</v>
      </c>
      <c r="K130" s="123" t="s">
        <v>1695</v>
      </c>
      <c r="L130" s="117" t="s">
        <v>1946</v>
      </c>
      <c r="M130" s="123" t="s">
        <v>1947</v>
      </c>
      <c r="N130" s="117" t="s">
        <v>1274</v>
      </c>
      <c r="O130" s="118" t="s">
        <v>1969</v>
      </c>
      <c r="P130" s="118" t="s">
        <v>1970</v>
      </c>
      <c r="Q130" s="117"/>
      <c r="R130" s="117" t="s">
        <v>1971</v>
      </c>
      <c r="S130" s="117"/>
      <c r="T130" s="117"/>
      <c r="U130" s="117"/>
      <c r="V130" s="123" t="s">
        <v>1972</v>
      </c>
      <c r="W130" s="123"/>
      <c r="X130" s="128" t="s">
        <v>1973</v>
      </c>
      <c r="Y130" s="128"/>
      <c r="Z130" s="118" t="s">
        <v>1974</v>
      </c>
      <c r="AA130" s="118" t="s">
        <v>1975</v>
      </c>
      <c r="AB130" s="117"/>
      <c r="AC130" s="117"/>
      <c r="AD130" s="117"/>
      <c r="AE130" s="117"/>
      <c r="AF130" s="117"/>
      <c r="AG130" s="117"/>
      <c r="AH130" s="117"/>
      <c r="AI130" s="117"/>
      <c r="AJ130" s="117"/>
    </row>
    <row r="131" spans="1:36" ht="24.75" customHeight="1">
      <c r="A131" s="116"/>
      <c r="B131" s="117" t="s">
        <v>1438</v>
      </c>
      <c r="C131" s="117"/>
      <c r="D131" s="117"/>
      <c r="E131" s="117" t="s">
        <v>1241</v>
      </c>
      <c r="F131" s="157" t="s">
        <v>1976</v>
      </c>
      <c r="G131" s="157" t="s">
        <v>1976</v>
      </c>
      <c r="H131" s="117" t="s">
        <v>292</v>
      </c>
      <c r="I131" s="143" t="s">
        <v>1252</v>
      </c>
      <c r="J131" s="117" t="s">
        <v>279</v>
      </c>
      <c r="K131" s="123" t="s">
        <v>1695</v>
      </c>
      <c r="L131" s="117" t="s">
        <v>1946</v>
      </c>
      <c r="M131" s="123" t="s">
        <v>1947</v>
      </c>
      <c r="N131" s="117" t="s">
        <v>1274</v>
      </c>
      <c r="O131" s="118" t="s">
        <v>1977</v>
      </c>
      <c r="P131" s="118" t="s">
        <v>1978</v>
      </c>
      <c r="Q131" s="117"/>
      <c r="R131" s="117"/>
      <c r="S131" s="117"/>
      <c r="T131" s="117"/>
      <c r="U131" s="117"/>
      <c r="V131" s="123" t="s">
        <v>1979</v>
      </c>
      <c r="W131" s="117"/>
      <c r="X131" s="128" t="s">
        <v>1980</v>
      </c>
      <c r="Y131" s="128"/>
      <c r="Z131" s="118" t="s">
        <v>1981</v>
      </c>
      <c r="AA131" s="118" t="s">
        <v>1959</v>
      </c>
      <c r="AB131" s="117"/>
      <c r="AC131" s="117"/>
      <c r="AD131" s="117"/>
      <c r="AE131" s="117"/>
      <c r="AF131" s="117"/>
      <c r="AG131" s="117"/>
      <c r="AH131" s="117"/>
      <c r="AI131" s="117"/>
      <c r="AJ131" s="117"/>
    </row>
    <row r="132" spans="1:36" ht="24.75" customHeight="1">
      <c r="A132" s="116"/>
      <c r="B132" s="117" t="s">
        <v>1438</v>
      </c>
      <c r="C132" s="117"/>
      <c r="D132" s="117"/>
      <c r="E132" s="117" t="s">
        <v>1241</v>
      </c>
      <c r="F132" s="118" t="s">
        <v>1982</v>
      </c>
      <c r="G132" s="118" t="s">
        <v>1982</v>
      </c>
      <c r="H132" s="117" t="s">
        <v>292</v>
      </c>
      <c r="I132" s="143" t="s">
        <v>1252</v>
      </c>
      <c r="J132" s="117" t="s">
        <v>1946</v>
      </c>
      <c r="K132" s="123" t="s">
        <v>1695</v>
      </c>
      <c r="L132" s="117" t="s">
        <v>1946</v>
      </c>
      <c r="M132" s="123" t="s">
        <v>1947</v>
      </c>
      <c r="N132" s="117" t="s">
        <v>1263</v>
      </c>
      <c r="O132" s="118" t="s">
        <v>1983</v>
      </c>
      <c r="P132" s="118" t="s">
        <v>1984</v>
      </c>
      <c r="Q132" s="117"/>
      <c r="R132" s="117"/>
      <c r="S132" s="117"/>
      <c r="T132" s="117"/>
      <c r="U132" s="117"/>
      <c r="V132" s="123" t="s">
        <v>1985</v>
      </c>
      <c r="W132" s="123"/>
      <c r="X132" s="128" t="s">
        <v>1986</v>
      </c>
      <c r="Y132" s="128"/>
      <c r="Z132" s="118"/>
      <c r="AA132" s="144" t="s">
        <v>1987</v>
      </c>
      <c r="AB132" s="117"/>
      <c r="AC132" s="117"/>
      <c r="AD132" s="117"/>
      <c r="AE132" s="117"/>
      <c r="AF132" s="117"/>
      <c r="AG132" s="117"/>
      <c r="AH132" s="117"/>
      <c r="AI132" s="117"/>
      <c r="AJ132" s="117"/>
    </row>
    <row r="133" spans="1:36" ht="24.75" customHeight="1">
      <c r="A133" s="116"/>
      <c r="B133" s="117" t="s">
        <v>1438</v>
      </c>
      <c r="C133" s="117"/>
      <c r="D133" s="117"/>
      <c r="E133" s="117" t="s">
        <v>1241</v>
      </c>
      <c r="F133" s="118" t="s">
        <v>1988</v>
      </c>
      <c r="G133" s="118" t="s">
        <v>1988</v>
      </c>
      <c r="H133" s="117" t="s">
        <v>292</v>
      </c>
      <c r="I133" s="143" t="s">
        <v>1252</v>
      </c>
      <c r="J133" s="117" t="s">
        <v>279</v>
      </c>
      <c r="K133" s="123" t="s">
        <v>1695</v>
      </c>
      <c r="L133" s="117" t="s">
        <v>279</v>
      </c>
      <c r="M133" s="123"/>
      <c r="N133" s="117" t="s">
        <v>1263</v>
      </c>
      <c r="O133" s="118" t="s">
        <v>1989</v>
      </c>
      <c r="P133" s="118"/>
      <c r="Q133" s="117"/>
      <c r="R133" s="117"/>
      <c r="S133" s="117"/>
      <c r="T133" s="117"/>
      <c r="U133" s="117"/>
      <c r="V133" s="123">
        <v>31051171</v>
      </c>
      <c r="W133" s="117"/>
      <c r="X133" s="118" t="s">
        <v>1990</v>
      </c>
      <c r="Y133" s="118"/>
      <c r="Z133" s="118" t="s">
        <v>1991</v>
      </c>
      <c r="AA133" s="118" t="s">
        <v>1992</v>
      </c>
      <c r="AB133" s="117"/>
      <c r="AC133" s="117"/>
      <c r="AD133" s="117"/>
      <c r="AE133" s="117"/>
      <c r="AF133" s="117"/>
      <c r="AG133" s="117"/>
      <c r="AH133" s="117"/>
      <c r="AI133" s="117"/>
      <c r="AJ133" s="117"/>
    </row>
    <row r="134" spans="1:36" ht="24.75" customHeight="1">
      <c r="A134" s="116"/>
      <c r="B134" s="117" t="s">
        <v>1438</v>
      </c>
      <c r="C134" s="117"/>
      <c r="D134" s="117"/>
      <c r="E134" s="117" t="s">
        <v>1241</v>
      </c>
      <c r="F134" s="118" t="s">
        <v>1993</v>
      </c>
      <c r="G134" s="118"/>
      <c r="H134" s="117" t="s">
        <v>422</v>
      </c>
      <c r="I134" s="117" t="s">
        <v>1252</v>
      </c>
      <c r="J134" s="117" t="s">
        <v>299</v>
      </c>
      <c r="K134" s="123" t="s">
        <v>1732</v>
      </c>
      <c r="L134" s="117" t="s">
        <v>299</v>
      </c>
      <c r="M134" s="123"/>
      <c r="N134" s="117"/>
      <c r="O134" s="118"/>
      <c r="P134" s="118"/>
      <c r="Q134" s="117"/>
      <c r="R134" s="117"/>
      <c r="S134" s="117"/>
      <c r="T134" s="117"/>
      <c r="U134" s="117"/>
      <c r="V134" s="123"/>
      <c r="W134" s="117"/>
      <c r="X134" s="118"/>
      <c r="Y134" s="118"/>
      <c r="Z134" s="118"/>
      <c r="AA134" s="118"/>
      <c r="AB134" s="117"/>
      <c r="AC134" s="117"/>
      <c r="AD134" s="117"/>
      <c r="AE134" s="117"/>
      <c r="AF134" s="117"/>
      <c r="AG134" s="117"/>
      <c r="AH134" s="117"/>
      <c r="AI134" s="117"/>
      <c r="AJ134" s="117"/>
    </row>
    <row r="135" spans="1:36" ht="24.75" customHeight="1">
      <c r="A135" s="116"/>
      <c r="B135" s="117" t="s">
        <v>1438</v>
      </c>
      <c r="C135" s="117"/>
      <c r="D135" s="117"/>
      <c r="E135" s="117" t="s">
        <v>1241</v>
      </c>
      <c r="F135" s="118" t="s">
        <v>1994</v>
      </c>
      <c r="G135" s="118"/>
      <c r="H135" s="117" t="s">
        <v>422</v>
      </c>
      <c r="I135" s="117" t="s">
        <v>1252</v>
      </c>
      <c r="J135" s="117" t="s">
        <v>299</v>
      </c>
      <c r="K135" s="123" t="s">
        <v>1732</v>
      </c>
      <c r="L135" s="117" t="s">
        <v>299</v>
      </c>
      <c r="M135" s="123"/>
      <c r="N135" s="117"/>
      <c r="O135" s="128" t="s">
        <v>1995</v>
      </c>
      <c r="P135" s="118" t="s">
        <v>1996</v>
      </c>
      <c r="Q135" s="117"/>
      <c r="R135" s="117"/>
      <c r="S135" s="117"/>
      <c r="T135" s="117"/>
      <c r="U135" s="117"/>
      <c r="V135" s="123"/>
      <c r="W135" s="117"/>
      <c r="X135" s="128" t="s">
        <v>1997</v>
      </c>
      <c r="Y135" s="128" t="s">
        <v>1998</v>
      </c>
      <c r="Z135" s="118"/>
      <c r="AA135" s="118"/>
      <c r="AB135" s="117"/>
      <c r="AC135" s="117"/>
      <c r="AD135" s="117"/>
      <c r="AE135" s="117"/>
      <c r="AF135" s="117"/>
      <c r="AG135" s="117"/>
      <c r="AH135" s="117"/>
      <c r="AI135" s="117"/>
      <c r="AJ135" s="117"/>
    </row>
    <row r="136" spans="1:36" ht="24.75" customHeight="1">
      <c r="A136" s="116"/>
      <c r="B136" s="117" t="s">
        <v>1438</v>
      </c>
      <c r="C136" s="117"/>
      <c r="D136" s="117"/>
      <c r="E136" s="117" t="s">
        <v>1241</v>
      </c>
      <c r="F136" s="118" t="s">
        <v>1999</v>
      </c>
      <c r="G136" s="118"/>
      <c r="H136" s="117" t="s">
        <v>422</v>
      </c>
      <c r="I136" s="117" t="s">
        <v>1252</v>
      </c>
      <c r="J136" s="117" t="s">
        <v>299</v>
      </c>
      <c r="K136" s="123" t="s">
        <v>1732</v>
      </c>
      <c r="L136" s="117" t="s">
        <v>299</v>
      </c>
      <c r="M136" s="123"/>
      <c r="N136" s="117"/>
      <c r="O136" s="118"/>
      <c r="P136" s="118"/>
      <c r="Q136" s="117"/>
      <c r="R136" s="117"/>
      <c r="S136" s="117"/>
      <c r="T136" s="117"/>
      <c r="U136" s="117"/>
      <c r="V136" s="123"/>
      <c r="W136" s="117"/>
      <c r="X136" s="118"/>
      <c r="Y136" s="118"/>
      <c r="Z136" s="118"/>
      <c r="AA136" s="118"/>
      <c r="AB136" s="117"/>
      <c r="AC136" s="117"/>
      <c r="AD136" s="117"/>
      <c r="AE136" s="117"/>
      <c r="AF136" s="117"/>
      <c r="AG136" s="117"/>
      <c r="AH136" s="117"/>
      <c r="AI136" s="117"/>
      <c r="AJ136" s="117"/>
    </row>
    <row r="137" spans="1:36" ht="24.75" customHeight="1">
      <c r="A137" s="116"/>
      <c r="B137" s="117" t="s">
        <v>1438</v>
      </c>
      <c r="C137" s="117"/>
      <c r="D137" s="117"/>
      <c r="E137" s="117" t="s">
        <v>1241</v>
      </c>
      <c r="F137" s="118" t="s">
        <v>2000</v>
      </c>
      <c r="G137" s="118"/>
      <c r="H137" s="117" t="s">
        <v>422</v>
      </c>
      <c r="I137" s="117" t="s">
        <v>1252</v>
      </c>
      <c r="J137" s="117" t="s">
        <v>299</v>
      </c>
      <c r="K137" s="123" t="s">
        <v>1732</v>
      </c>
      <c r="L137" s="117" t="s">
        <v>299</v>
      </c>
      <c r="M137" s="123"/>
      <c r="N137" s="117"/>
      <c r="O137" s="118"/>
      <c r="P137" s="118"/>
      <c r="Q137" s="117"/>
      <c r="R137" s="117"/>
      <c r="S137" s="117"/>
      <c r="T137" s="117"/>
      <c r="U137" s="117"/>
      <c r="V137" s="123"/>
      <c r="W137" s="117"/>
      <c r="X137" s="118"/>
      <c r="Y137" s="118"/>
      <c r="Z137" s="118"/>
      <c r="AA137" s="118"/>
      <c r="AB137" s="117"/>
      <c r="AC137" s="117"/>
      <c r="AD137" s="117"/>
      <c r="AE137" s="117"/>
      <c r="AF137" s="117"/>
      <c r="AG137" s="117"/>
      <c r="AH137" s="117"/>
      <c r="AI137" s="117"/>
      <c r="AJ137" s="117"/>
    </row>
    <row r="138" spans="1:36" ht="24.75" customHeight="1">
      <c r="A138" s="116"/>
      <c r="B138" s="117" t="s">
        <v>1438</v>
      </c>
      <c r="C138" s="117"/>
      <c r="D138" s="117"/>
      <c r="E138" s="117" t="s">
        <v>1241</v>
      </c>
      <c r="F138" s="118" t="s">
        <v>2001</v>
      </c>
      <c r="G138" s="118"/>
      <c r="H138" s="117" t="s">
        <v>422</v>
      </c>
      <c r="I138" s="117" t="s">
        <v>1252</v>
      </c>
      <c r="J138" s="117" t="s">
        <v>299</v>
      </c>
      <c r="K138" s="123" t="s">
        <v>1732</v>
      </c>
      <c r="L138" s="117" t="s">
        <v>299</v>
      </c>
      <c r="M138" s="123"/>
      <c r="N138" s="117"/>
      <c r="O138" s="118" t="s">
        <v>2002</v>
      </c>
      <c r="P138" s="118" t="s">
        <v>2003</v>
      </c>
      <c r="Q138" s="117"/>
      <c r="R138" s="117"/>
      <c r="S138" s="117"/>
      <c r="T138" s="117"/>
      <c r="U138" s="117"/>
      <c r="V138" s="123">
        <v>91281675</v>
      </c>
      <c r="W138" s="117"/>
      <c r="X138" s="128" t="s">
        <v>2004</v>
      </c>
      <c r="Y138" s="128" t="s">
        <v>2005</v>
      </c>
      <c r="Z138" s="118" t="s">
        <v>2006</v>
      </c>
      <c r="AA138" s="118"/>
      <c r="AB138" s="117"/>
      <c r="AC138" s="117"/>
      <c r="AD138" s="117"/>
      <c r="AE138" s="117"/>
      <c r="AF138" s="117"/>
      <c r="AG138" s="117"/>
      <c r="AH138" s="117"/>
      <c r="AI138" s="117"/>
      <c r="AJ138" s="117"/>
    </row>
    <row r="139" spans="1:36" ht="24.75" customHeight="1">
      <c r="A139" s="116"/>
      <c r="B139" s="117" t="s">
        <v>1438</v>
      </c>
      <c r="C139" s="117"/>
      <c r="D139" s="117"/>
      <c r="E139" s="117" t="s">
        <v>1241</v>
      </c>
      <c r="F139" s="118" t="s">
        <v>2007</v>
      </c>
      <c r="G139" s="118"/>
      <c r="H139" s="117" t="s">
        <v>422</v>
      </c>
      <c r="I139" s="117" t="s">
        <v>1252</v>
      </c>
      <c r="J139" s="117" t="s">
        <v>299</v>
      </c>
      <c r="K139" s="123" t="s">
        <v>1732</v>
      </c>
      <c r="L139" s="117" t="s">
        <v>299</v>
      </c>
      <c r="M139" s="123"/>
      <c r="N139" s="117"/>
      <c r="O139" s="118"/>
      <c r="P139" s="118"/>
      <c r="Q139" s="117"/>
      <c r="R139" s="117"/>
      <c r="S139" s="117"/>
      <c r="T139" s="117"/>
      <c r="U139" s="117"/>
      <c r="V139" s="123"/>
      <c r="W139" s="117"/>
      <c r="X139" s="128" t="s">
        <v>2008</v>
      </c>
      <c r="Y139" s="118"/>
      <c r="Z139" s="118"/>
      <c r="AA139" s="118"/>
      <c r="AB139" s="117"/>
      <c r="AC139" s="117"/>
      <c r="AD139" s="117"/>
      <c r="AE139" s="117"/>
      <c r="AF139" s="117"/>
      <c r="AG139" s="117"/>
      <c r="AH139" s="117"/>
      <c r="AI139" s="117"/>
      <c r="AJ139" s="117"/>
    </row>
    <row r="140" spans="1:36" ht="24.75" customHeight="1">
      <c r="A140" s="116"/>
      <c r="B140" s="117" t="s">
        <v>1438</v>
      </c>
      <c r="C140" s="117"/>
      <c r="D140" s="117"/>
      <c r="E140" s="117" t="s">
        <v>1241</v>
      </c>
      <c r="F140" s="118" t="s">
        <v>2009</v>
      </c>
      <c r="G140" s="118" t="s">
        <v>2010</v>
      </c>
      <c r="H140" s="117" t="s">
        <v>422</v>
      </c>
      <c r="I140" s="117" t="s">
        <v>1252</v>
      </c>
      <c r="J140" s="117" t="s">
        <v>299</v>
      </c>
      <c r="K140" s="123" t="s">
        <v>1732</v>
      </c>
      <c r="L140" s="117" t="s">
        <v>299</v>
      </c>
      <c r="M140" s="123"/>
      <c r="N140" s="117" t="s">
        <v>2011</v>
      </c>
      <c r="O140" s="118" t="s">
        <v>2012</v>
      </c>
      <c r="P140" s="118" t="s">
        <v>2013</v>
      </c>
      <c r="Q140" s="117"/>
      <c r="R140" s="117"/>
      <c r="S140" s="117"/>
      <c r="T140" s="117"/>
      <c r="U140" s="117"/>
      <c r="V140" s="123"/>
      <c r="W140" s="117"/>
      <c r="X140" s="118" t="s">
        <v>2014</v>
      </c>
      <c r="Y140" s="118"/>
      <c r="Z140" s="118" t="s">
        <v>2015</v>
      </c>
      <c r="AA140" s="118"/>
      <c r="AB140" s="117"/>
      <c r="AC140" s="117"/>
      <c r="AD140" s="117"/>
      <c r="AE140" s="117"/>
      <c r="AF140" s="117"/>
      <c r="AG140" s="117"/>
      <c r="AH140" s="117"/>
      <c r="AI140" s="117"/>
      <c r="AJ140" s="117"/>
    </row>
    <row r="141" spans="1:36" ht="24.75" customHeight="1">
      <c r="A141" s="116"/>
      <c r="B141" s="117" t="s">
        <v>1438</v>
      </c>
      <c r="C141" s="117"/>
      <c r="D141" s="117"/>
      <c r="E141" s="117" t="s">
        <v>1241</v>
      </c>
      <c r="F141" s="118" t="s">
        <v>2016</v>
      </c>
      <c r="G141" s="118"/>
      <c r="H141" s="117" t="s">
        <v>422</v>
      </c>
      <c r="I141" s="117" t="s">
        <v>1252</v>
      </c>
      <c r="J141" s="117" t="s">
        <v>299</v>
      </c>
      <c r="K141" s="123" t="s">
        <v>1732</v>
      </c>
      <c r="L141" s="117" t="s">
        <v>299</v>
      </c>
      <c r="M141" s="123"/>
      <c r="N141" s="117"/>
      <c r="O141" s="118"/>
      <c r="P141" s="118"/>
      <c r="Q141" s="117"/>
      <c r="R141" s="117"/>
      <c r="S141" s="117"/>
      <c r="T141" s="117"/>
      <c r="U141" s="117"/>
      <c r="V141" s="123" t="s">
        <v>2017</v>
      </c>
      <c r="W141" s="117"/>
      <c r="X141" s="128" t="s">
        <v>2018</v>
      </c>
      <c r="Y141" s="118"/>
      <c r="Z141" s="118"/>
      <c r="AA141" s="118"/>
      <c r="AB141" s="117"/>
      <c r="AC141" s="117"/>
      <c r="AD141" s="117"/>
      <c r="AE141" s="117"/>
      <c r="AF141" s="117"/>
      <c r="AG141" s="117"/>
      <c r="AH141" s="117"/>
      <c r="AI141" s="117"/>
      <c r="AJ141" s="117"/>
    </row>
    <row r="142" spans="1:36" ht="24.75" customHeight="1">
      <c r="A142" s="116"/>
      <c r="B142" s="117" t="s">
        <v>1438</v>
      </c>
      <c r="C142" s="117"/>
      <c r="D142" s="117"/>
      <c r="E142" s="117" t="s">
        <v>1241</v>
      </c>
      <c r="F142" s="118" t="s">
        <v>2019</v>
      </c>
      <c r="G142" s="118"/>
      <c r="H142" s="117" t="s">
        <v>422</v>
      </c>
      <c r="I142" s="117" t="s">
        <v>1252</v>
      </c>
      <c r="J142" s="117" t="s">
        <v>299</v>
      </c>
      <c r="K142" s="123" t="s">
        <v>1732</v>
      </c>
      <c r="L142" s="117" t="s">
        <v>299</v>
      </c>
      <c r="M142" s="123"/>
      <c r="N142" s="117"/>
      <c r="O142" s="118"/>
      <c r="P142" s="118"/>
      <c r="Q142" s="117"/>
      <c r="R142" s="117"/>
      <c r="S142" s="117"/>
      <c r="T142" s="117"/>
      <c r="U142" s="117"/>
      <c r="V142" s="123"/>
      <c r="W142" s="117"/>
      <c r="X142" s="128" t="s">
        <v>2020</v>
      </c>
      <c r="Y142" s="118"/>
      <c r="Z142" s="118"/>
      <c r="AA142" s="118"/>
      <c r="AB142" s="117"/>
      <c r="AC142" s="117"/>
      <c r="AD142" s="117"/>
      <c r="AE142" s="117"/>
      <c r="AF142" s="117"/>
      <c r="AG142" s="117"/>
      <c r="AH142" s="117"/>
      <c r="AI142" s="117"/>
      <c r="AJ142" s="117"/>
    </row>
    <row r="143" spans="1:36" ht="24.75" customHeight="1">
      <c r="A143" s="116"/>
      <c r="B143" s="117" t="s">
        <v>1471</v>
      </c>
      <c r="C143" s="117"/>
      <c r="D143" s="117"/>
      <c r="E143" s="117" t="s">
        <v>1241</v>
      </c>
      <c r="F143" s="118" t="s">
        <v>2021</v>
      </c>
      <c r="G143" s="118"/>
      <c r="H143" s="117" t="s">
        <v>1252</v>
      </c>
      <c r="I143" s="117" t="s">
        <v>1252</v>
      </c>
      <c r="J143" s="117"/>
      <c r="K143" s="123"/>
      <c r="L143" s="117" t="s">
        <v>273</v>
      </c>
      <c r="M143" s="123"/>
      <c r="N143" s="117" t="s">
        <v>2022</v>
      </c>
      <c r="O143" s="118" t="s">
        <v>2023</v>
      </c>
      <c r="P143" s="118" t="s">
        <v>2024</v>
      </c>
      <c r="Q143" s="117"/>
      <c r="R143" s="117"/>
      <c r="S143" s="117"/>
      <c r="T143" s="117"/>
      <c r="U143" s="117"/>
      <c r="V143" s="123"/>
      <c r="W143" s="117"/>
      <c r="X143" s="118" t="s">
        <v>2025</v>
      </c>
      <c r="Y143" s="118"/>
      <c r="Z143" s="118" t="s">
        <v>2026</v>
      </c>
      <c r="AA143" s="118"/>
      <c r="AB143" s="117"/>
      <c r="AC143" s="117"/>
      <c r="AD143" s="117"/>
      <c r="AE143" s="117"/>
      <c r="AF143" s="117"/>
      <c r="AG143" s="117"/>
      <c r="AH143" s="117"/>
      <c r="AI143" s="117"/>
      <c r="AJ143" s="117"/>
    </row>
    <row r="144" spans="1:36" ht="24.75" customHeight="1">
      <c r="A144" s="116"/>
      <c r="B144" s="117" t="s">
        <v>1471</v>
      </c>
      <c r="C144" s="117"/>
      <c r="D144" s="117"/>
      <c r="E144" s="117" t="s">
        <v>1241</v>
      </c>
      <c r="F144" s="118" t="s">
        <v>2027</v>
      </c>
      <c r="G144" s="118"/>
      <c r="H144" s="117" t="s">
        <v>1252</v>
      </c>
      <c r="I144" s="117" t="s">
        <v>1252</v>
      </c>
      <c r="J144" s="117"/>
      <c r="K144" s="123"/>
      <c r="L144" s="117" t="s">
        <v>2028</v>
      </c>
      <c r="M144" s="123"/>
      <c r="N144" s="117" t="s">
        <v>2029</v>
      </c>
      <c r="O144" s="118" t="s">
        <v>2030</v>
      </c>
      <c r="P144" s="118" t="s">
        <v>2031</v>
      </c>
      <c r="Q144" s="117"/>
      <c r="R144" s="117"/>
      <c r="S144" s="117"/>
      <c r="T144" s="117"/>
      <c r="U144" s="117"/>
      <c r="V144" s="123"/>
      <c r="W144" s="117"/>
      <c r="X144" s="118" t="s">
        <v>2032</v>
      </c>
      <c r="Y144" s="118"/>
      <c r="Z144" s="118" t="s">
        <v>2033</v>
      </c>
      <c r="AA144" s="118"/>
      <c r="AB144" s="117"/>
      <c r="AC144" s="117"/>
      <c r="AD144" s="117"/>
      <c r="AE144" s="117"/>
      <c r="AF144" s="117"/>
      <c r="AG144" s="117"/>
      <c r="AH144" s="117"/>
      <c r="AI144" s="117"/>
      <c r="AJ144" s="117"/>
    </row>
    <row r="145" spans="1:36" ht="24.75" customHeight="1">
      <c r="A145" s="116"/>
      <c r="B145" s="117" t="s">
        <v>1471</v>
      </c>
      <c r="C145" s="117"/>
      <c r="D145" s="117"/>
      <c r="E145" s="117" t="s">
        <v>1241</v>
      </c>
      <c r="F145" s="118" t="s">
        <v>2034</v>
      </c>
      <c r="G145" s="118"/>
      <c r="H145" s="117" t="s">
        <v>1252</v>
      </c>
      <c r="I145" s="117" t="s">
        <v>1252</v>
      </c>
      <c r="J145" s="117"/>
      <c r="K145" s="123"/>
      <c r="L145" s="117" t="s">
        <v>273</v>
      </c>
      <c r="M145" s="123"/>
      <c r="N145" s="117" t="s">
        <v>2035</v>
      </c>
      <c r="O145" s="118" t="s">
        <v>2036</v>
      </c>
      <c r="P145" s="118" t="s">
        <v>2037</v>
      </c>
      <c r="Q145" s="117"/>
      <c r="R145" s="117"/>
      <c r="S145" s="117"/>
      <c r="T145" s="117"/>
      <c r="U145" s="117"/>
      <c r="V145" s="123"/>
      <c r="W145" s="117"/>
      <c r="X145" s="118" t="s">
        <v>2038</v>
      </c>
      <c r="Y145" s="118"/>
      <c r="Z145" s="118" t="s">
        <v>2039</v>
      </c>
      <c r="AA145" s="118"/>
      <c r="AB145" s="117"/>
      <c r="AC145" s="117"/>
      <c r="AD145" s="117"/>
      <c r="AE145" s="117"/>
      <c r="AF145" s="117"/>
      <c r="AG145" s="117"/>
      <c r="AH145" s="117"/>
      <c r="AI145" s="117"/>
      <c r="AJ145" s="117"/>
    </row>
    <row r="146" spans="1:36" ht="24.75" customHeight="1">
      <c r="A146" s="116"/>
      <c r="B146" s="117" t="s">
        <v>1471</v>
      </c>
      <c r="C146" s="117"/>
      <c r="D146" s="117"/>
      <c r="E146" s="117" t="s">
        <v>1241</v>
      </c>
      <c r="F146" s="118" t="s">
        <v>2040</v>
      </c>
      <c r="G146" s="118"/>
      <c r="H146" s="117" t="s">
        <v>1252</v>
      </c>
      <c r="I146" s="117" t="s">
        <v>1252</v>
      </c>
      <c r="J146" s="117"/>
      <c r="K146" s="123"/>
      <c r="L146" s="117" t="s">
        <v>273</v>
      </c>
      <c r="M146" s="123"/>
      <c r="N146" s="117" t="s">
        <v>1263</v>
      </c>
      <c r="O146" s="118" t="s">
        <v>2041</v>
      </c>
      <c r="P146" s="118" t="s">
        <v>1289</v>
      </c>
      <c r="Q146" s="117"/>
      <c r="R146" s="117"/>
      <c r="S146" s="117"/>
      <c r="T146" s="117"/>
      <c r="U146" s="117"/>
      <c r="V146" s="123"/>
      <c r="W146" s="117"/>
      <c r="X146" s="118" t="s">
        <v>2042</v>
      </c>
      <c r="Y146" s="118"/>
      <c r="Z146" s="118" t="s">
        <v>2043</v>
      </c>
      <c r="AA146" s="118"/>
      <c r="AB146" s="117"/>
      <c r="AC146" s="117"/>
      <c r="AD146" s="117"/>
      <c r="AE146" s="117"/>
      <c r="AF146" s="117"/>
      <c r="AG146" s="117"/>
      <c r="AH146" s="117"/>
      <c r="AI146" s="117"/>
      <c r="AJ146" s="117"/>
    </row>
    <row r="147" spans="1:36" ht="24.75" customHeight="1">
      <c r="A147" s="116"/>
      <c r="B147" s="117" t="s">
        <v>1471</v>
      </c>
      <c r="C147" s="117"/>
      <c r="D147" s="117"/>
      <c r="E147" s="117"/>
      <c r="F147" s="118" t="s">
        <v>2044</v>
      </c>
      <c r="G147" s="118"/>
      <c r="H147" s="117" t="s">
        <v>1252</v>
      </c>
      <c r="I147" s="117" t="s">
        <v>1252</v>
      </c>
      <c r="J147" s="117"/>
      <c r="K147" s="123"/>
      <c r="L147" s="117" t="s">
        <v>273</v>
      </c>
      <c r="M147" s="123"/>
      <c r="N147" s="117" t="s">
        <v>1263</v>
      </c>
      <c r="O147" s="118" t="s">
        <v>2045</v>
      </c>
      <c r="P147" s="118" t="s">
        <v>2046</v>
      </c>
      <c r="Q147" s="117"/>
      <c r="R147" s="117"/>
      <c r="S147" s="117"/>
      <c r="T147" s="117"/>
      <c r="U147" s="117"/>
      <c r="V147" s="123"/>
      <c r="W147" s="117"/>
      <c r="X147" s="118" t="s">
        <v>2047</v>
      </c>
      <c r="Y147" s="118"/>
      <c r="Z147" s="118" t="s">
        <v>2048</v>
      </c>
      <c r="AA147" s="118"/>
      <c r="AB147" s="117"/>
      <c r="AC147" s="117"/>
      <c r="AD147" s="117"/>
      <c r="AE147" s="117"/>
      <c r="AF147" s="117"/>
      <c r="AG147" s="117"/>
      <c r="AH147" s="117"/>
      <c r="AI147" s="117"/>
      <c r="AJ147" s="117"/>
    </row>
    <row r="148" spans="1:36" ht="24.75" customHeight="1">
      <c r="A148" s="116"/>
      <c r="B148" s="117" t="s">
        <v>1471</v>
      </c>
      <c r="C148" s="117"/>
      <c r="D148" s="117"/>
      <c r="E148" s="117" t="s">
        <v>235</v>
      </c>
      <c r="F148" s="118" t="s">
        <v>268</v>
      </c>
      <c r="G148" s="118"/>
      <c r="H148" s="117" t="s">
        <v>295</v>
      </c>
      <c r="I148" s="117" t="s">
        <v>295</v>
      </c>
      <c r="J148" s="117"/>
      <c r="K148" s="123"/>
      <c r="L148" s="117" t="s">
        <v>267</v>
      </c>
      <c r="M148" s="123"/>
      <c r="N148" s="117" t="s">
        <v>235</v>
      </c>
      <c r="O148" s="118" t="s">
        <v>2049</v>
      </c>
      <c r="P148" s="118" t="s">
        <v>2050</v>
      </c>
      <c r="Q148" s="117"/>
      <c r="R148" s="117"/>
      <c r="S148" s="117"/>
      <c r="T148" s="117"/>
      <c r="U148" s="117"/>
      <c r="V148" s="123"/>
      <c r="W148" s="117"/>
      <c r="X148" s="118" t="s">
        <v>2051</v>
      </c>
      <c r="Y148" s="118"/>
      <c r="Z148" s="118" t="s">
        <v>2052</v>
      </c>
      <c r="AA148" s="118"/>
      <c r="AB148" s="117"/>
      <c r="AC148" s="117"/>
      <c r="AD148" s="117"/>
      <c r="AE148" s="117"/>
      <c r="AF148" s="117"/>
      <c r="AG148" s="117"/>
      <c r="AH148" s="117"/>
      <c r="AI148" s="117"/>
      <c r="AJ148" s="117"/>
    </row>
    <row r="149" spans="1:36" ht="24.75" customHeight="1">
      <c r="A149" s="116"/>
      <c r="B149" s="117" t="s">
        <v>1471</v>
      </c>
      <c r="C149" s="117"/>
      <c r="D149" s="117"/>
      <c r="E149" s="117" t="s">
        <v>1241</v>
      </c>
      <c r="F149" s="118" t="s">
        <v>2053</v>
      </c>
      <c r="G149" s="118"/>
      <c r="H149" s="117" t="s">
        <v>292</v>
      </c>
      <c r="I149" s="117"/>
      <c r="J149" s="117" t="s">
        <v>316</v>
      </c>
      <c r="K149" s="123" t="s">
        <v>1243</v>
      </c>
      <c r="L149" s="117" t="s">
        <v>316</v>
      </c>
      <c r="M149" s="123" t="s">
        <v>1411</v>
      </c>
      <c r="N149" s="117" t="s">
        <v>1245</v>
      </c>
      <c r="O149" s="118"/>
      <c r="P149" s="118"/>
      <c r="Q149" s="117"/>
      <c r="R149" s="117"/>
      <c r="S149" s="117"/>
      <c r="T149" s="117"/>
      <c r="U149" s="117"/>
      <c r="V149" s="123" t="s">
        <v>2054</v>
      </c>
      <c r="W149" s="117"/>
      <c r="X149" s="118" t="s">
        <v>2055</v>
      </c>
      <c r="Y149" s="118"/>
      <c r="Z149" s="118" t="s">
        <v>2056</v>
      </c>
      <c r="AA149" s="118"/>
      <c r="AB149" s="117"/>
      <c r="AC149" s="117"/>
      <c r="AD149" s="117"/>
      <c r="AE149" s="117"/>
      <c r="AF149" s="117"/>
      <c r="AG149" s="117"/>
      <c r="AH149" s="117"/>
      <c r="AI149" s="117"/>
      <c r="AJ149" s="117"/>
    </row>
    <row r="150" spans="1:36" ht="24.75" customHeight="1">
      <c r="A150" s="116"/>
      <c r="B150" s="117" t="s">
        <v>1471</v>
      </c>
      <c r="C150" s="117"/>
      <c r="D150" s="117"/>
      <c r="E150" s="117" t="s">
        <v>1241</v>
      </c>
      <c r="F150" s="118" t="s">
        <v>2057</v>
      </c>
      <c r="G150" s="118"/>
      <c r="H150" s="117" t="s">
        <v>292</v>
      </c>
      <c r="I150" s="117"/>
      <c r="J150" s="117" t="s">
        <v>316</v>
      </c>
      <c r="K150" s="123" t="s">
        <v>1243</v>
      </c>
      <c r="L150" s="117" t="s">
        <v>316</v>
      </c>
      <c r="M150" s="123" t="s">
        <v>1411</v>
      </c>
      <c r="N150" s="117" t="s">
        <v>1245</v>
      </c>
      <c r="O150" s="118"/>
      <c r="P150" s="118"/>
      <c r="Q150" s="117"/>
      <c r="R150" s="117"/>
      <c r="S150" s="117"/>
      <c r="T150" s="117"/>
      <c r="U150" s="117"/>
      <c r="V150" s="123"/>
      <c r="W150" s="117"/>
      <c r="X150" s="118" t="s">
        <v>2058</v>
      </c>
      <c r="Y150" s="118"/>
      <c r="Z150" s="118" t="s">
        <v>2059</v>
      </c>
      <c r="AA150" s="118"/>
      <c r="AB150" s="117"/>
      <c r="AC150" s="117"/>
      <c r="AD150" s="117"/>
      <c r="AE150" s="117"/>
      <c r="AF150" s="117"/>
      <c r="AG150" s="117"/>
      <c r="AH150" s="117"/>
      <c r="AI150" s="117"/>
      <c r="AJ150" s="117"/>
    </row>
    <row r="151" spans="1:36" ht="24.75" customHeight="1">
      <c r="A151" s="116"/>
      <c r="B151" s="117" t="s">
        <v>1471</v>
      </c>
      <c r="C151" s="117"/>
      <c r="D151" s="117"/>
      <c r="E151" s="117" t="s">
        <v>1241</v>
      </c>
      <c r="F151" s="118" t="s">
        <v>2060</v>
      </c>
      <c r="G151" s="118"/>
      <c r="H151" s="117" t="s">
        <v>422</v>
      </c>
      <c r="I151" s="117" t="s">
        <v>1252</v>
      </c>
      <c r="J151" s="117"/>
      <c r="K151" s="123"/>
      <c r="L151" s="117" t="s">
        <v>279</v>
      </c>
      <c r="M151" s="123"/>
      <c r="N151" s="117"/>
      <c r="O151" s="118" t="s">
        <v>2061</v>
      </c>
      <c r="P151" s="118" t="s">
        <v>2062</v>
      </c>
      <c r="Q151" s="117"/>
      <c r="R151" s="117"/>
      <c r="S151" s="117"/>
      <c r="T151" s="117"/>
      <c r="U151" s="117"/>
      <c r="V151" s="123" t="s">
        <v>2063</v>
      </c>
      <c r="W151" s="117"/>
      <c r="X151" s="118" t="s">
        <v>2064</v>
      </c>
      <c r="Y151" s="118"/>
      <c r="Z151" s="118" t="s">
        <v>2065</v>
      </c>
      <c r="AA151" s="118" t="s">
        <v>2066</v>
      </c>
      <c r="AB151" s="117"/>
      <c r="AC151" s="117"/>
      <c r="AD151" s="117"/>
      <c r="AE151" s="117"/>
      <c r="AF151" s="117"/>
      <c r="AG151" s="117"/>
      <c r="AH151" s="117"/>
      <c r="AI151" s="117"/>
      <c r="AJ151" s="117"/>
    </row>
    <row r="152" spans="1:36" ht="24.75" customHeight="1">
      <c r="A152" s="116"/>
      <c r="B152" s="117" t="s">
        <v>1471</v>
      </c>
      <c r="C152" s="117"/>
      <c r="D152" s="117"/>
      <c r="E152" s="117" t="s">
        <v>1241</v>
      </c>
      <c r="F152" s="118" t="s">
        <v>2067</v>
      </c>
      <c r="G152" s="118"/>
      <c r="H152" s="117" t="s">
        <v>422</v>
      </c>
      <c r="I152" s="117" t="s">
        <v>1252</v>
      </c>
      <c r="J152" s="117"/>
      <c r="K152" s="123"/>
      <c r="L152" s="117" t="s">
        <v>279</v>
      </c>
      <c r="M152" s="123"/>
      <c r="N152" s="117"/>
      <c r="O152" s="118" t="s">
        <v>2068</v>
      </c>
      <c r="P152" s="118" t="s">
        <v>2003</v>
      </c>
      <c r="Q152" s="117"/>
      <c r="R152" s="117"/>
      <c r="S152" s="117"/>
      <c r="T152" s="117"/>
      <c r="U152" s="117"/>
      <c r="V152" s="123">
        <v>90228027</v>
      </c>
      <c r="W152" s="117"/>
      <c r="X152" s="118" t="s">
        <v>2069</v>
      </c>
      <c r="Y152" s="118"/>
      <c r="Z152" s="118" t="s">
        <v>2070</v>
      </c>
      <c r="AA152" s="118" t="s">
        <v>2071</v>
      </c>
      <c r="AB152" s="117"/>
      <c r="AC152" s="117"/>
      <c r="AD152" s="117"/>
      <c r="AE152" s="117"/>
      <c r="AF152" s="117"/>
      <c r="AG152" s="117"/>
      <c r="AH152" s="117"/>
      <c r="AI152" s="117"/>
      <c r="AJ152" s="117"/>
    </row>
    <row r="153" spans="1:36" ht="24.75" customHeight="1">
      <c r="A153" s="116"/>
      <c r="B153" s="117" t="s">
        <v>1471</v>
      </c>
      <c r="C153" s="117"/>
      <c r="D153" s="117"/>
      <c r="E153" s="117" t="s">
        <v>1241</v>
      </c>
      <c r="F153" s="118" t="s">
        <v>2072</v>
      </c>
      <c r="G153" s="118"/>
      <c r="H153" s="117" t="s">
        <v>422</v>
      </c>
      <c r="I153" s="117" t="s">
        <v>1252</v>
      </c>
      <c r="J153" s="117"/>
      <c r="K153" s="123"/>
      <c r="L153" s="117" t="s">
        <v>279</v>
      </c>
      <c r="M153" s="123"/>
      <c r="N153" s="117"/>
      <c r="O153" s="118" t="s">
        <v>2073</v>
      </c>
      <c r="P153" s="118" t="s">
        <v>2003</v>
      </c>
      <c r="Q153" s="117"/>
      <c r="R153" s="117"/>
      <c r="S153" s="117"/>
      <c r="T153" s="117"/>
      <c r="U153" s="117"/>
      <c r="V153" s="123">
        <v>98988975</v>
      </c>
      <c r="W153" s="117"/>
      <c r="X153" s="118" t="s">
        <v>2074</v>
      </c>
      <c r="Y153" s="118"/>
      <c r="Z153" s="118" t="s">
        <v>2075</v>
      </c>
      <c r="AA153" s="118" t="s">
        <v>2076</v>
      </c>
      <c r="AB153" s="117"/>
      <c r="AC153" s="117"/>
      <c r="AD153" s="117"/>
      <c r="AE153" s="117"/>
      <c r="AF153" s="117"/>
      <c r="AG153" s="117"/>
      <c r="AH153" s="117"/>
      <c r="AI153" s="117"/>
      <c r="AJ153" s="117"/>
    </row>
    <row r="154" spans="1:36" ht="24.75" customHeight="1">
      <c r="A154" s="116"/>
      <c r="B154" s="117" t="s">
        <v>1471</v>
      </c>
      <c r="C154" s="117"/>
      <c r="D154" s="117"/>
      <c r="E154" s="117" t="s">
        <v>1241</v>
      </c>
      <c r="F154" s="118" t="s">
        <v>2077</v>
      </c>
      <c r="G154" s="118"/>
      <c r="H154" s="117" t="s">
        <v>422</v>
      </c>
      <c r="I154" s="117" t="s">
        <v>1252</v>
      </c>
      <c r="J154" s="117"/>
      <c r="K154" s="123"/>
      <c r="L154" s="117" t="s">
        <v>279</v>
      </c>
      <c r="M154" s="123"/>
      <c r="N154" s="117"/>
      <c r="O154" s="118" t="s">
        <v>2078</v>
      </c>
      <c r="P154" s="118" t="s">
        <v>1921</v>
      </c>
      <c r="Q154" s="117"/>
      <c r="R154" s="117"/>
      <c r="S154" s="117"/>
      <c r="T154" s="117"/>
      <c r="U154" s="117"/>
      <c r="V154" s="123">
        <v>97561783</v>
      </c>
      <c r="W154" s="117"/>
      <c r="X154" s="118" t="s">
        <v>2079</v>
      </c>
      <c r="Y154" s="118"/>
      <c r="Z154" s="118" t="s">
        <v>2080</v>
      </c>
      <c r="AA154" s="118" t="s">
        <v>2081</v>
      </c>
      <c r="AB154" s="117"/>
      <c r="AC154" s="117"/>
      <c r="AD154" s="117"/>
      <c r="AE154" s="117"/>
      <c r="AF154" s="117"/>
      <c r="AG154" s="117"/>
      <c r="AH154" s="117"/>
      <c r="AI154" s="117"/>
      <c r="AJ154" s="117"/>
    </row>
    <row r="155" spans="1:36" ht="24.75" customHeight="1">
      <c r="A155" s="116"/>
      <c r="B155" s="117" t="s">
        <v>1471</v>
      </c>
      <c r="C155" s="117"/>
      <c r="D155" s="117"/>
      <c r="E155" s="117" t="s">
        <v>1241</v>
      </c>
      <c r="F155" s="118" t="s">
        <v>2082</v>
      </c>
      <c r="G155" s="118"/>
      <c r="H155" s="117" t="s">
        <v>422</v>
      </c>
      <c r="I155" s="117" t="s">
        <v>1252</v>
      </c>
      <c r="J155" s="117"/>
      <c r="K155" s="123"/>
      <c r="L155" s="117" t="s">
        <v>279</v>
      </c>
      <c r="M155" s="123"/>
      <c r="N155" s="117"/>
      <c r="O155" s="118"/>
      <c r="P155" s="118"/>
      <c r="Q155" s="117"/>
      <c r="R155" s="117"/>
      <c r="S155" s="117"/>
      <c r="T155" s="117"/>
      <c r="U155" s="117"/>
      <c r="V155" s="123"/>
      <c r="W155" s="117"/>
      <c r="X155" s="118"/>
      <c r="Y155" s="118"/>
      <c r="Z155" s="118"/>
      <c r="AA155" s="118"/>
      <c r="AB155" s="117"/>
      <c r="AC155" s="117"/>
      <c r="AD155" s="117"/>
      <c r="AE155" s="117"/>
      <c r="AF155" s="117"/>
      <c r="AG155" s="117"/>
      <c r="AH155" s="117"/>
      <c r="AI155" s="117"/>
      <c r="AJ155" s="117"/>
    </row>
    <row r="156" spans="1:36" ht="24.75" customHeight="1">
      <c r="A156" s="116"/>
      <c r="B156" s="117" t="s">
        <v>1471</v>
      </c>
      <c r="C156" s="117"/>
      <c r="D156" s="117"/>
      <c r="E156" s="117" t="s">
        <v>1241</v>
      </c>
      <c r="F156" s="118" t="s">
        <v>2083</v>
      </c>
      <c r="G156" s="118"/>
      <c r="H156" s="117" t="s">
        <v>422</v>
      </c>
      <c r="I156" s="117" t="s">
        <v>1252</v>
      </c>
      <c r="J156" s="117"/>
      <c r="K156" s="123"/>
      <c r="L156" s="117" t="s">
        <v>279</v>
      </c>
      <c r="M156" s="123"/>
      <c r="N156" s="117"/>
      <c r="O156" s="118" t="s">
        <v>2084</v>
      </c>
      <c r="P156" s="118" t="s">
        <v>2085</v>
      </c>
      <c r="Q156" s="117"/>
      <c r="R156" s="117"/>
      <c r="S156" s="117"/>
      <c r="T156" s="117"/>
      <c r="U156" s="117"/>
      <c r="V156" s="123" t="s">
        <v>2086</v>
      </c>
      <c r="W156" s="117"/>
      <c r="X156" s="118" t="s">
        <v>2087</v>
      </c>
      <c r="Y156" s="118"/>
      <c r="Z156" s="118" t="s">
        <v>2088</v>
      </c>
      <c r="AA156" s="118" t="s">
        <v>2089</v>
      </c>
      <c r="AB156" s="117"/>
      <c r="AC156" s="117"/>
      <c r="AD156" s="117"/>
      <c r="AE156" s="117"/>
      <c r="AF156" s="117"/>
      <c r="AG156" s="117"/>
      <c r="AH156" s="117"/>
      <c r="AI156" s="117"/>
      <c r="AJ156" s="117"/>
    </row>
    <row r="157" spans="1:36" ht="24.75" customHeight="1">
      <c r="A157" s="116"/>
      <c r="B157" s="117" t="s">
        <v>1471</v>
      </c>
      <c r="C157" s="117"/>
      <c r="D157" s="117"/>
      <c r="E157" s="117" t="s">
        <v>1241</v>
      </c>
      <c r="F157" s="118" t="s">
        <v>2090</v>
      </c>
      <c r="G157" s="118"/>
      <c r="H157" s="117" t="s">
        <v>422</v>
      </c>
      <c r="I157" s="117" t="s">
        <v>1252</v>
      </c>
      <c r="J157" s="117"/>
      <c r="K157" s="123"/>
      <c r="L157" s="117" t="s">
        <v>279</v>
      </c>
      <c r="M157" s="123"/>
      <c r="N157" s="117"/>
      <c r="O157" s="118" t="s">
        <v>2091</v>
      </c>
      <c r="P157" s="118" t="s">
        <v>2003</v>
      </c>
      <c r="Q157" s="117"/>
      <c r="R157" s="117"/>
      <c r="S157" s="117"/>
      <c r="T157" s="117"/>
      <c r="U157" s="117"/>
      <c r="V157" s="123" t="s">
        <v>2092</v>
      </c>
      <c r="W157" s="117"/>
      <c r="X157" s="118" t="s">
        <v>2093</v>
      </c>
      <c r="Y157" s="118"/>
      <c r="Z157" s="118" t="s">
        <v>2094</v>
      </c>
      <c r="AA157" s="118" t="s">
        <v>2095</v>
      </c>
      <c r="AB157" s="117"/>
      <c r="AC157" s="117"/>
      <c r="AD157" s="117"/>
      <c r="AE157" s="117"/>
      <c r="AF157" s="117"/>
      <c r="AG157" s="117"/>
      <c r="AH157" s="117"/>
      <c r="AI157" s="117"/>
      <c r="AJ157" s="117"/>
    </row>
    <row r="158" spans="1:36" ht="24.75" customHeight="1">
      <c r="A158" s="116"/>
      <c r="B158" s="117" t="s">
        <v>1471</v>
      </c>
      <c r="C158" s="117"/>
      <c r="D158" s="117"/>
      <c r="E158" s="117" t="s">
        <v>1241</v>
      </c>
      <c r="F158" s="118" t="s">
        <v>2096</v>
      </c>
      <c r="G158" s="118"/>
      <c r="H158" s="117" t="s">
        <v>422</v>
      </c>
      <c r="I158" s="117" t="s">
        <v>1252</v>
      </c>
      <c r="J158" s="117"/>
      <c r="K158" s="123"/>
      <c r="L158" s="117" t="s">
        <v>279</v>
      </c>
      <c r="M158" s="123"/>
      <c r="N158" s="117"/>
      <c r="O158" s="118"/>
      <c r="P158" s="118"/>
      <c r="Q158" s="117"/>
      <c r="R158" s="117"/>
      <c r="S158" s="117"/>
      <c r="T158" s="117"/>
      <c r="U158" s="117"/>
      <c r="V158" s="123"/>
      <c r="W158" s="117"/>
      <c r="X158" s="118"/>
      <c r="Y158" s="118"/>
      <c r="Z158" s="118"/>
      <c r="AA158" s="118"/>
      <c r="AB158" s="117"/>
      <c r="AC158" s="117"/>
      <c r="AD158" s="117"/>
      <c r="AE158" s="117"/>
      <c r="AF158" s="117"/>
      <c r="AG158" s="117"/>
      <c r="AH158" s="117"/>
      <c r="AI158" s="117"/>
      <c r="AJ158" s="117"/>
    </row>
    <row r="159" spans="1:36" ht="24.75" customHeight="1">
      <c r="A159" s="116"/>
      <c r="B159" s="117" t="s">
        <v>1471</v>
      </c>
      <c r="C159" s="117"/>
      <c r="D159" s="117"/>
      <c r="E159" s="117" t="s">
        <v>1241</v>
      </c>
      <c r="F159" s="118" t="s">
        <v>2097</v>
      </c>
      <c r="G159" s="118"/>
      <c r="H159" s="117" t="s">
        <v>422</v>
      </c>
      <c r="I159" s="117" t="s">
        <v>1252</v>
      </c>
      <c r="J159" s="117"/>
      <c r="K159" s="123"/>
      <c r="L159" s="117" t="s">
        <v>279</v>
      </c>
      <c r="M159" s="123"/>
      <c r="N159" s="117"/>
      <c r="O159" s="118"/>
      <c r="P159" s="118"/>
      <c r="Q159" s="117"/>
      <c r="R159" s="117"/>
      <c r="S159" s="117"/>
      <c r="T159" s="117"/>
      <c r="U159" s="117"/>
      <c r="V159" s="123"/>
      <c r="W159" s="117"/>
      <c r="X159" s="118"/>
      <c r="Y159" s="118"/>
      <c r="Z159" s="118"/>
      <c r="AA159" s="118"/>
      <c r="AB159" s="117"/>
      <c r="AC159" s="117"/>
      <c r="AD159" s="117"/>
      <c r="AE159" s="117"/>
      <c r="AF159" s="117"/>
      <c r="AG159" s="117"/>
      <c r="AH159" s="117"/>
      <c r="AI159" s="117"/>
      <c r="AJ159" s="117"/>
    </row>
    <row r="160" spans="1:36" ht="24.75" customHeight="1">
      <c r="A160" s="116"/>
      <c r="B160" s="117" t="s">
        <v>1471</v>
      </c>
      <c r="C160" s="117"/>
      <c r="D160" s="117"/>
      <c r="E160" s="117" t="s">
        <v>1241</v>
      </c>
      <c r="F160" s="118" t="s">
        <v>2098</v>
      </c>
      <c r="G160" s="118"/>
      <c r="H160" s="117" t="s">
        <v>422</v>
      </c>
      <c r="I160" s="117" t="s">
        <v>1252</v>
      </c>
      <c r="J160" s="117" t="s">
        <v>1946</v>
      </c>
      <c r="K160" s="123" t="s">
        <v>1695</v>
      </c>
      <c r="L160" s="117" t="s">
        <v>1946</v>
      </c>
      <c r="M160" s="123" t="s">
        <v>1947</v>
      </c>
      <c r="N160" s="117" t="s">
        <v>2099</v>
      </c>
      <c r="O160" s="118"/>
      <c r="P160" s="118"/>
      <c r="Q160" s="117"/>
      <c r="R160" s="117"/>
      <c r="S160" s="117"/>
      <c r="T160" s="117"/>
      <c r="U160" s="117"/>
      <c r="V160" s="123"/>
      <c r="W160" s="117"/>
      <c r="X160" s="118"/>
      <c r="Y160" s="118"/>
      <c r="Z160" s="118"/>
      <c r="AA160" s="118"/>
      <c r="AB160" s="117"/>
      <c r="AC160" s="117"/>
      <c r="AD160" s="117"/>
      <c r="AE160" s="117"/>
      <c r="AF160" s="117"/>
      <c r="AG160" s="117"/>
      <c r="AH160" s="117"/>
      <c r="AI160" s="117"/>
      <c r="AJ160" s="117"/>
    </row>
    <row r="161" spans="1:36" ht="24.75" customHeight="1">
      <c r="A161" s="116"/>
      <c r="B161" s="117" t="s">
        <v>1471</v>
      </c>
      <c r="C161" s="117"/>
      <c r="D161" s="117"/>
      <c r="E161" s="117" t="s">
        <v>1241</v>
      </c>
      <c r="F161" s="157" t="s">
        <v>2100</v>
      </c>
      <c r="G161" s="118" t="s">
        <v>2101</v>
      </c>
      <c r="H161" s="117" t="s">
        <v>422</v>
      </c>
      <c r="I161" s="117" t="s">
        <v>1252</v>
      </c>
      <c r="J161" s="117" t="s">
        <v>293</v>
      </c>
      <c r="K161" s="123" t="s">
        <v>1695</v>
      </c>
      <c r="L161" s="117" t="s">
        <v>293</v>
      </c>
      <c r="M161" s="123" t="s">
        <v>1385</v>
      </c>
      <c r="N161" s="117" t="s">
        <v>1245</v>
      </c>
      <c r="O161" s="118" t="s">
        <v>2102</v>
      </c>
      <c r="P161" s="118" t="s">
        <v>2103</v>
      </c>
      <c r="Q161" s="117"/>
      <c r="R161" s="117"/>
      <c r="S161" s="117"/>
      <c r="T161" s="117"/>
      <c r="U161" s="117"/>
      <c r="V161" s="123" t="s">
        <v>2104</v>
      </c>
      <c r="W161" s="117"/>
      <c r="X161" s="118" t="s">
        <v>2105</v>
      </c>
      <c r="Y161" s="118" t="s">
        <v>2106</v>
      </c>
      <c r="Z161" s="118" t="s">
        <v>2107</v>
      </c>
      <c r="AA161" s="118" t="s">
        <v>2108</v>
      </c>
      <c r="AB161" s="117"/>
      <c r="AC161" s="117"/>
      <c r="AD161" s="117"/>
      <c r="AE161" s="117"/>
      <c r="AF161" s="117"/>
      <c r="AG161" s="117"/>
      <c r="AH161" s="117"/>
      <c r="AI161" s="117"/>
      <c r="AJ161" s="117"/>
    </row>
    <row r="162" spans="1:36" ht="24.75" customHeight="1">
      <c r="A162" s="116"/>
      <c r="B162" s="117" t="s">
        <v>1471</v>
      </c>
      <c r="C162" s="117"/>
      <c r="D162" s="117"/>
      <c r="E162" s="117" t="s">
        <v>1241</v>
      </c>
      <c r="F162" s="118" t="s">
        <v>2109</v>
      </c>
      <c r="G162" s="118"/>
      <c r="H162" s="117" t="s">
        <v>1252</v>
      </c>
      <c r="I162" s="117" t="s">
        <v>1252</v>
      </c>
      <c r="J162" s="117" t="s">
        <v>308</v>
      </c>
      <c r="K162" s="123" t="s">
        <v>1695</v>
      </c>
      <c r="L162" s="117" t="s">
        <v>308</v>
      </c>
      <c r="M162" s="123"/>
      <c r="N162" s="117"/>
      <c r="O162" s="118"/>
      <c r="P162" s="118"/>
      <c r="Q162" s="117"/>
      <c r="R162" s="117"/>
      <c r="S162" s="117"/>
      <c r="T162" s="117"/>
      <c r="U162" s="117"/>
      <c r="V162" s="123"/>
      <c r="W162" s="117"/>
      <c r="X162" s="118"/>
      <c r="Y162" s="118"/>
      <c r="Z162" s="118"/>
      <c r="AA162" s="118"/>
      <c r="AB162" s="117"/>
      <c r="AC162" s="117"/>
      <c r="AD162" s="117"/>
      <c r="AE162" s="117"/>
      <c r="AF162" s="117"/>
      <c r="AG162" s="117"/>
      <c r="AH162" s="117"/>
      <c r="AI162" s="117"/>
      <c r="AJ162" s="117"/>
    </row>
    <row r="163" spans="1:36" ht="24.75" customHeight="1">
      <c r="A163" s="116"/>
      <c r="B163" s="117" t="s">
        <v>1471</v>
      </c>
      <c r="C163" s="117"/>
      <c r="D163" s="117"/>
      <c r="E163" s="131" t="s">
        <v>1241</v>
      </c>
      <c r="F163" s="118" t="s">
        <v>2110</v>
      </c>
      <c r="G163" s="118" t="s">
        <v>2110</v>
      </c>
      <c r="H163" s="117" t="s">
        <v>422</v>
      </c>
      <c r="I163" s="117" t="s">
        <v>1252</v>
      </c>
      <c r="J163" s="117" t="s">
        <v>1946</v>
      </c>
      <c r="K163" s="123" t="s">
        <v>1695</v>
      </c>
      <c r="L163" s="117" t="s">
        <v>1946</v>
      </c>
      <c r="M163" s="123"/>
      <c r="N163" s="117" t="s">
        <v>2111</v>
      </c>
      <c r="O163" s="118"/>
      <c r="P163" s="118"/>
      <c r="Q163" s="117"/>
      <c r="R163" s="117"/>
      <c r="S163" s="117"/>
      <c r="T163" s="117"/>
      <c r="U163" s="117"/>
      <c r="V163" s="123"/>
      <c r="W163" s="117"/>
      <c r="X163" s="128" t="s">
        <v>2112</v>
      </c>
      <c r="Y163" s="118"/>
      <c r="Z163" s="118" t="s">
        <v>2113</v>
      </c>
      <c r="AA163" s="118"/>
      <c r="AB163" s="117"/>
      <c r="AC163" s="117"/>
      <c r="AD163" s="117"/>
      <c r="AE163" s="117"/>
      <c r="AF163" s="117"/>
      <c r="AG163" s="117"/>
      <c r="AH163" s="117"/>
      <c r="AI163" s="117"/>
      <c r="AJ163" s="117"/>
    </row>
    <row r="164" spans="1:36" ht="24.75" customHeight="1">
      <c r="A164" s="116"/>
      <c r="B164" s="117" t="s">
        <v>1471</v>
      </c>
      <c r="C164" s="117"/>
      <c r="D164" s="117"/>
      <c r="E164" s="117" t="s">
        <v>1241</v>
      </c>
      <c r="F164" s="118" t="s">
        <v>2114</v>
      </c>
      <c r="G164" s="118"/>
      <c r="H164" s="117" t="s">
        <v>1252</v>
      </c>
      <c r="I164" s="117" t="s">
        <v>1252</v>
      </c>
      <c r="J164" s="117"/>
      <c r="K164" s="123"/>
      <c r="L164" s="117"/>
      <c r="M164" s="123"/>
      <c r="N164" s="117"/>
      <c r="O164" s="118" t="s">
        <v>2115</v>
      </c>
      <c r="P164" s="118" t="s">
        <v>2116</v>
      </c>
      <c r="Q164" s="117"/>
      <c r="R164" s="117"/>
      <c r="S164" s="117"/>
      <c r="T164" s="117"/>
      <c r="U164" s="117"/>
      <c r="V164" s="123"/>
      <c r="W164" s="117"/>
      <c r="X164" s="118" t="s">
        <v>2117</v>
      </c>
      <c r="Y164" s="118"/>
      <c r="Z164" s="118" t="s">
        <v>2118</v>
      </c>
      <c r="AA164" s="118"/>
      <c r="AB164" s="117"/>
      <c r="AC164" s="117"/>
      <c r="AD164" s="117"/>
      <c r="AE164" s="117"/>
      <c r="AF164" s="117"/>
      <c r="AG164" s="117"/>
      <c r="AH164" s="117"/>
      <c r="AI164" s="117"/>
      <c r="AJ164" s="117"/>
    </row>
    <row r="165" spans="1:36" ht="24.75" customHeight="1">
      <c r="A165" s="116"/>
      <c r="B165" s="117" t="s">
        <v>1471</v>
      </c>
      <c r="C165" s="117"/>
      <c r="D165" s="117"/>
      <c r="E165" s="131" t="s">
        <v>1241</v>
      </c>
      <c r="F165" s="118" t="s">
        <v>2119</v>
      </c>
      <c r="G165" s="118" t="s">
        <v>2119</v>
      </c>
      <c r="H165" s="117" t="s">
        <v>422</v>
      </c>
      <c r="I165" s="117" t="s">
        <v>1252</v>
      </c>
      <c r="J165" s="117" t="s">
        <v>1946</v>
      </c>
      <c r="K165" s="123" t="s">
        <v>1695</v>
      </c>
      <c r="L165" s="117" t="s">
        <v>1946</v>
      </c>
      <c r="M165" s="123" t="s">
        <v>2120</v>
      </c>
      <c r="N165" s="117" t="s">
        <v>2121</v>
      </c>
      <c r="O165" s="118" t="s">
        <v>2122</v>
      </c>
      <c r="P165" s="118" t="s">
        <v>1289</v>
      </c>
      <c r="Q165" s="117"/>
      <c r="R165" s="117"/>
      <c r="S165" s="117"/>
      <c r="T165" s="117"/>
      <c r="U165" s="117"/>
      <c r="V165" s="123"/>
      <c r="W165" s="117"/>
      <c r="X165" s="118" t="s">
        <v>2123</v>
      </c>
      <c r="Y165" s="118"/>
      <c r="Z165" s="118" t="s">
        <v>2124</v>
      </c>
      <c r="AA165" s="118"/>
      <c r="AB165" s="117"/>
      <c r="AC165" s="117"/>
      <c r="AD165" s="117"/>
      <c r="AE165" s="117"/>
      <c r="AF165" s="117"/>
      <c r="AG165" s="117"/>
      <c r="AH165" s="117"/>
      <c r="AI165" s="117"/>
      <c r="AJ165" s="117"/>
    </row>
    <row r="166" spans="1:36" ht="24.75" customHeight="1">
      <c r="A166" s="116"/>
      <c r="B166" s="117" t="s">
        <v>1471</v>
      </c>
      <c r="C166" s="117"/>
      <c r="D166" s="117"/>
      <c r="E166" s="131" t="s">
        <v>1241</v>
      </c>
      <c r="F166" s="118" t="s">
        <v>2125</v>
      </c>
      <c r="G166" s="118" t="s">
        <v>2125</v>
      </c>
      <c r="H166" s="117" t="s">
        <v>422</v>
      </c>
      <c r="I166" s="117" t="s">
        <v>1252</v>
      </c>
      <c r="J166" s="117" t="s">
        <v>2126</v>
      </c>
      <c r="K166" s="123" t="s">
        <v>1833</v>
      </c>
      <c r="L166" s="117" t="s">
        <v>299</v>
      </c>
      <c r="M166" s="123" t="s">
        <v>1801</v>
      </c>
      <c r="N166" s="117" t="s">
        <v>2127</v>
      </c>
      <c r="O166" s="118" t="s">
        <v>2128</v>
      </c>
      <c r="P166" s="118" t="s">
        <v>2129</v>
      </c>
      <c r="Q166" s="117"/>
      <c r="R166" s="117"/>
      <c r="S166" s="117"/>
      <c r="T166" s="117"/>
      <c r="U166" s="117"/>
      <c r="V166" s="123"/>
      <c r="W166" s="117"/>
      <c r="X166" s="118" t="s">
        <v>2130</v>
      </c>
      <c r="Y166" s="118"/>
      <c r="Z166" s="118" t="s">
        <v>2131</v>
      </c>
      <c r="AA166" s="118"/>
      <c r="AB166" s="117"/>
      <c r="AC166" s="117"/>
      <c r="AD166" s="117"/>
      <c r="AE166" s="117"/>
      <c r="AF166" s="117"/>
      <c r="AG166" s="117"/>
      <c r="AH166" s="117"/>
      <c r="AI166" s="117"/>
      <c r="AJ166" s="117"/>
    </row>
    <row r="167" spans="1:36" ht="24.75" customHeight="1">
      <c r="A167" s="116"/>
      <c r="B167" s="117" t="s">
        <v>1471</v>
      </c>
      <c r="C167" s="117"/>
      <c r="D167" s="117"/>
      <c r="E167" s="131" t="s">
        <v>1241</v>
      </c>
      <c r="F167" s="118" t="s">
        <v>2132</v>
      </c>
      <c r="G167" s="118" t="s">
        <v>2132</v>
      </c>
      <c r="H167" s="117" t="s">
        <v>422</v>
      </c>
      <c r="I167" s="117" t="s">
        <v>1252</v>
      </c>
      <c r="J167" s="117" t="s">
        <v>293</v>
      </c>
      <c r="K167" s="123" t="s">
        <v>1695</v>
      </c>
      <c r="L167" s="117" t="s">
        <v>293</v>
      </c>
      <c r="M167" s="123" t="s">
        <v>2133</v>
      </c>
      <c r="N167" s="117" t="s">
        <v>2134</v>
      </c>
      <c r="O167" s="118" t="s">
        <v>2135</v>
      </c>
      <c r="P167" s="118" t="s">
        <v>2136</v>
      </c>
      <c r="Q167" s="117"/>
      <c r="R167" s="117"/>
      <c r="S167" s="117"/>
      <c r="T167" s="117"/>
      <c r="U167" s="117"/>
      <c r="V167" s="123"/>
      <c r="W167" s="117"/>
      <c r="X167" s="118" t="s">
        <v>2137</v>
      </c>
      <c r="Y167" s="118"/>
      <c r="Z167" s="118" t="s">
        <v>2138</v>
      </c>
      <c r="AA167" s="118"/>
      <c r="AB167" s="117"/>
      <c r="AC167" s="117"/>
      <c r="AD167" s="117"/>
      <c r="AE167" s="117"/>
      <c r="AF167" s="117"/>
      <c r="AG167" s="117"/>
      <c r="AH167" s="117"/>
      <c r="AI167" s="117"/>
      <c r="AJ167" s="117"/>
    </row>
    <row r="168" spans="1:36" ht="24.75" customHeight="1">
      <c r="A168" s="116"/>
      <c r="B168" s="117" t="s">
        <v>1471</v>
      </c>
      <c r="C168" s="117"/>
      <c r="D168" s="117"/>
      <c r="E168" s="131" t="s">
        <v>1241</v>
      </c>
      <c r="F168" s="118" t="s">
        <v>2139</v>
      </c>
      <c r="G168" s="118"/>
      <c r="H168" s="117" t="s">
        <v>422</v>
      </c>
      <c r="I168" s="117" t="s">
        <v>1252</v>
      </c>
      <c r="J168" s="117" t="s">
        <v>1946</v>
      </c>
      <c r="K168" s="123" t="s">
        <v>1695</v>
      </c>
      <c r="L168" s="117" t="s">
        <v>1946</v>
      </c>
      <c r="M168" s="123" t="s">
        <v>2140</v>
      </c>
      <c r="N168" s="117" t="s">
        <v>2141</v>
      </c>
      <c r="O168" s="118" t="s">
        <v>2142</v>
      </c>
      <c r="P168" s="118" t="s">
        <v>1517</v>
      </c>
      <c r="Q168" s="117"/>
      <c r="R168" s="117"/>
      <c r="S168" s="117"/>
      <c r="T168" s="117"/>
      <c r="U168" s="117"/>
      <c r="V168" s="123"/>
      <c r="W168" s="117"/>
      <c r="X168" s="118" t="s">
        <v>2143</v>
      </c>
      <c r="Y168" s="118"/>
      <c r="Z168" s="118" t="s">
        <v>2144</v>
      </c>
      <c r="AA168" s="118"/>
      <c r="AB168" s="117"/>
      <c r="AC168" s="117"/>
      <c r="AD168" s="117"/>
      <c r="AE168" s="117"/>
      <c r="AF168" s="117"/>
      <c r="AG168" s="117"/>
      <c r="AH168" s="117"/>
      <c r="AI168" s="117"/>
      <c r="AJ168" s="117"/>
    </row>
    <row r="169" spans="1:36" ht="24.75" customHeight="1">
      <c r="A169" s="116"/>
      <c r="B169" s="117" t="s">
        <v>1471</v>
      </c>
      <c r="C169" s="117"/>
      <c r="D169" s="117"/>
      <c r="E169" s="131" t="s">
        <v>1241</v>
      </c>
      <c r="F169" s="118" t="s">
        <v>2145</v>
      </c>
      <c r="G169" s="118" t="s">
        <v>2146</v>
      </c>
      <c r="H169" s="117" t="s">
        <v>422</v>
      </c>
      <c r="I169" s="117" t="s">
        <v>1252</v>
      </c>
      <c r="J169" s="117" t="s">
        <v>308</v>
      </c>
      <c r="K169" s="123" t="s">
        <v>2147</v>
      </c>
      <c r="L169" s="117" t="s">
        <v>308</v>
      </c>
      <c r="M169" s="123" t="s">
        <v>2148</v>
      </c>
      <c r="N169" s="117" t="s">
        <v>2149</v>
      </c>
      <c r="O169" s="118" t="s">
        <v>2150</v>
      </c>
      <c r="P169" s="118" t="s">
        <v>2013</v>
      </c>
      <c r="Q169" s="117"/>
      <c r="R169" s="117"/>
      <c r="S169" s="117"/>
      <c r="T169" s="117"/>
      <c r="U169" s="117"/>
      <c r="V169" s="123"/>
      <c r="W169" s="117"/>
      <c r="X169" s="118" t="s">
        <v>2151</v>
      </c>
      <c r="Y169" s="118"/>
      <c r="Z169" s="118" t="s">
        <v>2152</v>
      </c>
      <c r="AA169" s="118"/>
      <c r="AB169" s="117"/>
      <c r="AC169" s="117"/>
      <c r="AD169" s="117"/>
      <c r="AE169" s="117"/>
      <c r="AF169" s="117"/>
      <c r="AG169" s="117"/>
      <c r="AH169" s="117"/>
      <c r="AI169" s="117"/>
      <c r="AJ169" s="117"/>
    </row>
    <row r="170" spans="1:36" ht="24.75" customHeight="1">
      <c r="A170" s="116"/>
      <c r="B170" s="117" t="s">
        <v>1471</v>
      </c>
      <c r="C170" s="117"/>
      <c r="D170" s="117"/>
      <c r="E170" s="117" t="s">
        <v>1241</v>
      </c>
      <c r="F170" s="118" t="s">
        <v>2153</v>
      </c>
      <c r="G170" s="118"/>
      <c r="H170" s="117" t="s">
        <v>1252</v>
      </c>
      <c r="I170" s="117" t="s">
        <v>1252</v>
      </c>
      <c r="J170" s="117" t="s">
        <v>2154</v>
      </c>
      <c r="K170" s="123"/>
      <c r="L170" s="117"/>
      <c r="M170" s="123"/>
      <c r="N170" s="117" t="s">
        <v>2155</v>
      </c>
      <c r="O170" s="118" t="s">
        <v>2156</v>
      </c>
      <c r="P170" s="118" t="s">
        <v>2157</v>
      </c>
      <c r="Q170" s="117"/>
      <c r="R170" s="117"/>
      <c r="S170" s="117"/>
      <c r="T170" s="117"/>
      <c r="U170" s="117"/>
      <c r="V170" s="123"/>
      <c r="W170" s="117"/>
      <c r="X170" s="118" t="s">
        <v>2158</v>
      </c>
      <c r="Y170" s="118"/>
      <c r="Z170" s="118" t="s">
        <v>2159</v>
      </c>
      <c r="AA170" s="118"/>
      <c r="AB170" s="117"/>
      <c r="AC170" s="117"/>
      <c r="AD170" s="117"/>
      <c r="AE170" s="117"/>
      <c r="AF170" s="117"/>
      <c r="AG170" s="117"/>
      <c r="AH170" s="117"/>
      <c r="AI170" s="117"/>
      <c r="AJ170" s="117"/>
    </row>
    <row r="171" spans="1:36" ht="24.75" customHeight="1">
      <c r="A171" s="116"/>
      <c r="B171" s="117" t="s">
        <v>1471</v>
      </c>
      <c r="C171" s="117"/>
      <c r="D171" s="117"/>
      <c r="E171" s="117" t="s">
        <v>1241</v>
      </c>
      <c r="F171" s="118" t="s">
        <v>2160</v>
      </c>
      <c r="G171" s="118"/>
      <c r="H171" s="117" t="s">
        <v>1252</v>
      </c>
      <c r="I171" s="117" t="s">
        <v>1252</v>
      </c>
      <c r="J171" s="117"/>
      <c r="K171" s="123"/>
      <c r="L171" s="117"/>
      <c r="M171" s="123"/>
      <c r="N171" s="123" t="s">
        <v>2161</v>
      </c>
      <c r="O171" s="118" t="s">
        <v>2162</v>
      </c>
      <c r="P171" s="118"/>
      <c r="Q171" s="117"/>
      <c r="R171" s="117"/>
      <c r="S171" s="117"/>
      <c r="T171" s="117"/>
      <c r="U171" s="117"/>
      <c r="V171" s="123"/>
      <c r="W171" s="117"/>
      <c r="X171" s="118" t="s">
        <v>2163</v>
      </c>
      <c r="Y171" s="118"/>
      <c r="Z171" s="118" t="s">
        <v>2164</v>
      </c>
      <c r="AA171" s="118"/>
      <c r="AB171" s="117"/>
      <c r="AC171" s="117"/>
      <c r="AD171" s="117"/>
      <c r="AE171" s="117"/>
      <c r="AF171" s="117"/>
      <c r="AG171" s="117"/>
      <c r="AH171" s="117"/>
      <c r="AI171" s="117"/>
      <c r="AJ171" s="117"/>
    </row>
    <row r="172" spans="1:36" ht="24.75" customHeight="1">
      <c r="A172" s="116"/>
      <c r="B172" s="117" t="s">
        <v>1471</v>
      </c>
      <c r="C172" s="117"/>
      <c r="D172" s="117"/>
      <c r="E172" s="117" t="s">
        <v>1241</v>
      </c>
      <c r="F172" s="118" t="s">
        <v>2165</v>
      </c>
      <c r="G172" s="118"/>
      <c r="H172" s="117" t="s">
        <v>422</v>
      </c>
      <c r="I172" s="117" t="s">
        <v>1252</v>
      </c>
      <c r="J172" s="117"/>
      <c r="K172" s="123"/>
      <c r="L172" s="117"/>
      <c r="M172" s="123"/>
      <c r="N172" s="117" t="s">
        <v>1836</v>
      </c>
      <c r="O172" s="118" t="s">
        <v>2166</v>
      </c>
      <c r="P172" s="118" t="s">
        <v>1517</v>
      </c>
      <c r="Q172" s="117"/>
      <c r="R172" s="117"/>
      <c r="S172" s="117"/>
      <c r="T172" s="117"/>
      <c r="U172" s="117"/>
      <c r="V172" s="123"/>
      <c r="W172" s="117"/>
      <c r="X172" s="118" t="s">
        <v>2167</v>
      </c>
      <c r="Y172" s="118"/>
      <c r="Z172" s="118" t="s">
        <v>2168</v>
      </c>
      <c r="AA172" s="118"/>
      <c r="AB172" s="117"/>
      <c r="AC172" s="117"/>
      <c r="AD172" s="117"/>
      <c r="AE172" s="117"/>
      <c r="AF172" s="117"/>
      <c r="AG172" s="117"/>
      <c r="AH172" s="117"/>
      <c r="AI172" s="117"/>
      <c r="AJ172" s="117"/>
    </row>
    <row r="173" spans="1:36" ht="24.75" customHeight="1">
      <c r="A173" s="116"/>
      <c r="B173" s="117" t="s">
        <v>1471</v>
      </c>
      <c r="C173" s="117"/>
      <c r="D173" s="117"/>
      <c r="E173" s="117" t="s">
        <v>1241</v>
      </c>
      <c r="F173" s="118" t="s">
        <v>2169</v>
      </c>
      <c r="G173" s="118"/>
      <c r="H173" s="117" t="s">
        <v>422</v>
      </c>
      <c r="I173" s="117" t="s">
        <v>1252</v>
      </c>
      <c r="J173" s="117" t="s">
        <v>2170</v>
      </c>
      <c r="K173" s="123" t="s">
        <v>1695</v>
      </c>
      <c r="L173" s="117" t="s">
        <v>2170</v>
      </c>
      <c r="M173" s="123" t="s">
        <v>2171</v>
      </c>
      <c r="N173" s="117" t="s">
        <v>1836</v>
      </c>
      <c r="O173" s="118" t="s">
        <v>2172</v>
      </c>
      <c r="P173" s="118" t="s">
        <v>2173</v>
      </c>
      <c r="Q173" s="117"/>
      <c r="R173" s="117"/>
      <c r="S173" s="117"/>
      <c r="T173" s="117"/>
      <c r="U173" s="117"/>
      <c r="V173" s="123"/>
      <c r="W173" s="117"/>
      <c r="X173" s="118" t="s">
        <v>2174</v>
      </c>
      <c r="Y173" s="118"/>
      <c r="Z173" s="118" t="s">
        <v>2175</v>
      </c>
      <c r="AA173" s="118"/>
      <c r="AB173" s="117"/>
      <c r="AC173" s="117"/>
      <c r="AD173" s="117"/>
      <c r="AE173" s="117"/>
      <c r="AF173" s="117"/>
      <c r="AG173" s="117"/>
      <c r="AH173" s="117"/>
      <c r="AI173" s="117"/>
      <c r="AJ173" s="117"/>
    </row>
    <row r="174" spans="1:36" ht="24.75" customHeight="1">
      <c r="A174" s="116"/>
      <c r="B174" s="117" t="s">
        <v>1471</v>
      </c>
      <c r="C174" s="117"/>
      <c r="D174" s="117"/>
      <c r="E174" s="117" t="s">
        <v>1241</v>
      </c>
      <c r="F174" s="118" t="s">
        <v>2176</v>
      </c>
      <c r="G174" s="118"/>
      <c r="H174" s="117" t="s">
        <v>1252</v>
      </c>
      <c r="I174" s="117" t="s">
        <v>1252</v>
      </c>
      <c r="J174" s="117" t="s">
        <v>2177</v>
      </c>
      <c r="K174" s="123" t="s">
        <v>1243</v>
      </c>
      <c r="L174" s="117" t="s">
        <v>2177</v>
      </c>
      <c r="M174" s="123" t="s">
        <v>2178</v>
      </c>
      <c r="N174" s="117" t="s">
        <v>2179</v>
      </c>
      <c r="O174" s="118" t="s">
        <v>2180</v>
      </c>
      <c r="P174" s="118" t="s">
        <v>1517</v>
      </c>
      <c r="Q174" s="117"/>
      <c r="R174" s="117"/>
      <c r="S174" s="117"/>
      <c r="T174" s="117"/>
      <c r="U174" s="117"/>
      <c r="V174" s="123"/>
      <c r="W174" s="117"/>
      <c r="X174" s="118" t="s">
        <v>2181</v>
      </c>
      <c r="Y174" s="118"/>
      <c r="Z174" s="118" t="s">
        <v>2182</v>
      </c>
      <c r="AA174" s="118"/>
      <c r="AB174" s="117"/>
      <c r="AC174" s="117"/>
      <c r="AD174" s="117"/>
      <c r="AE174" s="117"/>
      <c r="AF174" s="117"/>
      <c r="AG174" s="117"/>
      <c r="AH174" s="117"/>
      <c r="AI174" s="117"/>
      <c r="AJ174" s="117"/>
    </row>
    <row r="175" spans="1:36" ht="24.75" customHeight="1">
      <c r="A175" s="116"/>
      <c r="B175" s="117" t="s">
        <v>1471</v>
      </c>
      <c r="C175" s="117"/>
      <c r="D175" s="117"/>
      <c r="E175" s="117" t="s">
        <v>1241</v>
      </c>
      <c r="F175" s="118" t="s">
        <v>2183</v>
      </c>
      <c r="G175" s="118" t="s">
        <v>2184</v>
      </c>
      <c r="H175" s="117" t="s">
        <v>422</v>
      </c>
      <c r="I175" s="117" t="s">
        <v>1252</v>
      </c>
      <c r="J175" s="117" t="s">
        <v>279</v>
      </c>
      <c r="K175" s="123" t="s">
        <v>1695</v>
      </c>
      <c r="L175" s="117" t="s">
        <v>279</v>
      </c>
      <c r="M175" s="123" t="s">
        <v>279</v>
      </c>
      <c r="N175" s="117" t="s">
        <v>2185</v>
      </c>
      <c r="O175" s="118" t="s">
        <v>2186</v>
      </c>
      <c r="P175" s="118" t="s">
        <v>2187</v>
      </c>
      <c r="Q175" s="117"/>
      <c r="R175" s="117"/>
      <c r="S175" s="117"/>
      <c r="T175" s="117"/>
      <c r="U175" s="117"/>
      <c r="V175" s="123" t="s">
        <v>2188</v>
      </c>
      <c r="W175" s="117"/>
      <c r="X175" s="118" t="s">
        <v>2189</v>
      </c>
      <c r="Y175" s="118"/>
      <c r="Z175" s="118" t="s">
        <v>2190</v>
      </c>
      <c r="AA175" s="118" t="s">
        <v>2191</v>
      </c>
      <c r="AB175" s="117"/>
      <c r="AC175" s="117"/>
      <c r="AD175" s="117"/>
      <c r="AE175" s="117"/>
      <c r="AF175" s="117"/>
      <c r="AG175" s="117"/>
      <c r="AH175" s="117"/>
      <c r="AI175" s="117"/>
      <c r="AJ175" s="117"/>
    </row>
    <row r="176" spans="1:36" ht="24.75" customHeight="1">
      <c r="A176" s="116"/>
      <c r="B176" s="117" t="s">
        <v>1471</v>
      </c>
      <c r="C176" s="117"/>
      <c r="D176" s="117"/>
      <c r="E176" s="117" t="s">
        <v>1241</v>
      </c>
      <c r="F176" s="118" t="s">
        <v>2192</v>
      </c>
      <c r="G176" s="118"/>
      <c r="H176" s="117" t="s">
        <v>422</v>
      </c>
      <c r="I176" s="117" t="s">
        <v>1252</v>
      </c>
      <c r="J176" s="117"/>
      <c r="K176" s="123"/>
      <c r="L176" s="117"/>
      <c r="M176" s="123"/>
      <c r="N176" s="117"/>
      <c r="O176" s="118" t="s">
        <v>2193</v>
      </c>
      <c r="P176" s="118" t="s">
        <v>2194</v>
      </c>
      <c r="Q176" s="117"/>
      <c r="R176" s="117"/>
      <c r="S176" s="117"/>
      <c r="T176" s="117"/>
      <c r="U176" s="117"/>
      <c r="V176" s="123"/>
      <c r="W176" s="117"/>
      <c r="X176" s="118" t="s">
        <v>2195</v>
      </c>
      <c r="Y176" s="118"/>
      <c r="Z176" s="118" t="s">
        <v>2196</v>
      </c>
      <c r="AA176" s="118"/>
      <c r="AB176" s="117"/>
      <c r="AC176" s="117"/>
      <c r="AD176" s="117"/>
      <c r="AE176" s="117"/>
      <c r="AF176" s="117"/>
      <c r="AG176" s="117"/>
      <c r="AH176" s="117"/>
      <c r="AI176" s="117"/>
      <c r="AJ176" s="117"/>
    </row>
    <row r="177" spans="1:36" ht="24.75" customHeight="1">
      <c r="A177" s="116"/>
      <c r="B177" s="117" t="s">
        <v>1471</v>
      </c>
      <c r="C177" s="117"/>
      <c r="D177" s="117"/>
      <c r="E177" s="117" t="s">
        <v>1241</v>
      </c>
      <c r="F177" s="118" t="s">
        <v>2197</v>
      </c>
      <c r="G177" s="118" t="s">
        <v>2198</v>
      </c>
      <c r="H177" s="117" t="s">
        <v>422</v>
      </c>
      <c r="I177" s="117" t="s">
        <v>1252</v>
      </c>
      <c r="J177" s="117" t="s">
        <v>323</v>
      </c>
      <c r="K177" s="123" t="s">
        <v>1695</v>
      </c>
      <c r="L177" s="117" t="s">
        <v>323</v>
      </c>
      <c r="M177" s="123" t="s">
        <v>2199</v>
      </c>
      <c r="N177" s="117" t="s">
        <v>2185</v>
      </c>
      <c r="O177" s="118" t="s">
        <v>2200</v>
      </c>
      <c r="P177" s="118" t="s">
        <v>2194</v>
      </c>
      <c r="Q177" s="117"/>
      <c r="R177" s="117"/>
      <c r="S177" s="117"/>
      <c r="T177" s="117"/>
      <c r="U177" s="117"/>
      <c r="V177" s="123"/>
      <c r="W177" s="117"/>
      <c r="X177" s="118" t="s">
        <v>2201</v>
      </c>
      <c r="Y177" s="118"/>
      <c r="Z177" s="118" t="s">
        <v>2202</v>
      </c>
      <c r="AA177" s="118"/>
      <c r="AB177" s="117"/>
      <c r="AC177" s="117"/>
      <c r="AD177" s="117"/>
      <c r="AE177" s="117"/>
      <c r="AF177" s="117"/>
      <c r="AG177" s="117"/>
      <c r="AH177" s="117"/>
      <c r="AI177" s="117"/>
      <c r="AJ177" s="117"/>
    </row>
    <row r="178" spans="1:36" ht="24.75" customHeight="1">
      <c r="A178" s="116"/>
      <c r="B178" s="117" t="s">
        <v>1471</v>
      </c>
      <c r="C178" s="117"/>
      <c r="D178" s="117"/>
      <c r="E178" s="117" t="s">
        <v>1241</v>
      </c>
      <c r="F178" s="118" t="s">
        <v>2203</v>
      </c>
      <c r="G178" s="118" t="s">
        <v>2204</v>
      </c>
      <c r="H178" s="117" t="s">
        <v>1252</v>
      </c>
      <c r="I178" s="117" t="s">
        <v>1252</v>
      </c>
      <c r="J178" s="117" t="s">
        <v>358</v>
      </c>
      <c r="K178" s="123" t="s">
        <v>1243</v>
      </c>
      <c r="L178" s="117" t="s">
        <v>358</v>
      </c>
      <c r="M178" s="123" t="s">
        <v>2205</v>
      </c>
      <c r="N178" s="117" t="s">
        <v>2206</v>
      </c>
      <c r="O178" s="118" t="s">
        <v>2207</v>
      </c>
      <c r="P178" s="118"/>
      <c r="Q178" s="117"/>
      <c r="R178" s="117"/>
      <c r="S178" s="117"/>
      <c r="T178" s="117"/>
      <c r="U178" s="117"/>
      <c r="V178" s="123"/>
      <c r="W178" s="117"/>
      <c r="X178" s="118"/>
      <c r="Y178" s="118"/>
      <c r="Z178" s="118" t="s">
        <v>2208</v>
      </c>
      <c r="AA178" s="118"/>
      <c r="AB178" s="117"/>
      <c r="AC178" s="117"/>
      <c r="AD178" s="117"/>
      <c r="AE178" s="117"/>
      <c r="AF178" s="117"/>
      <c r="AG178" s="117"/>
      <c r="AH178" s="117"/>
      <c r="AI178" s="117"/>
      <c r="AJ178" s="117"/>
    </row>
    <row r="179" spans="1:36" ht="24.75" customHeight="1">
      <c r="A179" s="116"/>
      <c r="B179" s="117" t="s">
        <v>1471</v>
      </c>
      <c r="C179" s="117"/>
      <c r="D179" s="117"/>
      <c r="E179" s="117" t="s">
        <v>1241</v>
      </c>
      <c r="F179" s="118" t="s">
        <v>2209</v>
      </c>
      <c r="G179" s="118" t="s">
        <v>2210</v>
      </c>
      <c r="H179" s="117" t="s">
        <v>422</v>
      </c>
      <c r="I179" s="117" t="s">
        <v>1252</v>
      </c>
      <c r="J179" s="117" t="s">
        <v>299</v>
      </c>
      <c r="K179" s="123" t="s">
        <v>1833</v>
      </c>
      <c r="L179" s="117" t="s">
        <v>299</v>
      </c>
      <c r="M179" s="123" t="s">
        <v>2211</v>
      </c>
      <c r="N179" s="117" t="s">
        <v>2212</v>
      </c>
      <c r="O179" s="118" t="s">
        <v>2213</v>
      </c>
      <c r="P179" s="118" t="s">
        <v>2194</v>
      </c>
      <c r="Q179" s="117"/>
      <c r="R179" s="117"/>
      <c r="S179" s="117"/>
      <c r="T179" s="117"/>
      <c r="U179" s="117"/>
      <c r="V179" s="123"/>
      <c r="W179" s="117"/>
      <c r="X179" s="118" t="s">
        <v>2214</v>
      </c>
      <c r="Y179" s="118"/>
      <c r="Z179" s="118" t="s">
        <v>2215</v>
      </c>
      <c r="AA179" s="118"/>
      <c r="AB179" s="117"/>
      <c r="AC179" s="117"/>
      <c r="AD179" s="117"/>
      <c r="AE179" s="117"/>
      <c r="AF179" s="117"/>
      <c r="AG179" s="117"/>
      <c r="AH179" s="117"/>
      <c r="AI179" s="117"/>
      <c r="AJ179" s="117"/>
    </row>
    <row r="180" spans="1:36" ht="24.75" customHeight="1">
      <c r="A180" s="116"/>
      <c r="B180" s="117" t="s">
        <v>1471</v>
      </c>
      <c r="C180" s="117"/>
      <c r="D180" s="117"/>
      <c r="E180" s="117" t="s">
        <v>1241</v>
      </c>
      <c r="F180" s="118" t="s">
        <v>2216</v>
      </c>
      <c r="G180" s="118"/>
      <c r="H180" s="117" t="s">
        <v>292</v>
      </c>
      <c r="I180" s="117"/>
      <c r="J180" s="117" t="s">
        <v>316</v>
      </c>
      <c r="K180" s="123"/>
      <c r="L180" s="117" t="s">
        <v>316</v>
      </c>
      <c r="M180" s="123" t="s">
        <v>2217</v>
      </c>
      <c r="N180" s="117" t="s">
        <v>2218</v>
      </c>
      <c r="O180" s="118" t="s">
        <v>2219</v>
      </c>
      <c r="P180" s="118" t="s">
        <v>1543</v>
      </c>
      <c r="Q180" s="117"/>
      <c r="R180" s="117"/>
      <c r="S180" s="117"/>
      <c r="T180" s="117"/>
      <c r="U180" s="117"/>
      <c r="V180" s="123"/>
      <c r="W180" s="117"/>
      <c r="X180" s="118"/>
      <c r="Y180" s="118"/>
      <c r="Z180" s="118" t="s">
        <v>2220</v>
      </c>
      <c r="AA180" s="118"/>
      <c r="AB180" s="117"/>
      <c r="AC180" s="117"/>
      <c r="AD180" s="117"/>
      <c r="AE180" s="117"/>
      <c r="AF180" s="117"/>
      <c r="AG180" s="117"/>
      <c r="AH180" s="117"/>
      <c r="AI180" s="117"/>
      <c r="AJ180" s="117"/>
    </row>
    <row r="181" spans="1:36" ht="24.75" customHeight="1">
      <c r="A181" s="116"/>
      <c r="B181" s="117" t="s">
        <v>1471</v>
      </c>
      <c r="C181" s="117"/>
      <c r="D181" s="117"/>
      <c r="E181" s="117" t="s">
        <v>1241</v>
      </c>
      <c r="F181" s="118" t="s">
        <v>2221</v>
      </c>
      <c r="G181" s="118" t="s">
        <v>2221</v>
      </c>
      <c r="H181" s="117" t="s">
        <v>295</v>
      </c>
      <c r="I181" s="117"/>
      <c r="J181" s="117" t="s">
        <v>358</v>
      </c>
      <c r="K181" s="123" t="s">
        <v>1243</v>
      </c>
      <c r="L181" s="117" t="s">
        <v>358</v>
      </c>
      <c r="M181" s="123" t="s">
        <v>2222</v>
      </c>
      <c r="N181" s="117" t="s">
        <v>2223</v>
      </c>
      <c r="O181" s="118" t="s">
        <v>2224</v>
      </c>
      <c r="P181" s="118"/>
      <c r="Q181" s="117"/>
      <c r="R181" s="117"/>
      <c r="S181" s="117"/>
      <c r="T181" s="117"/>
      <c r="U181" s="117"/>
      <c r="V181" s="123"/>
      <c r="W181" s="117"/>
      <c r="X181" s="118" t="s">
        <v>2225</v>
      </c>
      <c r="Y181" s="118"/>
      <c r="Z181" s="118" t="s">
        <v>2226</v>
      </c>
      <c r="AA181" s="118"/>
      <c r="AB181" s="117"/>
      <c r="AC181" s="117"/>
      <c r="AD181" s="117"/>
      <c r="AE181" s="117"/>
      <c r="AF181" s="117"/>
      <c r="AG181" s="117"/>
      <c r="AH181" s="117"/>
      <c r="AI181" s="117"/>
      <c r="AJ181" s="117"/>
    </row>
    <row r="182" spans="1:36" ht="24.75" customHeight="1">
      <c r="A182" s="116"/>
      <c r="B182" s="117" t="s">
        <v>1471</v>
      </c>
      <c r="C182" s="117"/>
      <c r="D182" s="117"/>
      <c r="E182" s="117" t="s">
        <v>1241</v>
      </c>
      <c r="F182" s="118" t="s">
        <v>2227</v>
      </c>
      <c r="G182" s="118" t="s">
        <v>2227</v>
      </c>
      <c r="H182" s="117" t="s">
        <v>422</v>
      </c>
      <c r="I182" s="117" t="s">
        <v>1252</v>
      </c>
      <c r="J182" s="117" t="s">
        <v>293</v>
      </c>
      <c r="K182" s="123" t="s">
        <v>2147</v>
      </c>
      <c r="L182" s="117" t="s">
        <v>293</v>
      </c>
      <c r="M182" s="123" t="s">
        <v>2228</v>
      </c>
      <c r="N182" s="117" t="s">
        <v>2229</v>
      </c>
      <c r="O182" s="118" t="s">
        <v>2230</v>
      </c>
      <c r="P182" s="118" t="s">
        <v>2231</v>
      </c>
      <c r="Q182" s="117"/>
      <c r="R182" s="117"/>
      <c r="S182" s="117"/>
      <c r="T182" s="117"/>
      <c r="U182" s="117"/>
      <c r="V182" s="123"/>
      <c r="W182" s="117"/>
      <c r="X182" s="118" t="s">
        <v>2232</v>
      </c>
      <c r="Y182" s="118"/>
      <c r="Z182" s="118" t="s">
        <v>2233</v>
      </c>
      <c r="AA182" s="118"/>
      <c r="AB182" s="117"/>
      <c r="AC182" s="117"/>
      <c r="AD182" s="117"/>
      <c r="AE182" s="117"/>
      <c r="AF182" s="117"/>
      <c r="AG182" s="117"/>
      <c r="AH182" s="117"/>
      <c r="AI182" s="117"/>
      <c r="AJ182" s="117"/>
    </row>
    <row r="183" spans="1:36" ht="24.75" customHeight="1">
      <c r="A183" s="116"/>
      <c r="B183" s="117" t="s">
        <v>1471</v>
      </c>
      <c r="C183" s="117"/>
      <c r="D183" s="117"/>
      <c r="E183" s="117" t="s">
        <v>1241</v>
      </c>
      <c r="F183" s="118" t="s">
        <v>2234</v>
      </c>
      <c r="G183" s="118" t="s">
        <v>2235</v>
      </c>
      <c r="H183" s="117" t="s">
        <v>422</v>
      </c>
      <c r="I183" s="117" t="s">
        <v>1252</v>
      </c>
      <c r="J183" s="117" t="s">
        <v>293</v>
      </c>
      <c r="K183" s="123" t="s">
        <v>2147</v>
      </c>
      <c r="L183" s="117" t="s">
        <v>293</v>
      </c>
      <c r="M183" s="123" t="s">
        <v>2236</v>
      </c>
      <c r="N183" s="117" t="s">
        <v>2185</v>
      </c>
      <c r="O183" s="118" t="s">
        <v>2237</v>
      </c>
      <c r="P183" s="118" t="s">
        <v>1289</v>
      </c>
      <c r="Q183" s="117"/>
      <c r="R183" s="117"/>
      <c r="S183" s="117"/>
      <c r="T183" s="117"/>
      <c r="U183" s="117"/>
      <c r="V183" s="123"/>
      <c r="W183" s="117"/>
      <c r="X183" s="118" t="s">
        <v>2238</v>
      </c>
      <c r="Y183" s="118"/>
      <c r="Z183" s="118" t="s">
        <v>2239</v>
      </c>
      <c r="AA183" s="118"/>
      <c r="AB183" s="117"/>
      <c r="AC183" s="117"/>
      <c r="AD183" s="117"/>
      <c r="AE183" s="117"/>
      <c r="AF183" s="117"/>
      <c r="AG183" s="117"/>
      <c r="AH183" s="117"/>
      <c r="AI183" s="117"/>
      <c r="AJ183" s="117"/>
    </row>
    <row r="184" spans="1:36" ht="24.75" customHeight="1">
      <c r="A184" s="116"/>
      <c r="B184" s="117" t="s">
        <v>1471</v>
      </c>
      <c r="C184" s="117"/>
      <c r="D184" s="117"/>
      <c r="E184" s="117" t="s">
        <v>1241</v>
      </c>
      <c r="F184" s="118" t="s">
        <v>2240</v>
      </c>
      <c r="G184" s="118" t="s">
        <v>2241</v>
      </c>
      <c r="H184" s="117" t="s">
        <v>422</v>
      </c>
      <c r="I184" s="117" t="s">
        <v>1252</v>
      </c>
      <c r="J184" s="117" t="s">
        <v>308</v>
      </c>
      <c r="K184" s="123" t="s">
        <v>2147</v>
      </c>
      <c r="L184" s="117" t="s">
        <v>308</v>
      </c>
      <c r="M184" s="123" t="s">
        <v>2148</v>
      </c>
      <c r="N184" s="117" t="s">
        <v>2242</v>
      </c>
      <c r="O184" s="118" t="s">
        <v>2243</v>
      </c>
      <c r="P184" s="118" t="s">
        <v>2244</v>
      </c>
      <c r="Q184" s="117"/>
      <c r="R184" s="117"/>
      <c r="S184" s="117"/>
      <c r="T184" s="117"/>
      <c r="U184" s="117"/>
      <c r="V184" s="123"/>
      <c r="W184" s="117"/>
      <c r="X184" s="118"/>
      <c r="Y184" s="118"/>
      <c r="Z184" s="118" t="s">
        <v>2245</v>
      </c>
      <c r="AA184" s="118"/>
      <c r="AB184" s="117"/>
      <c r="AC184" s="117"/>
      <c r="AD184" s="117"/>
      <c r="AE184" s="117"/>
      <c r="AF184" s="117"/>
      <c r="AG184" s="117"/>
      <c r="AH184" s="117"/>
      <c r="AI184" s="117"/>
      <c r="AJ184" s="117"/>
    </row>
    <row r="185" spans="1:36" ht="24.75" customHeight="1">
      <c r="A185" s="116"/>
      <c r="B185" s="117" t="s">
        <v>1471</v>
      </c>
      <c r="C185" s="117"/>
      <c r="D185" s="117"/>
      <c r="E185" s="117" t="s">
        <v>1241</v>
      </c>
      <c r="F185" s="118" t="s">
        <v>2246</v>
      </c>
      <c r="G185" s="118"/>
      <c r="H185" s="117" t="s">
        <v>1252</v>
      </c>
      <c r="I185" s="117" t="s">
        <v>1252</v>
      </c>
      <c r="J185" s="117" t="s">
        <v>1882</v>
      </c>
      <c r="K185" s="123"/>
      <c r="L185" s="117" t="s">
        <v>2247</v>
      </c>
      <c r="M185" s="123"/>
      <c r="N185" s="123" t="s">
        <v>2248</v>
      </c>
      <c r="O185" s="118" t="s">
        <v>2249</v>
      </c>
      <c r="P185" s="118" t="s">
        <v>2250</v>
      </c>
      <c r="Q185" s="117"/>
      <c r="R185" s="117"/>
      <c r="S185" s="117"/>
      <c r="T185" s="117"/>
      <c r="U185" s="117"/>
      <c r="V185" s="123"/>
      <c r="W185" s="117"/>
      <c r="X185" s="118" t="s">
        <v>2251</v>
      </c>
      <c r="Y185" s="118"/>
      <c r="Z185" s="118" t="s">
        <v>2252</v>
      </c>
      <c r="AA185" s="118"/>
      <c r="AB185" s="117"/>
      <c r="AC185" s="117"/>
      <c r="AD185" s="117"/>
      <c r="AE185" s="117"/>
      <c r="AF185" s="117"/>
      <c r="AG185" s="117"/>
      <c r="AH185" s="117"/>
      <c r="AI185" s="117"/>
      <c r="AJ185" s="117"/>
    </row>
    <row r="186" spans="1:36" ht="24.75" customHeight="1">
      <c r="A186" s="116"/>
      <c r="B186" s="117" t="s">
        <v>1471</v>
      </c>
      <c r="C186" s="117"/>
      <c r="D186" s="117"/>
      <c r="E186" s="117" t="s">
        <v>1241</v>
      </c>
      <c r="F186" s="118" t="s">
        <v>2253</v>
      </c>
      <c r="G186" s="118"/>
      <c r="H186" s="117" t="s">
        <v>292</v>
      </c>
      <c r="I186" s="117"/>
      <c r="J186" s="117" t="s">
        <v>316</v>
      </c>
      <c r="K186" s="123" t="s">
        <v>1243</v>
      </c>
      <c r="L186" s="117" t="s">
        <v>316</v>
      </c>
      <c r="M186" s="123" t="s">
        <v>1411</v>
      </c>
      <c r="N186" s="117" t="s">
        <v>2223</v>
      </c>
      <c r="O186" s="118" t="s">
        <v>2254</v>
      </c>
      <c r="P186" s="118" t="s">
        <v>2187</v>
      </c>
      <c r="Q186" s="117"/>
      <c r="R186" s="117"/>
      <c r="S186" s="117"/>
      <c r="T186" s="117"/>
      <c r="U186" s="117"/>
      <c r="V186" s="123"/>
      <c r="W186" s="117"/>
      <c r="X186" s="118" t="s">
        <v>2255</v>
      </c>
      <c r="Y186" s="118"/>
      <c r="Z186" s="118" t="s">
        <v>2256</v>
      </c>
      <c r="AA186" s="118"/>
      <c r="AB186" s="117"/>
      <c r="AC186" s="117"/>
      <c r="AD186" s="117"/>
      <c r="AE186" s="117"/>
      <c r="AF186" s="117"/>
      <c r="AG186" s="117"/>
      <c r="AH186" s="117"/>
      <c r="AI186" s="117"/>
      <c r="AJ186" s="117"/>
    </row>
    <row r="187" spans="1:36" ht="24.75" customHeight="1">
      <c r="A187" s="116"/>
      <c r="B187" s="117" t="s">
        <v>1471</v>
      </c>
      <c r="C187" s="117"/>
      <c r="D187" s="117"/>
      <c r="E187" s="117" t="s">
        <v>1241</v>
      </c>
      <c r="F187" s="118" t="s">
        <v>2257</v>
      </c>
      <c r="G187" s="118" t="s">
        <v>2258</v>
      </c>
      <c r="H187" s="117" t="s">
        <v>422</v>
      </c>
      <c r="I187" s="117" t="s">
        <v>1252</v>
      </c>
      <c r="J187" s="117" t="s">
        <v>1946</v>
      </c>
      <c r="K187" s="123" t="s">
        <v>2147</v>
      </c>
      <c r="L187" s="117" t="s">
        <v>1946</v>
      </c>
      <c r="M187" s="123" t="s">
        <v>1947</v>
      </c>
      <c r="N187" s="117" t="s">
        <v>1263</v>
      </c>
      <c r="O187" s="118"/>
      <c r="P187" s="118"/>
      <c r="Q187" s="117"/>
      <c r="R187" s="117"/>
      <c r="S187" s="117"/>
      <c r="T187" s="117"/>
      <c r="U187" s="117"/>
      <c r="V187" s="123"/>
      <c r="W187" s="117"/>
      <c r="X187" s="118"/>
      <c r="Y187" s="118"/>
      <c r="Z187" s="118"/>
      <c r="AA187" s="118"/>
      <c r="AB187" s="117"/>
      <c r="AC187" s="117"/>
      <c r="AD187" s="117"/>
      <c r="AE187" s="117"/>
      <c r="AF187" s="117"/>
      <c r="AG187" s="117"/>
      <c r="AH187" s="117"/>
      <c r="AI187" s="117"/>
      <c r="AJ187" s="117"/>
    </row>
    <row r="188" spans="1:36" ht="24.75" customHeight="1">
      <c r="A188" s="116"/>
      <c r="B188" s="117" t="s">
        <v>1471</v>
      </c>
      <c r="C188" s="117"/>
      <c r="D188" s="117"/>
      <c r="E188" s="117" t="s">
        <v>1241</v>
      </c>
      <c r="F188" s="118" t="s">
        <v>2259</v>
      </c>
      <c r="G188" s="118" t="s">
        <v>2259</v>
      </c>
      <c r="H188" s="117" t="s">
        <v>422</v>
      </c>
      <c r="I188" s="117" t="s">
        <v>1252</v>
      </c>
      <c r="J188" s="117" t="s">
        <v>1946</v>
      </c>
      <c r="K188" s="123" t="s">
        <v>2147</v>
      </c>
      <c r="L188" s="117" t="s">
        <v>1946</v>
      </c>
      <c r="M188" s="123" t="s">
        <v>1947</v>
      </c>
      <c r="N188" s="117" t="s">
        <v>2223</v>
      </c>
      <c r="O188" s="118"/>
      <c r="P188" s="118"/>
      <c r="Q188" s="117"/>
      <c r="R188" s="117"/>
      <c r="S188" s="117"/>
      <c r="T188" s="117"/>
      <c r="U188" s="117"/>
      <c r="V188" s="123"/>
      <c r="W188" s="117"/>
      <c r="X188" s="128" t="s">
        <v>2260</v>
      </c>
      <c r="Y188" s="118"/>
      <c r="Z188" s="118"/>
      <c r="AA188" s="118"/>
      <c r="AB188" s="117"/>
      <c r="AC188" s="117"/>
      <c r="AD188" s="117"/>
      <c r="AE188" s="117"/>
      <c r="AF188" s="117"/>
      <c r="AG188" s="117"/>
      <c r="AH188" s="117"/>
      <c r="AI188" s="117"/>
      <c r="AJ188" s="117"/>
    </row>
    <row r="189" spans="1:36" ht="24.75" customHeight="1">
      <c r="A189" s="116"/>
      <c r="B189" s="117" t="s">
        <v>1471</v>
      </c>
      <c r="C189" s="117"/>
      <c r="D189" s="117"/>
      <c r="E189" s="117" t="s">
        <v>1241</v>
      </c>
      <c r="F189" s="118" t="s">
        <v>2261</v>
      </c>
      <c r="G189" s="118" t="s">
        <v>2261</v>
      </c>
      <c r="H189" s="117" t="s">
        <v>422</v>
      </c>
      <c r="I189" s="117" t="s">
        <v>1252</v>
      </c>
      <c r="J189" s="117" t="s">
        <v>1946</v>
      </c>
      <c r="K189" s="123" t="s">
        <v>2147</v>
      </c>
      <c r="L189" s="117" t="s">
        <v>1946</v>
      </c>
      <c r="M189" s="123" t="s">
        <v>1947</v>
      </c>
      <c r="N189" s="117" t="s">
        <v>1704</v>
      </c>
      <c r="O189" s="118"/>
      <c r="P189" s="118"/>
      <c r="Q189" s="117"/>
      <c r="R189" s="117"/>
      <c r="S189" s="117"/>
      <c r="T189" s="117"/>
      <c r="U189" s="117"/>
      <c r="V189" s="123"/>
      <c r="W189" s="117"/>
      <c r="X189" s="118"/>
      <c r="Y189" s="118"/>
      <c r="Z189" s="118"/>
      <c r="AA189" s="118"/>
      <c r="AB189" s="117"/>
      <c r="AC189" s="117"/>
      <c r="AD189" s="117"/>
      <c r="AE189" s="117"/>
      <c r="AF189" s="117"/>
      <c r="AG189" s="117"/>
      <c r="AH189" s="117"/>
      <c r="AI189" s="117"/>
      <c r="AJ189" s="117"/>
    </row>
    <row r="190" spans="1:36" ht="24.75" customHeight="1">
      <c r="A190" s="116"/>
      <c r="B190" s="117" t="s">
        <v>1471</v>
      </c>
      <c r="C190" s="117"/>
      <c r="D190" s="117"/>
      <c r="E190" s="117" t="s">
        <v>1241</v>
      </c>
      <c r="F190" s="118" t="s">
        <v>2262</v>
      </c>
      <c r="G190" s="118"/>
      <c r="H190" s="117" t="s">
        <v>422</v>
      </c>
      <c r="I190" s="117" t="s">
        <v>1252</v>
      </c>
      <c r="J190" s="117" t="s">
        <v>1946</v>
      </c>
      <c r="K190" s="123" t="s">
        <v>2147</v>
      </c>
      <c r="L190" s="117" t="s">
        <v>1946</v>
      </c>
      <c r="M190" s="123" t="s">
        <v>1947</v>
      </c>
      <c r="N190" s="117" t="s">
        <v>2185</v>
      </c>
      <c r="O190" s="118"/>
      <c r="P190" s="118"/>
      <c r="Q190" s="117"/>
      <c r="R190" s="117"/>
      <c r="S190" s="117"/>
      <c r="T190" s="117"/>
      <c r="U190" s="117"/>
      <c r="V190" s="123"/>
      <c r="W190" s="117"/>
      <c r="X190" s="118" t="s">
        <v>2263</v>
      </c>
      <c r="Y190" s="118"/>
      <c r="Z190" s="118"/>
      <c r="AA190" s="118"/>
      <c r="AB190" s="117"/>
      <c r="AC190" s="117"/>
      <c r="AD190" s="117"/>
      <c r="AE190" s="117"/>
      <c r="AF190" s="117"/>
      <c r="AG190" s="117"/>
      <c r="AH190" s="117"/>
      <c r="AI190" s="117"/>
      <c r="AJ190" s="117"/>
    </row>
    <row r="191" spans="1:36" ht="24.75" customHeight="1">
      <c r="A191" s="116"/>
      <c r="B191" s="117" t="s">
        <v>1471</v>
      </c>
      <c r="C191" s="117"/>
      <c r="D191" s="117"/>
      <c r="E191" s="117" t="s">
        <v>1241</v>
      </c>
      <c r="F191" s="118" t="s">
        <v>2264</v>
      </c>
      <c r="G191" s="118"/>
      <c r="H191" s="117" t="s">
        <v>1252</v>
      </c>
      <c r="I191" s="117" t="s">
        <v>1252</v>
      </c>
      <c r="J191" s="117" t="s">
        <v>2170</v>
      </c>
      <c r="K191" s="123" t="s">
        <v>2147</v>
      </c>
      <c r="L191" s="117" t="s">
        <v>2170</v>
      </c>
      <c r="M191" s="123" t="s">
        <v>2265</v>
      </c>
      <c r="N191" s="117" t="s">
        <v>2266</v>
      </c>
      <c r="O191" s="118"/>
      <c r="P191" s="118"/>
      <c r="Q191" s="117"/>
      <c r="R191" s="117"/>
      <c r="S191" s="117"/>
      <c r="T191" s="117"/>
      <c r="U191" s="117"/>
      <c r="V191" s="123"/>
      <c r="W191" s="117"/>
      <c r="X191" s="118"/>
      <c r="Y191" s="118"/>
      <c r="Z191" s="118"/>
      <c r="AA191" s="118"/>
      <c r="AB191" s="117"/>
      <c r="AC191" s="117"/>
      <c r="AD191" s="117"/>
      <c r="AE191" s="117"/>
      <c r="AF191" s="117"/>
      <c r="AG191" s="117"/>
      <c r="AH191" s="117"/>
      <c r="AI191" s="117"/>
      <c r="AJ191" s="117"/>
    </row>
    <row r="192" spans="1:36" ht="24.75" customHeight="1">
      <c r="A192" s="116"/>
      <c r="B192" s="117" t="s">
        <v>1471</v>
      </c>
      <c r="C192" s="117"/>
      <c r="D192" s="117"/>
      <c r="E192" s="117" t="s">
        <v>1241</v>
      </c>
      <c r="F192" s="118" t="s">
        <v>2267</v>
      </c>
      <c r="G192" s="118"/>
      <c r="H192" s="117" t="s">
        <v>1252</v>
      </c>
      <c r="I192" s="117" t="s">
        <v>1252</v>
      </c>
      <c r="J192" s="117" t="s">
        <v>2170</v>
      </c>
      <c r="K192" s="123" t="s">
        <v>2147</v>
      </c>
      <c r="L192" s="117" t="s">
        <v>2170</v>
      </c>
      <c r="M192" s="123" t="s">
        <v>2265</v>
      </c>
      <c r="N192" s="117" t="s">
        <v>2266</v>
      </c>
      <c r="O192" s="118"/>
      <c r="P192" s="118"/>
      <c r="Q192" s="117"/>
      <c r="R192" s="117"/>
      <c r="S192" s="117"/>
      <c r="T192" s="117"/>
      <c r="U192" s="117"/>
      <c r="V192" s="123"/>
      <c r="W192" s="117"/>
      <c r="X192" s="118"/>
      <c r="Y192" s="118"/>
      <c r="Z192" s="118"/>
      <c r="AA192" s="118"/>
      <c r="AB192" s="117"/>
      <c r="AC192" s="117"/>
      <c r="AD192" s="117"/>
      <c r="AE192" s="117"/>
      <c r="AF192" s="117"/>
      <c r="AG192" s="117"/>
      <c r="AH192" s="117"/>
      <c r="AI192" s="117"/>
      <c r="AJ192" s="117"/>
    </row>
    <row r="193" spans="1:36" ht="24.75" customHeight="1">
      <c r="A193" s="116"/>
      <c r="B193" s="117" t="s">
        <v>1471</v>
      </c>
      <c r="C193" s="117"/>
      <c r="D193" s="117"/>
      <c r="E193" s="117" t="s">
        <v>1241</v>
      </c>
      <c r="F193" s="118" t="s">
        <v>2268</v>
      </c>
      <c r="G193" s="118"/>
      <c r="H193" s="117" t="s">
        <v>422</v>
      </c>
      <c r="I193" s="117" t="s">
        <v>1252</v>
      </c>
      <c r="J193" s="117" t="s">
        <v>2269</v>
      </c>
      <c r="K193" s="123" t="s">
        <v>1732</v>
      </c>
      <c r="L193" s="117" t="s">
        <v>2269</v>
      </c>
      <c r="M193" s="123" t="s">
        <v>2270</v>
      </c>
      <c r="N193" s="117" t="s">
        <v>2271</v>
      </c>
      <c r="O193" s="118"/>
      <c r="P193" s="118"/>
      <c r="Q193" s="117"/>
      <c r="R193" s="117"/>
      <c r="S193" s="117"/>
      <c r="T193" s="117"/>
      <c r="U193" s="117"/>
      <c r="V193" s="123"/>
      <c r="W193" s="117"/>
      <c r="X193" s="118"/>
      <c r="Y193" s="118"/>
      <c r="Z193" s="118"/>
      <c r="AA193" s="118"/>
      <c r="AB193" s="117"/>
      <c r="AC193" s="117"/>
      <c r="AD193" s="117"/>
      <c r="AE193" s="117"/>
      <c r="AF193" s="117"/>
      <c r="AG193" s="117"/>
      <c r="AH193" s="117"/>
      <c r="AI193" s="117"/>
      <c r="AJ193" s="117"/>
    </row>
    <row r="194" spans="1:36" ht="24.75" customHeight="1">
      <c r="A194" s="116"/>
      <c r="B194" s="117" t="s">
        <v>1471</v>
      </c>
      <c r="C194" s="117"/>
      <c r="D194" s="117"/>
      <c r="E194" s="117" t="s">
        <v>1241</v>
      </c>
      <c r="F194" s="118" t="s">
        <v>2272</v>
      </c>
      <c r="G194" s="118"/>
      <c r="H194" s="117" t="s">
        <v>422</v>
      </c>
      <c r="I194" s="117" t="s">
        <v>1252</v>
      </c>
      <c r="J194" s="117" t="s">
        <v>2269</v>
      </c>
      <c r="K194" s="123" t="s">
        <v>1732</v>
      </c>
      <c r="L194" s="117" t="s">
        <v>2269</v>
      </c>
      <c r="M194" s="123" t="s">
        <v>2270</v>
      </c>
      <c r="N194" s="117" t="s">
        <v>2266</v>
      </c>
      <c r="O194" s="118"/>
      <c r="P194" s="118"/>
      <c r="Q194" s="117"/>
      <c r="R194" s="117"/>
      <c r="S194" s="117"/>
      <c r="T194" s="117"/>
      <c r="U194" s="117"/>
      <c r="V194" s="123"/>
      <c r="W194" s="117"/>
      <c r="X194" s="118"/>
      <c r="Y194" s="118"/>
      <c r="Z194" s="118"/>
      <c r="AA194" s="118"/>
      <c r="AB194" s="117"/>
      <c r="AC194" s="117"/>
      <c r="AD194" s="117"/>
      <c r="AE194" s="117"/>
      <c r="AF194" s="117"/>
      <c r="AG194" s="117"/>
      <c r="AH194" s="117"/>
      <c r="AI194" s="117"/>
      <c r="AJ194" s="117"/>
    </row>
    <row r="195" spans="1:36" ht="24.75" customHeight="1">
      <c r="A195" s="116"/>
      <c r="B195" s="117" t="s">
        <v>1471</v>
      </c>
      <c r="C195" s="117"/>
      <c r="D195" s="117"/>
      <c r="E195" s="117" t="s">
        <v>1241</v>
      </c>
      <c r="F195" s="118" t="s">
        <v>2273</v>
      </c>
      <c r="G195" s="118"/>
      <c r="H195" s="117" t="s">
        <v>422</v>
      </c>
      <c r="I195" s="117" t="s">
        <v>1252</v>
      </c>
      <c r="J195" s="117" t="s">
        <v>151</v>
      </c>
      <c r="K195" s="123" t="s">
        <v>1732</v>
      </c>
      <c r="L195" s="117" t="s">
        <v>151</v>
      </c>
      <c r="M195" s="123" t="s">
        <v>152</v>
      </c>
      <c r="N195" s="117" t="s">
        <v>2274</v>
      </c>
      <c r="O195" s="118"/>
      <c r="P195" s="118"/>
      <c r="Q195" s="117"/>
      <c r="R195" s="117"/>
      <c r="S195" s="117"/>
      <c r="T195" s="117"/>
      <c r="U195" s="117"/>
      <c r="V195" s="123"/>
      <c r="W195" s="117"/>
      <c r="X195" s="118"/>
      <c r="Y195" s="118"/>
      <c r="Z195" s="118"/>
      <c r="AA195" s="118"/>
      <c r="AB195" s="117"/>
      <c r="AC195" s="117"/>
      <c r="AD195" s="117"/>
      <c r="AE195" s="117"/>
      <c r="AF195" s="117"/>
      <c r="AG195" s="117"/>
      <c r="AH195" s="117"/>
      <c r="AI195" s="117"/>
      <c r="AJ195" s="117"/>
    </row>
    <row r="196" spans="1:36" ht="24.75" customHeight="1">
      <c r="A196" s="116"/>
      <c r="B196" s="117" t="s">
        <v>1471</v>
      </c>
      <c r="C196" s="117"/>
      <c r="D196" s="117"/>
      <c r="E196" s="117" t="s">
        <v>1241</v>
      </c>
      <c r="F196" s="118" t="s">
        <v>2275</v>
      </c>
      <c r="G196" s="118"/>
      <c r="H196" s="117" t="s">
        <v>422</v>
      </c>
      <c r="I196" s="117" t="s">
        <v>1252</v>
      </c>
      <c r="J196" s="117" t="s">
        <v>151</v>
      </c>
      <c r="K196" s="123" t="s">
        <v>1732</v>
      </c>
      <c r="L196" s="117" t="s">
        <v>151</v>
      </c>
      <c r="M196" s="123" t="s">
        <v>152</v>
      </c>
      <c r="N196" s="117" t="s">
        <v>1585</v>
      </c>
      <c r="O196" s="118"/>
      <c r="P196" s="118"/>
      <c r="Q196" s="117"/>
      <c r="R196" s="117"/>
      <c r="S196" s="117"/>
      <c r="T196" s="117"/>
      <c r="U196" s="117"/>
      <c r="V196" s="123"/>
      <c r="W196" s="117"/>
      <c r="X196" s="118"/>
      <c r="Y196" s="118"/>
      <c r="Z196" s="118"/>
      <c r="AA196" s="118"/>
      <c r="AB196" s="117"/>
      <c r="AC196" s="117"/>
      <c r="AD196" s="117"/>
      <c r="AE196" s="117"/>
      <c r="AF196" s="117"/>
      <c r="AG196" s="117"/>
      <c r="AH196" s="117"/>
      <c r="AI196" s="117"/>
      <c r="AJ196" s="117"/>
    </row>
    <row r="197" spans="1:36" ht="24.75" customHeight="1">
      <c r="A197" s="116"/>
      <c r="B197" s="117" t="s">
        <v>1471</v>
      </c>
      <c r="C197" s="117"/>
      <c r="D197" s="117"/>
      <c r="E197" s="117" t="s">
        <v>1241</v>
      </c>
      <c r="F197" s="118" t="s">
        <v>2276</v>
      </c>
      <c r="G197" s="118"/>
      <c r="H197" s="117" t="s">
        <v>1252</v>
      </c>
      <c r="I197" s="117" t="s">
        <v>1252</v>
      </c>
      <c r="J197" s="117" t="s">
        <v>2277</v>
      </c>
      <c r="K197" s="123" t="s">
        <v>2147</v>
      </c>
      <c r="L197" s="117" t="s">
        <v>2277</v>
      </c>
      <c r="M197" s="123" t="s">
        <v>2278</v>
      </c>
      <c r="N197" s="117" t="s">
        <v>2266</v>
      </c>
      <c r="O197" s="118"/>
      <c r="P197" s="118"/>
      <c r="Q197" s="117"/>
      <c r="R197" s="117"/>
      <c r="S197" s="117"/>
      <c r="T197" s="117"/>
      <c r="U197" s="117"/>
      <c r="V197" s="123"/>
      <c r="W197" s="117"/>
      <c r="X197" s="118"/>
      <c r="Y197" s="118"/>
      <c r="Z197" s="118"/>
      <c r="AA197" s="118"/>
      <c r="AB197" s="117"/>
      <c r="AC197" s="117"/>
      <c r="AD197" s="117"/>
      <c r="AE197" s="117"/>
      <c r="AF197" s="117"/>
      <c r="AG197" s="117"/>
      <c r="AH197" s="117"/>
      <c r="AI197" s="117"/>
      <c r="AJ197" s="117"/>
    </row>
    <row r="198" spans="1:36" ht="24.75" customHeight="1">
      <c r="A198" s="116"/>
      <c r="B198" s="117" t="s">
        <v>1471</v>
      </c>
      <c r="C198" s="117"/>
      <c r="D198" s="117"/>
      <c r="E198" s="117" t="s">
        <v>1241</v>
      </c>
      <c r="F198" s="118" t="s">
        <v>2279</v>
      </c>
      <c r="G198" s="118"/>
      <c r="H198" s="117" t="s">
        <v>422</v>
      </c>
      <c r="I198" s="117" t="s">
        <v>1252</v>
      </c>
      <c r="J198" s="117" t="s">
        <v>2277</v>
      </c>
      <c r="K198" s="123" t="s">
        <v>2147</v>
      </c>
      <c r="L198" s="117" t="s">
        <v>2277</v>
      </c>
      <c r="M198" s="123" t="s">
        <v>2278</v>
      </c>
      <c r="N198" s="117" t="s">
        <v>2185</v>
      </c>
      <c r="O198" s="118"/>
      <c r="P198" s="118"/>
      <c r="Q198" s="117"/>
      <c r="R198" s="117"/>
      <c r="S198" s="117"/>
      <c r="T198" s="117"/>
      <c r="U198" s="117"/>
      <c r="V198" s="123"/>
      <c r="W198" s="117"/>
      <c r="X198" s="118"/>
      <c r="Y198" s="118"/>
      <c r="Z198" s="118"/>
      <c r="AA198" s="118"/>
      <c r="AB198" s="117"/>
      <c r="AC198" s="117"/>
      <c r="AD198" s="117"/>
      <c r="AE198" s="117"/>
      <c r="AF198" s="117"/>
      <c r="AG198" s="117"/>
      <c r="AH198" s="117"/>
      <c r="AI198" s="117"/>
      <c r="AJ198" s="117"/>
    </row>
    <row r="199" spans="1:36" ht="24.75" customHeight="1">
      <c r="A199" s="116"/>
      <c r="B199" s="117" t="s">
        <v>1471</v>
      </c>
      <c r="C199" s="117"/>
      <c r="D199" s="117"/>
      <c r="E199" s="117" t="s">
        <v>1241</v>
      </c>
      <c r="F199" s="118" t="s">
        <v>2280</v>
      </c>
      <c r="G199" s="118"/>
      <c r="H199" s="117" t="s">
        <v>1252</v>
      </c>
      <c r="I199" s="117" t="s">
        <v>1252</v>
      </c>
      <c r="J199" s="117"/>
      <c r="K199" s="123"/>
      <c r="L199" s="117"/>
      <c r="M199" s="123"/>
      <c r="N199" s="117"/>
      <c r="O199" s="118"/>
      <c r="P199" s="118"/>
      <c r="Q199" s="117"/>
      <c r="R199" s="117"/>
      <c r="S199" s="117"/>
      <c r="T199" s="117"/>
      <c r="U199" s="117"/>
      <c r="V199" s="123"/>
      <c r="W199" s="117"/>
      <c r="X199" s="118"/>
      <c r="Y199" s="118"/>
      <c r="Z199" s="118"/>
      <c r="AA199" s="118"/>
      <c r="AB199" s="117"/>
      <c r="AC199" s="117"/>
      <c r="AD199" s="117"/>
      <c r="AE199" s="117"/>
      <c r="AF199" s="117"/>
      <c r="AG199" s="117"/>
      <c r="AH199" s="117"/>
      <c r="AI199" s="117"/>
      <c r="AJ199" s="117"/>
    </row>
    <row r="200" spans="1:36" ht="24.75" customHeight="1">
      <c r="A200" s="116"/>
      <c r="B200" s="117" t="s">
        <v>1471</v>
      </c>
      <c r="C200" s="117"/>
      <c r="D200" s="117"/>
      <c r="E200" s="117" t="s">
        <v>1241</v>
      </c>
      <c r="F200" s="118" t="s">
        <v>2281</v>
      </c>
      <c r="G200" s="118"/>
      <c r="H200" s="117" t="s">
        <v>1252</v>
      </c>
      <c r="I200" s="117" t="s">
        <v>1252</v>
      </c>
      <c r="J200" s="117" t="s">
        <v>2282</v>
      </c>
      <c r="K200" s="123" t="s">
        <v>2147</v>
      </c>
      <c r="L200" s="117" t="s">
        <v>2282</v>
      </c>
      <c r="M200" s="123" t="s">
        <v>2283</v>
      </c>
      <c r="N200" s="117" t="s">
        <v>2266</v>
      </c>
      <c r="O200" s="118"/>
      <c r="P200" s="118"/>
      <c r="Q200" s="117"/>
      <c r="R200" s="117"/>
      <c r="S200" s="117"/>
      <c r="T200" s="117"/>
      <c r="U200" s="117"/>
      <c r="V200" s="123"/>
      <c r="W200" s="117"/>
      <c r="X200" s="118"/>
      <c r="Y200" s="118"/>
      <c r="Z200" s="118"/>
      <c r="AA200" s="118"/>
      <c r="AB200" s="117"/>
      <c r="AC200" s="117"/>
      <c r="AD200" s="117"/>
      <c r="AE200" s="117"/>
      <c r="AF200" s="117"/>
      <c r="AG200" s="117"/>
      <c r="AH200" s="117"/>
      <c r="AI200" s="117"/>
      <c r="AJ200" s="117"/>
    </row>
    <row r="201" spans="1:36" ht="24.75" customHeight="1">
      <c r="A201" s="116"/>
      <c r="B201" s="117" t="s">
        <v>1471</v>
      </c>
      <c r="C201" s="117"/>
      <c r="D201" s="117"/>
      <c r="E201" s="117" t="s">
        <v>1241</v>
      </c>
      <c r="F201" s="118" t="s">
        <v>2284</v>
      </c>
      <c r="G201" s="118"/>
      <c r="H201" s="117" t="s">
        <v>1252</v>
      </c>
      <c r="I201" s="117" t="s">
        <v>1252</v>
      </c>
      <c r="J201" s="117" t="s">
        <v>2282</v>
      </c>
      <c r="K201" s="123" t="s">
        <v>2147</v>
      </c>
      <c r="L201" s="117" t="s">
        <v>2282</v>
      </c>
      <c r="M201" s="123" t="s">
        <v>2283</v>
      </c>
      <c r="N201" s="117" t="s">
        <v>2266</v>
      </c>
      <c r="O201" s="118"/>
      <c r="P201" s="118"/>
      <c r="Q201" s="117"/>
      <c r="R201" s="117"/>
      <c r="S201" s="117"/>
      <c r="T201" s="117"/>
      <c r="U201" s="117"/>
      <c r="V201" s="123"/>
      <c r="W201" s="117"/>
      <c r="X201" s="118"/>
      <c r="Y201" s="118"/>
      <c r="Z201" s="118"/>
      <c r="AA201" s="118"/>
      <c r="AB201" s="117"/>
      <c r="AC201" s="117"/>
      <c r="AD201" s="117"/>
      <c r="AE201" s="117"/>
      <c r="AF201" s="117"/>
      <c r="AG201" s="117"/>
      <c r="AH201" s="117"/>
      <c r="AI201" s="117"/>
      <c r="AJ201" s="117"/>
    </row>
    <row r="202" spans="1:36" ht="24.75" customHeight="1">
      <c r="A202" s="116"/>
      <c r="B202" s="117" t="s">
        <v>1471</v>
      </c>
      <c r="C202" s="117"/>
      <c r="D202" s="117"/>
      <c r="E202" s="117" t="s">
        <v>1241</v>
      </c>
      <c r="F202" s="118" t="s">
        <v>2285</v>
      </c>
      <c r="G202" s="118"/>
      <c r="H202" s="117" t="s">
        <v>1252</v>
      </c>
      <c r="I202" s="117" t="s">
        <v>1252</v>
      </c>
      <c r="J202" s="117"/>
      <c r="K202" s="123"/>
      <c r="L202" s="117"/>
      <c r="M202" s="123"/>
      <c r="N202" s="117"/>
      <c r="O202" s="118"/>
      <c r="P202" s="118"/>
      <c r="Q202" s="117"/>
      <c r="R202" s="117"/>
      <c r="S202" s="117"/>
      <c r="T202" s="117"/>
      <c r="U202" s="117"/>
      <c r="V202" s="123"/>
      <c r="W202" s="117"/>
      <c r="X202" s="118"/>
      <c r="Y202" s="118"/>
      <c r="Z202" s="118"/>
      <c r="AA202" s="118"/>
      <c r="AB202" s="117"/>
      <c r="AC202" s="117"/>
      <c r="AD202" s="117"/>
      <c r="AE202" s="117"/>
      <c r="AF202" s="117"/>
      <c r="AG202" s="117"/>
      <c r="AH202" s="117"/>
      <c r="AI202" s="117"/>
      <c r="AJ202" s="117"/>
    </row>
    <row r="203" spans="1:36" ht="24.75" customHeight="1">
      <c r="A203" s="116"/>
      <c r="B203" s="117" t="s">
        <v>1471</v>
      </c>
      <c r="C203" s="117"/>
      <c r="D203" s="117"/>
      <c r="E203" s="117" t="s">
        <v>1241</v>
      </c>
      <c r="F203" s="118" t="s">
        <v>2286</v>
      </c>
      <c r="G203" s="118"/>
      <c r="H203" s="117" t="s">
        <v>1252</v>
      </c>
      <c r="I203" s="117" t="s">
        <v>1252</v>
      </c>
      <c r="J203" s="117" t="s">
        <v>2287</v>
      </c>
      <c r="K203" s="123" t="s">
        <v>2147</v>
      </c>
      <c r="L203" s="117" t="s">
        <v>2288</v>
      </c>
      <c r="M203" s="123" t="s">
        <v>2289</v>
      </c>
      <c r="N203" s="117" t="s">
        <v>2266</v>
      </c>
      <c r="O203" s="118"/>
      <c r="P203" s="118"/>
      <c r="Q203" s="117"/>
      <c r="R203" s="117"/>
      <c r="S203" s="117"/>
      <c r="T203" s="117"/>
      <c r="U203" s="117"/>
      <c r="V203" s="123"/>
      <c r="W203" s="117"/>
      <c r="X203" s="118"/>
      <c r="Y203" s="118"/>
      <c r="Z203" s="118"/>
      <c r="AA203" s="118"/>
      <c r="AB203" s="117"/>
      <c r="AC203" s="117"/>
      <c r="AD203" s="117"/>
      <c r="AE203" s="117"/>
      <c r="AF203" s="117"/>
      <c r="AG203" s="117"/>
      <c r="AH203" s="117"/>
      <c r="AI203" s="117"/>
      <c r="AJ203" s="117"/>
    </row>
    <row r="204" spans="1:36" ht="24.75" customHeight="1">
      <c r="A204" s="116"/>
      <c r="B204" s="117" t="s">
        <v>1471</v>
      </c>
      <c r="C204" s="117"/>
      <c r="D204" s="117"/>
      <c r="E204" s="117" t="s">
        <v>1241</v>
      </c>
      <c r="F204" s="118" t="s">
        <v>2290</v>
      </c>
      <c r="G204" s="118"/>
      <c r="H204" s="117" t="s">
        <v>1252</v>
      </c>
      <c r="I204" s="117" t="s">
        <v>1252</v>
      </c>
      <c r="J204" s="117"/>
      <c r="K204" s="123"/>
      <c r="L204" s="117"/>
      <c r="M204" s="123"/>
      <c r="N204" s="117"/>
      <c r="O204" s="118"/>
      <c r="P204" s="118"/>
      <c r="Q204" s="117"/>
      <c r="R204" s="117"/>
      <c r="S204" s="117"/>
      <c r="T204" s="117"/>
      <c r="U204" s="117"/>
      <c r="V204" s="123"/>
      <c r="W204" s="117"/>
      <c r="X204" s="118"/>
      <c r="Y204" s="118"/>
      <c r="Z204" s="118"/>
      <c r="AA204" s="118"/>
      <c r="AB204" s="117"/>
      <c r="AC204" s="117"/>
      <c r="AD204" s="117"/>
      <c r="AE204" s="117"/>
      <c r="AF204" s="117"/>
      <c r="AG204" s="117"/>
      <c r="AH204" s="117"/>
      <c r="AI204" s="117"/>
      <c r="AJ204" s="117"/>
    </row>
    <row r="205" spans="1:36" ht="24.75" customHeight="1">
      <c r="A205" s="116"/>
      <c r="B205" s="117" t="s">
        <v>1471</v>
      </c>
      <c r="C205" s="117"/>
      <c r="D205" s="117"/>
      <c r="E205" s="117" t="s">
        <v>1241</v>
      </c>
      <c r="F205" s="118" t="s">
        <v>2291</v>
      </c>
      <c r="G205" s="118"/>
      <c r="H205" s="117" t="s">
        <v>1252</v>
      </c>
      <c r="I205" s="117" t="s">
        <v>1252</v>
      </c>
      <c r="J205" s="117"/>
      <c r="K205" s="123"/>
      <c r="L205" s="117"/>
      <c r="M205" s="123"/>
      <c r="N205" s="117"/>
      <c r="O205" s="118"/>
      <c r="P205" s="118"/>
      <c r="Q205" s="117"/>
      <c r="R205" s="117"/>
      <c r="S205" s="117"/>
      <c r="T205" s="117"/>
      <c r="U205" s="117"/>
      <c r="V205" s="123"/>
      <c r="W205" s="117"/>
      <c r="X205" s="118"/>
      <c r="Y205" s="118"/>
      <c r="Z205" s="118"/>
      <c r="AA205" s="118"/>
      <c r="AB205" s="117"/>
      <c r="AC205" s="117"/>
      <c r="AD205" s="117"/>
      <c r="AE205" s="117"/>
      <c r="AF205" s="117"/>
      <c r="AG205" s="117"/>
      <c r="AH205" s="117"/>
      <c r="AI205" s="117"/>
      <c r="AJ205" s="117"/>
    </row>
    <row r="206" spans="1:36" ht="24.75" customHeight="1">
      <c r="A206" s="116"/>
      <c r="B206" s="117" t="s">
        <v>1471</v>
      </c>
      <c r="C206" s="117"/>
      <c r="D206" s="117"/>
      <c r="E206" s="117" t="s">
        <v>1241</v>
      </c>
      <c r="F206" s="118" t="s">
        <v>2292</v>
      </c>
      <c r="G206" s="118"/>
      <c r="H206" s="117" t="s">
        <v>292</v>
      </c>
      <c r="I206" s="117"/>
      <c r="J206" s="117" t="s">
        <v>316</v>
      </c>
      <c r="K206" s="123" t="s">
        <v>1243</v>
      </c>
      <c r="L206" s="117" t="s">
        <v>316</v>
      </c>
      <c r="M206" s="123" t="s">
        <v>1411</v>
      </c>
      <c r="N206" s="117" t="s">
        <v>2223</v>
      </c>
      <c r="O206" s="118" t="s">
        <v>2293</v>
      </c>
      <c r="P206" s="118"/>
      <c r="Q206" s="117"/>
      <c r="R206" s="117"/>
      <c r="S206" s="117"/>
      <c r="T206" s="117"/>
      <c r="U206" s="117"/>
      <c r="V206" s="123"/>
      <c r="W206" s="117"/>
      <c r="X206" s="128" t="s">
        <v>2294</v>
      </c>
      <c r="Y206" s="118"/>
      <c r="Z206" s="128" t="s">
        <v>2295</v>
      </c>
      <c r="AA206" s="118"/>
      <c r="AB206" s="117"/>
      <c r="AC206" s="117"/>
      <c r="AD206" s="117"/>
      <c r="AE206" s="117"/>
      <c r="AF206" s="117"/>
      <c r="AG206" s="117"/>
      <c r="AH206" s="117"/>
      <c r="AI206" s="117"/>
      <c r="AJ206" s="117"/>
    </row>
    <row r="207" spans="1:36" ht="24.75" customHeight="1">
      <c r="A207" s="116"/>
      <c r="B207" s="117" t="s">
        <v>1471</v>
      </c>
      <c r="C207" s="117"/>
      <c r="D207" s="117"/>
      <c r="E207" s="117" t="s">
        <v>1241</v>
      </c>
      <c r="F207" s="118" t="s">
        <v>2296</v>
      </c>
      <c r="G207" s="118"/>
      <c r="H207" s="117" t="s">
        <v>292</v>
      </c>
      <c r="I207" s="117"/>
      <c r="J207" s="117" t="s">
        <v>316</v>
      </c>
      <c r="K207" s="123" t="s">
        <v>1243</v>
      </c>
      <c r="L207" s="117" t="s">
        <v>316</v>
      </c>
      <c r="M207" s="123" t="s">
        <v>1411</v>
      </c>
      <c r="N207" s="117" t="s">
        <v>2297</v>
      </c>
      <c r="O207" s="118" t="s">
        <v>422</v>
      </c>
      <c r="P207" s="118"/>
      <c r="Q207" s="117"/>
      <c r="R207" s="117"/>
      <c r="S207" s="117"/>
      <c r="T207" s="117"/>
      <c r="U207" s="117"/>
      <c r="V207" s="123"/>
      <c r="W207" s="117"/>
      <c r="X207" s="128" t="s">
        <v>2298</v>
      </c>
      <c r="Y207" s="128"/>
      <c r="Z207" s="128" t="s">
        <v>2299</v>
      </c>
      <c r="AA207" s="118" t="s">
        <v>2300</v>
      </c>
      <c r="AB207" s="117"/>
      <c r="AC207" s="117"/>
      <c r="AD207" s="117"/>
      <c r="AE207" s="117"/>
      <c r="AF207" s="117"/>
      <c r="AG207" s="117"/>
      <c r="AH207" s="117"/>
      <c r="AI207" s="117"/>
      <c r="AJ207" s="117"/>
    </row>
    <row r="208" spans="1:36" ht="24.75" customHeight="1">
      <c r="A208" s="116"/>
      <c r="B208" s="117" t="s">
        <v>1471</v>
      </c>
      <c r="C208" s="117"/>
      <c r="D208" s="117"/>
      <c r="E208" s="117" t="s">
        <v>1241</v>
      </c>
      <c r="F208" s="118" t="s">
        <v>2301</v>
      </c>
      <c r="G208" s="118"/>
      <c r="H208" s="117" t="s">
        <v>422</v>
      </c>
      <c r="I208" s="117" t="s">
        <v>1252</v>
      </c>
      <c r="J208" s="117" t="s">
        <v>301</v>
      </c>
      <c r="K208" s="123" t="s">
        <v>2302</v>
      </c>
      <c r="L208" s="117" t="s">
        <v>301</v>
      </c>
      <c r="M208" s="123" t="s">
        <v>2303</v>
      </c>
      <c r="N208" s="117" t="s">
        <v>2304</v>
      </c>
      <c r="O208" s="118" t="s">
        <v>2305</v>
      </c>
      <c r="P208" s="118"/>
      <c r="Q208" s="117"/>
      <c r="R208" s="117"/>
      <c r="S208" s="117"/>
      <c r="T208" s="117"/>
      <c r="U208" s="117"/>
      <c r="V208" s="123"/>
      <c r="W208" s="117"/>
      <c r="X208" s="128" t="s">
        <v>2306</v>
      </c>
      <c r="Y208" s="128" t="s">
        <v>2307</v>
      </c>
      <c r="Z208" s="128" t="s">
        <v>2308</v>
      </c>
      <c r="AA208" s="118"/>
      <c r="AB208" s="117"/>
      <c r="AC208" s="117"/>
      <c r="AD208" s="117"/>
      <c r="AE208" s="117"/>
      <c r="AF208" s="117"/>
      <c r="AG208" s="117"/>
      <c r="AH208" s="117"/>
      <c r="AI208" s="117"/>
      <c r="AJ208" s="117"/>
    </row>
    <row r="209" spans="1:36" ht="24.75" customHeight="1">
      <c r="A209" s="116"/>
      <c r="B209" s="117" t="s">
        <v>1471</v>
      </c>
      <c r="C209" s="117"/>
      <c r="D209" s="117"/>
      <c r="E209" s="117" t="s">
        <v>1241</v>
      </c>
      <c r="F209" s="157" t="s">
        <v>1115</v>
      </c>
      <c r="G209" s="118" t="s">
        <v>2309</v>
      </c>
      <c r="H209" s="117" t="s">
        <v>292</v>
      </c>
      <c r="I209" s="117"/>
      <c r="J209" s="117" t="s">
        <v>267</v>
      </c>
      <c r="K209" s="123" t="s">
        <v>1243</v>
      </c>
      <c r="L209" s="117" t="s">
        <v>267</v>
      </c>
      <c r="M209" s="123" t="s">
        <v>1320</v>
      </c>
      <c r="N209" s="117" t="s">
        <v>1263</v>
      </c>
      <c r="O209" s="118" t="s">
        <v>2310</v>
      </c>
      <c r="P209" s="118" t="s">
        <v>1921</v>
      </c>
      <c r="Q209" s="117"/>
      <c r="R209" s="117"/>
      <c r="S209" s="117"/>
      <c r="T209" s="117"/>
      <c r="U209" s="117"/>
      <c r="V209" s="123" t="s">
        <v>2311</v>
      </c>
      <c r="W209" s="117" t="s">
        <v>1339</v>
      </c>
      <c r="X209" s="182" t="s">
        <v>2312</v>
      </c>
      <c r="Y209" s="118"/>
      <c r="Z209" s="128" t="s">
        <v>2313</v>
      </c>
      <c r="AA209" s="118" t="s">
        <v>2314</v>
      </c>
      <c r="AB209" s="117"/>
      <c r="AC209" s="117"/>
      <c r="AD209" s="117"/>
      <c r="AE209" s="117"/>
      <c r="AF209" s="117"/>
      <c r="AG209" s="117"/>
      <c r="AH209" s="117"/>
      <c r="AI209" s="117"/>
      <c r="AJ209" s="117"/>
    </row>
    <row r="210" spans="1:36" ht="24.75" customHeight="1">
      <c r="A210" s="116"/>
      <c r="B210" s="117" t="s">
        <v>1471</v>
      </c>
      <c r="C210" s="117" t="s">
        <v>1312</v>
      </c>
      <c r="D210" s="117"/>
      <c r="E210" s="117" t="s">
        <v>1241</v>
      </c>
      <c r="F210" s="159" t="s">
        <v>327</v>
      </c>
      <c r="G210" s="118" t="s">
        <v>2315</v>
      </c>
      <c r="H210" s="117" t="s">
        <v>292</v>
      </c>
      <c r="I210" s="117"/>
      <c r="J210" s="117" t="s">
        <v>267</v>
      </c>
      <c r="K210" s="123" t="s">
        <v>1243</v>
      </c>
      <c r="L210" s="117" t="s">
        <v>267</v>
      </c>
      <c r="M210" s="123" t="s">
        <v>1320</v>
      </c>
      <c r="N210" s="117" t="s">
        <v>1263</v>
      </c>
      <c r="O210" s="118" t="s">
        <v>2316</v>
      </c>
      <c r="P210" s="118" t="s">
        <v>1289</v>
      </c>
      <c r="Q210" s="117"/>
      <c r="R210" s="117"/>
      <c r="S210" s="117"/>
      <c r="T210" s="117"/>
      <c r="U210" s="117"/>
      <c r="V210" s="123" t="s">
        <v>2317</v>
      </c>
      <c r="W210" s="117" t="s">
        <v>1339</v>
      </c>
      <c r="X210" s="128" t="s">
        <v>2318</v>
      </c>
      <c r="Y210" s="118"/>
      <c r="Z210" s="128" t="s">
        <v>2319</v>
      </c>
      <c r="AA210" s="118" t="s">
        <v>2320</v>
      </c>
      <c r="AB210" s="117"/>
      <c r="AC210" s="117"/>
      <c r="AD210" s="117"/>
      <c r="AE210" s="117"/>
      <c r="AF210" s="117"/>
      <c r="AG210" s="117"/>
      <c r="AH210" s="117"/>
      <c r="AI210" s="117"/>
      <c r="AJ210" s="117"/>
    </row>
    <row r="211" spans="1:36" ht="24.75" customHeight="1">
      <c r="A211" s="116"/>
      <c r="B211" s="117" t="s">
        <v>1471</v>
      </c>
      <c r="C211" s="117"/>
      <c r="D211" s="117"/>
      <c r="E211" s="117" t="s">
        <v>1241</v>
      </c>
      <c r="F211" s="157" t="s">
        <v>347</v>
      </c>
      <c r="G211" s="118" t="s">
        <v>2321</v>
      </c>
      <c r="H211" s="117" t="s">
        <v>292</v>
      </c>
      <c r="I211" s="117"/>
      <c r="J211" s="117" t="s">
        <v>267</v>
      </c>
      <c r="K211" s="123" t="s">
        <v>1243</v>
      </c>
      <c r="L211" s="117" t="s">
        <v>267</v>
      </c>
      <c r="M211" s="123" t="s">
        <v>1320</v>
      </c>
      <c r="N211" s="117" t="s">
        <v>1263</v>
      </c>
      <c r="O211" s="118" t="s">
        <v>2322</v>
      </c>
      <c r="P211" s="118" t="s">
        <v>2323</v>
      </c>
      <c r="Q211" s="117"/>
      <c r="R211" s="117"/>
      <c r="S211" s="117"/>
      <c r="T211" s="117"/>
      <c r="U211" s="117"/>
      <c r="V211" s="123" t="s">
        <v>2324</v>
      </c>
      <c r="W211" s="117" t="s">
        <v>1339</v>
      </c>
      <c r="X211" s="128" t="s">
        <v>2325</v>
      </c>
      <c r="Y211" s="118"/>
      <c r="Z211" s="128" t="s">
        <v>2326</v>
      </c>
      <c r="AA211" s="118" t="s">
        <v>2327</v>
      </c>
      <c r="AB211" s="117"/>
      <c r="AC211" s="117"/>
      <c r="AD211" s="117"/>
      <c r="AE211" s="117"/>
      <c r="AF211" s="117"/>
      <c r="AG211" s="117"/>
      <c r="AH211" s="117"/>
      <c r="AI211" s="117"/>
      <c r="AJ211" s="117"/>
    </row>
    <row r="212" spans="1:36" ht="24.75" customHeight="1">
      <c r="A212" s="116"/>
      <c r="B212" s="117" t="s">
        <v>1471</v>
      </c>
      <c r="C212" s="117"/>
      <c r="D212" s="117"/>
      <c r="E212" s="117" t="s">
        <v>1241</v>
      </c>
      <c r="F212" s="157" t="s">
        <v>2328</v>
      </c>
      <c r="G212" s="118" t="s">
        <v>2329</v>
      </c>
      <c r="H212" s="117" t="s">
        <v>292</v>
      </c>
      <c r="I212" s="117"/>
      <c r="J212" s="117" t="s">
        <v>267</v>
      </c>
      <c r="K212" s="123" t="s">
        <v>1243</v>
      </c>
      <c r="L212" s="117" t="s">
        <v>267</v>
      </c>
      <c r="M212" s="123" t="s">
        <v>1262</v>
      </c>
      <c r="N212" s="117" t="s">
        <v>1263</v>
      </c>
      <c r="O212" s="118" t="s">
        <v>2330</v>
      </c>
      <c r="P212" s="118" t="s">
        <v>2331</v>
      </c>
      <c r="Q212" s="117"/>
      <c r="R212" s="117"/>
      <c r="S212" s="117"/>
      <c r="T212" s="117"/>
      <c r="U212" s="117"/>
      <c r="V212" s="123"/>
      <c r="W212" s="117" t="s">
        <v>1339</v>
      </c>
      <c r="X212" s="171" t="s">
        <v>2332</v>
      </c>
      <c r="Y212" s="118"/>
      <c r="Z212" s="128" t="s">
        <v>2333</v>
      </c>
      <c r="AA212" s="118" t="s">
        <v>2334</v>
      </c>
      <c r="AB212" s="117"/>
      <c r="AC212" s="117"/>
      <c r="AD212" s="117"/>
      <c r="AE212" s="117"/>
      <c r="AF212" s="117"/>
      <c r="AG212" s="117"/>
      <c r="AH212" s="117"/>
      <c r="AI212" s="117"/>
      <c r="AJ212" s="117"/>
    </row>
    <row r="213" spans="1:36" ht="24.75" customHeight="1">
      <c r="A213" s="116"/>
      <c r="B213" s="117" t="s">
        <v>1471</v>
      </c>
      <c r="C213" s="117" t="s">
        <v>1312</v>
      </c>
      <c r="D213" s="117"/>
      <c r="E213" s="117" t="s">
        <v>1241</v>
      </c>
      <c r="F213" s="159" t="s">
        <v>326</v>
      </c>
      <c r="G213" s="118" t="s">
        <v>2335</v>
      </c>
      <c r="H213" s="117" t="s">
        <v>292</v>
      </c>
      <c r="I213" s="117"/>
      <c r="J213" s="117" t="s">
        <v>267</v>
      </c>
      <c r="K213" s="123" t="s">
        <v>1243</v>
      </c>
      <c r="L213" s="117" t="s">
        <v>267</v>
      </c>
      <c r="M213" s="123" t="s">
        <v>1262</v>
      </c>
      <c r="N213" s="117" t="s">
        <v>1263</v>
      </c>
      <c r="O213" s="118" t="s">
        <v>2336</v>
      </c>
      <c r="P213" s="118"/>
      <c r="Q213" s="117"/>
      <c r="R213" s="117"/>
      <c r="S213" s="117"/>
      <c r="T213" s="117"/>
      <c r="U213" s="117"/>
      <c r="V213" s="123"/>
      <c r="W213" s="117" t="s">
        <v>1339</v>
      </c>
      <c r="X213" s="172" t="s">
        <v>2337</v>
      </c>
      <c r="Y213" s="118"/>
      <c r="Z213" s="128" t="s">
        <v>2338</v>
      </c>
      <c r="AA213" s="118" t="s">
        <v>2339</v>
      </c>
      <c r="AB213" s="117"/>
      <c r="AC213" s="117"/>
      <c r="AD213" s="117"/>
      <c r="AE213" s="117"/>
      <c r="AF213" s="117"/>
      <c r="AG213" s="117"/>
      <c r="AH213" s="117"/>
      <c r="AI213" s="117"/>
      <c r="AJ213" s="117"/>
    </row>
    <row r="214" spans="1:36" ht="24.75" customHeight="1">
      <c r="A214" s="116"/>
      <c r="B214" s="117" t="s">
        <v>1471</v>
      </c>
      <c r="C214" s="117" t="s">
        <v>1312</v>
      </c>
      <c r="D214" s="117"/>
      <c r="E214" s="117" t="s">
        <v>1241</v>
      </c>
      <c r="F214" s="159" t="s">
        <v>381</v>
      </c>
      <c r="G214" s="118" t="s">
        <v>2340</v>
      </c>
      <c r="H214" s="117" t="s">
        <v>292</v>
      </c>
      <c r="I214" s="117"/>
      <c r="J214" s="117" t="s">
        <v>267</v>
      </c>
      <c r="K214" s="123" t="s">
        <v>1243</v>
      </c>
      <c r="L214" s="117" t="s">
        <v>267</v>
      </c>
      <c r="M214" s="123" t="s">
        <v>1329</v>
      </c>
      <c r="N214" s="117" t="s">
        <v>1263</v>
      </c>
      <c r="O214" s="118" t="s">
        <v>2341</v>
      </c>
      <c r="P214" s="118" t="s">
        <v>2342</v>
      </c>
      <c r="Q214" s="117"/>
      <c r="R214" s="117"/>
      <c r="S214" s="117"/>
      <c r="T214" s="117"/>
      <c r="U214" s="117"/>
      <c r="V214" s="142" t="s">
        <v>2343</v>
      </c>
      <c r="W214" s="117" t="s">
        <v>2344</v>
      </c>
      <c r="X214" s="128" t="s">
        <v>2345</v>
      </c>
      <c r="Y214" s="118"/>
      <c r="Z214" s="177" t="s">
        <v>2346</v>
      </c>
      <c r="AA214" s="118"/>
      <c r="AB214" s="117" t="s">
        <v>1269</v>
      </c>
      <c r="AC214" s="117" t="s">
        <v>1269</v>
      </c>
      <c r="AD214" s="117" t="s">
        <v>1269</v>
      </c>
      <c r="AE214" s="117" t="s">
        <v>1269</v>
      </c>
      <c r="AF214" s="117" t="s">
        <v>430</v>
      </c>
      <c r="AG214" s="117" t="s">
        <v>2347</v>
      </c>
      <c r="AH214" s="117" t="s">
        <v>2348</v>
      </c>
      <c r="AI214" s="117" t="s">
        <v>1654</v>
      </c>
      <c r="AJ214" s="117"/>
    </row>
    <row r="215" spans="1:36" ht="24.75" customHeight="1">
      <c r="A215" s="116"/>
      <c r="B215" s="117" t="s">
        <v>1471</v>
      </c>
      <c r="C215" s="117"/>
      <c r="D215" s="117"/>
      <c r="E215" s="117" t="s">
        <v>1241</v>
      </c>
      <c r="F215" s="118" t="s">
        <v>2349</v>
      </c>
      <c r="G215" s="118" t="s">
        <v>2349</v>
      </c>
      <c r="H215" s="117" t="s">
        <v>292</v>
      </c>
      <c r="I215" s="143" t="s">
        <v>1252</v>
      </c>
      <c r="J215" s="117" t="s">
        <v>279</v>
      </c>
      <c r="K215" s="123"/>
      <c r="L215" s="117" t="s">
        <v>279</v>
      </c>
      <c r="M215" s="123"/>
      <c r="N215" s="117"/>
      <c r="O215" s="118"/>
      <c r="P215" s="118"/>
      <c r="Q215" s="117"/>
      <c r="R215" s="117"/>
      <c r="S215" s="117"/>
      <c r="T215" s="117"/>
      <c r="U215" s="117"/>
      <c r="V215" s="123"/>
      <c r="W215" s="117"/>
      <c r="X215" s="118"/>
      <c r="Y215" s="118"/>
      <c r="Z215" s="118"/>
      <c r="AA215" s="118"/>
      <c r="AB215" s="117"/>
      <c r="AC215" s="117"/>
      <c r="AD215" s="117"/>
      <c r="AE215" s="117"/>
      <c r="AF215" s="117"/>
      <c r="AG215" s="117"/>
      <c r="AH215" s="117"/>
      <c r="AI215" s="117"/>
      <c r="AJ215" s="117"/>
    </row>
    <row r="216" spans="1:36" ht="24.75" customHeight="1">
      <c r="A216" s="116"/>
      <c r="B216" s="117" t="s">
        <v>1438</v>
      </c>
      <c r="C216" s="117"/>
      <c r="D216" s="117"/>
      <c r="E216" s="117" t="s">
        <v>1241</v>
      </c>
      <c r="F216" s="118" t="s">
        <v>2350</v>
      </c>
      <c r="G216" s="118"/>
      <c r="H216" s="117" t="s">
        <v>422</v>
      </c>
      <c r="I216" s="117" t="s">
        <v>1252</v>
      </c>
      <c r="J216" s="117" t="s">
        <v>301</v>
      </c>
      <c r="K216" s="123" t="s">
        <v>2302</v>
      </c>
      <c r="L216" s="117" t="s">
        <v>301</v>
      </c>
      <c r="M216" s="123" t="s">
        <v>2303</v>
      </c>
      <c r="N216" s="117" t="s">
        <v>2223</v>
      </c>
      <c r="O216" s="118"/>
      <c r="P216" s="118"/>
      <c r="Q216" s="117"/>
      <c r="R216" s="117"/>
      <c r="S216" s="117"/>
      <c r="T216" s="117"/>
      <c r="U216" s="117"/>
      <c r="V216" s="123"/>
      <c r="W216" s="117"/>
      <c r="X216" s="118"/>
      <c r="Y216" s="118"/>
      <c r="Z216" s="118"/>
      <c r="AA216" s="118"/>
      <c r="AB216" s="117"/>
      <c r="AC216" s="117"/>
      <c r="AD216" s="117"/>
      <c r="AE216" s="117"/>
      <c r="AF216" s="117"/>
      <c r="AG216" s="117"/>
      <c r="AH216" s="117"/>
      <c r="AI216" s="117"/>
      <c r="AJ216" s="117"/>
    </row>
    <row r="217" spans="1:36" ht="24.75" customHeight="1">
      <c r="A217" s="116"/>
      <c r="B217" s="117" t="s">
        <v>1438</v>
      </c>
      <c r="C217" s="117"/>
      <c r="D217" s="117"/>
      <c r="E217" s="117" t="s">
        <v>1241</v>
      </c>
      <c r="F217" s="118" t="s">
        <v>2351</v>
      </c>
      <c r="G217" s="118"/>
      <c r="H217" s="117" t="s">
        <v>422</v>
      </c>
      <c r="I217" s="117" t="s">
        <v>1252</v>
      </c>
      <c r="J217" s="117" t="s">
        <v>301</v>
      </c>
      <c r="K217" s="123" t="s">
        <v>2302</v>
      </c>
      <c r="L217" s="117" t="s">
        <v>301</v>
      </c>
      <c r="M217" s="123" t="s">
        <v>2352</v>
      </c>
      <c r="N217" s="117" t="s">
        <v>2223</v>
      </c>
      <c r="O217" s="118"/>
      <c r="P217" s="118"/>
      <c r="Q217" s="117"/>
      <c r="R217" s="117"/>
      <c r="S217" s="117"/>
      <c r="T217" s="117"/>
      <c r="U217" s="117"/>
      <c r="V217" s="123"/>
      <c r="W217" s="117"/>
      <c r="X217" s="118"/>
      <c r="Y217" s="118"/>
      <c r="Z217" s="118"/>
      <c r="AA217" s="118"/>
      <c r="AB217" s="117"/>
      <c r="AC217" s="117"/>
      <c r="AD217" s="117"/>
      <c r="AE217" s="117"/>
      <c r="AF217" s="117"/>
      <c r="AG217" s="117"/>
      <c r="AH217" s="117"/>
      <c r="AI217" s="117"/>
      <c r="AJ217" s="117"/>
    </row>
    <row r="218" spans="1:36" ht="24.75" customHeight="1">
      <c r="A218" s="116"/>
      <c r="B218" s="117" t="s">
        <v>1438</v>
      </c>
      <c r="C218" s="117"/>
      <c r="D218" s="117"/>
      <c r="E218" s="117" t="s">
        <v>1241</v>
      </c>
      <c r="F218" s="118" t="s">
        <v>2353</v>
      </c>
      <c r="G218" s="118"/>
      <c r="H218" s="117" t="s">
        <v>422</v>
      </c>
      <c r="I218" s="117" t="s">
        <v>1252</v>
      </c>
      <c r="J218" s="117" t="s">
        <v>301</v>
      </c>
      <c r="K218" s="123" t="s">
        <v>2302</v>
      </c>
      <c r="L218" s="117" t="s">
        <v>301</v>
      </c>
      <c r="M218" s="123" t="s">
        <v>2303</v>
      </c>
      <c r="N218" s="117" t="s">
        <v>2223</v>
      </c>
      <c r="O218" s="118"/>
      <c r="P218" s="118"/>
      <c r="Q218" s="117"/>
      <c r="R218" s="117"/>
      <c r="S218" s="117"/>
      <c r="T218" s="117"/>
      <c r="U218" s="117"/>
      <c r="V218" s="123"/>
      <c r="W218" s="117"/>
      <c r="X218" s="118"/>
      <c r="Y218" s="118"/>
      <c r="Z218" s="118"/>
      <c r="AA218" s="118"/>
      <c r="AB218" s="117"/>
      <c r="AC218" s="117"/>
      <c r="AD218" s="117"/>
      <c r="AE218" s="117"/>
      <c r="AF218" s="117"/>
      <c r="AG218" s="117"/>
      <c r="AH218" s="117"/>
      <c r="AI218" s="117"/>
      <c r="AJ218" s="117"/>
    </row>
    <row r="219" spans="1:36" ht="24.75" customHeight="1">
      <c r="A219" s="116"/>
      <c r="B219" s="117" t="s">
        <v>1438</v>
      </c>
      <c r="C219" s="117"/>
      <c r="D219" s="117"/>
      <c r="E219" s="117" t="s">
        <v>1241</v>
      </c>
      <c r="F219" s="118" t="s">
        <v>2354</v>
      </c>
      <c r="G219" s="118"/>
      <c r="H219" s="117" t="s">
        <v>422</v>
      </c>
      <c r="I219" s="117" t="s">
        <v>1252</v>
      </c>
      <c r="J219" s="117" t="s">
        <v>301</v>
      </c>
      <c r="K219" s="123" t="s">
        <v>2302</v>
      </c>
      <c r="L219" s="117" t="s">
        <v>301</v>
      </c>
      <c r="M219" s="123" t="s">
        <v>2303</v>
      </c>
      <c r="N219" s="117" t="s">
        <v>2223</v>
      </c>
      <c r="O219" s="118"/>
      <c r="P219" s="118"/>
      <c r="Q219" s="117"/>
      <c r="R219" s="117"/>
      <c r="S219" s="117"/>
      <c r="T219" s="117"/>
      <c r="U219" s="117"/>
      <c r="V219" s="123"/>
      <c r="W219" s="117"/>
      <c r="X219" s="118"/>
      <c r="Y219" s="118"/>
      <c r="Z219" s="118"/>
      <c r="AA219" s="118"/>
      <c r="AB219" s="117"/>
      <c r="AC219" s="117"/>
      <c r="AD219" s="117"/>
      <c r="AE219" s="117"/>
      <c r="AF219" s="117"/>
      <c r="AG219" s="117"/>
      <c r="AH219" s="117"/>
      <c r="AI219" s="117"/>
      <c r="AJ219" s="117"/>
    </row>
    <row r="220" spans="1:36" ht="24.75" customHeight="1">
      <c r="A220" s="116"/>
      <c r="B220" s="117" t="s">
        <v>1438</v>
      </c>
      <c r="C220" s="117"/>
      <c r="D220" s="117"/>
      <c r="E220" s="117" t="s">
        <v>1241</v>
      </c>
      <c r="F220" s="118" t="s">
        <v>2355</v>
      </c>
      <c r="G220" s="118"/>
      <c r="H220" s="117" t="s">
        <v>422</v>
      </c>
      <c r="I220" s="117" t="s">
        <v>1252</v>
      </c>
      <c r="J220" s="117" t="s">
        <v>301</v>
      </c>
      <c r="K220" s="123" t="s">
        <v>2302</v>
      </c>
      <c r="L220" s="117" t="s">
        <v>301</v>
      </c>
      <c r="M220" s="123" t="s">
        <v>2303</v>
      </c>
      <c r="N220" s="117" t="s">
        <v>2223</v>
      </c>
      <c r="O220" s="118" t="s">
        <v>2356</v>
      </c>
      <c r="P220" s="118" t="s">
        <v>2357</v>
      </c>
      <c r="Q220" s="117"/>
      <c r="R220" s="117"/>
      <c r="S220" s="117"/>
      <c r="T220" s="117"/>
      <c r="U220" s="117"/>
      <c r="V220" s="123"/>
      <c r="W220" s="117"/>
      <c r="X220" s="128" t="s">
        <v>2358</v>
      </c>
      <c r="Y220" s="118"/>
      <c r="Z220" s="118"/>
      <c r="AA220" s="118"/>
      <c r="AB220" s="117"/>
      <c r="AC220" s="117"/>
      <c r="AD220" s="117"/>
      <c r="AE220" s="117"/>
      <c r="AF220" s="117"/>
      <c r="AG220" s="117"/>
      <c r="AH220" s="117"/>
      <c r="AI220" s="117"/>
      <c r="AJ220" s="117"/>
    </row>
    <row r="221" spans="1:36" ht="24.75" customHeight="1">
      <c r="A221" s="116"/>
      <c r="B221" s="117" t="s">
        <v>1438</v>
      </c>
      <c r="C221" s="117"/>
      <c r="D221" s="117"/>
      <c r="E221" s="117" t="s">
        <v>1241</v>
      </c>
      <c r="F221" s="118" t="s">
        <v>2359</v>
      </c>
      <c r="G221" s="118" t="s">
        <v>2360</v>
      </c>
      <c r="H221" s="117" t="s">
        <v>292</v>
      </c>
      <c r="I221" s="117"/>
      <c r="J221" s="117" t="s">
        <v>1287</v>
      </c>
      <c r="K221" s="123" t="s">
        <v>1243</v>
      </c>
      <c r="L221" s="117" t="s">
        <v>288</v>
      </c>
      <c r="M221" s="123" t="s">
        <v>1483</v>
      </c>
      <c r="N221" s="117" t="s">
        <v>1263</v>
      </c>
      <c r="O221" s="118" t="s">
        <v>2361</v>
      </c>
      <c r="P221" s="118" t="s">
        <v>2187</v>
      </c>
      <c r="Q221" s="117"/>
      <c r="R221" s="117"/>
      <c r="S221" s="117"/>
      <c r="T221" s="117"/>
      <c r="U221" s="117"/>
      <c r="V221" s="123" t="s">
        <v>2362</v>
      </c>
      <c r="W221" s="117"/>
      <c r="X221" s="128" t="s">
        <v>2363</v>
      </c>
      <c r="Y221" s="118"/>
      <c r="Z221" s="118"/>
      <c r="AA221" s="118" t="s">
        <v>2364</v>
      </c>
      <c r="AB221" s="117"/>
      <c r="AC221" s="117"/>
      <c r="AD221" s="117"/>
      <c r="AE221" s="117"/>
      <c r="AF221" s="117"/>
      <c r="AG221" s="117"/>
      <c r="AH221" s="117"/>
      <c r="AI221" s="117"/>
      <c r="AJ221" s="117"/>
    </row>
    <row r="222" spans="1:36" ht="24.75" customHeight="1">
      <c r="A222" s="116"/>
      <c r="B222" s="117" t="s">
        <v>1438</v>
      </c>
      <c r="C222" s="117"/>
      <c r="D222" s="117"/>
      <c r="E222" s="117" t="s">
        <v>1241</v>
      </c>
      <c r="F222" s="118" t="s">
        <v>2365</v>
      </c>
      <c r="G222" s="118" t="s">
        <v>2366</v>
      </c>
      <c r="H222" s="117" t="s">
        <v>292</v>
      </c>
      <c r="I222" s="117"/>
      <c r="J222" s="117" t="s">
        <v>1287</v>
      </c>
      <c r="K222" s="123" t="s">
        <v>1243</v>
      </c>
      <c r="L222" s="117" t="s">
        <v>288</v>
      </c>
      <c r="M222" s="123" t="s">
        <v>2367</v>
      </c>
      <c r="N222" s="117" t="s">
        <v>1245</v>
      </c>
      <c r="O222" s="118"/>
      <c r="P222" s="118"/>
      <c r="Q222" s="117"/>
      <c r="R222" s="117"/>
      <c r="S222" s="117"/>
      <c r="T222" s="117"/>
      <c r="U222" s="117"/>
      <c r="V222" s="123"/>
      <c r="W222" s="117"/>
      <c r="X222" s="118"/>
      <c r="Y222" s="118"/>
      <c r="Z222" s="118"/>
      <c r="AA222" s="118"/>
      <c r="AB222" s="117"/>
      <c r="AC222" s="117"/>
      <c r="AD222" s="117"/>
      <c r="AE222" s="117"/>
      <c r="AF222" s="117"/>
      <c r="AG222" s="117"/>
      <c r="AH222" s="117"/>
      <c r="AI222" s="117"/>
      <c r="AJ222" s="117"/>
    </row>
    <row r="223" spans="1:36" ht="24.75" customHeight="1">
      <c r="A223" s="116"/>
      <c r="B223" s="117" t="s">
        <v>1438</v>
      </c>
      <c r="C223" s="117"/>
      <c r="D223" s="117"/>
      <c r="E223" s="117" t="s">
        <v>1241</v>
      </c>
      <c r="F223" s="118" t="s">
        <v>2368</v>
      </c>
      <c r="G223" s="118" t="s">
        <v>2369</v>
      </c>
      <c r="H223" s="117" t="s">
        <v>292</v>
      </c>
      <c r="I223" s="117"/>
      <c r="J223" s="117" t="s">
        <v>1287</v>
      </c>
      <c r="K223" s="123" t="s">
        <v>1243</v>
      </c>
      <c r="L223" s="117" t="s">
        <v>288</v>
      </c>
      <c r="M223" s="123" t="s">
        <v>2370</v>
      </c>
      <c r="N223" s="117" t="s">
        <v>1245</v>
      </c>
      <c r="O223" s="118"/>
      <c r="P223" s="118"/>
      <c r="Q223" s="117"/>
      <c r="R223" s="117"/>
      <c r="S223" s="117"/>
      <c r="T223" s="117"/>
      <c r="U223" s="117"/>
      <c r="V223" s="123"/>
      <c r="W223" s="117"/>
      <c r="X223" s="118"/>
      <c r="Y223" s="118"/>
      <c r="Z223" s="118"/>
      <c r="AA223" s="118"/>
      <c r="AB223" s="117"/>
      <c r="AC223" s="117"/>
      <c r="AD223" s="117"/>
      <c r="AE223" s="117"/>
      <c r="AF223" s="117"/>
      <c r="AG223" s="117"/>
      <c r="AH223" s="117"/>
      <c r="AI223" s="117"/>
      <c r="AJ223" s="117"/>
    </row>
    <row r="224" spans="1:36" ht="24.75" customHeight="1">
      <c r="A224" s="116"/>
      <c r="B224" s="117" t="s">
        <v>1438</v>
      </c>
      <c r="C224" s="117"/>
      <c r="D224" s="117"/>
      <c r="E224" s="117" t="s">
        <v>1241</v>
      </c>
      <c r="F224" s="118" t="s">
        <v>2371</v>
      </c>
      <c r="G224" s="118" t="s">
        <v>2372</v>
      </c>
      <c r="H224" s="117" t="s">
        <v>292</v>
      </c>
      <c r="I224" s="143" t="s">
        <v>1252</v>
      </c>
      <c r="J224" s="117" t="s">
        <v>279</v>
      </c>
      <c r="K224" s="123" t="s">
        <v>2147</v>
      </c>
      <c r="L224" s="117" t="s">
        <v>279</v>
      </c>
      <c r="M224" s="123" t="s">
        <v>279</v>
      </c>
      <c r="N224" s="117" t="s">
        <v>1263</v>
      </c>
      <c r="O224" s="118"/>
      <c r="P224" s="118"/>
      <c r="Q224" s="117"/>
      <c r="R224" s="117"/>
      <c r="S224" s="117"/>
      <c r="T224" s="117"/>
      <c r="U224" s="117"/>
      <c r="V224" s="123"/>
      <c r="W224" s="117"/>
      <c r="X224" s="118" t="s">
        <v>2373</v>
      </c>
      <c r="Y224" s="118"/>
      <c r="Z224" s="118"/>
      <c r="AA224" s="118"/>
      <c r="AB224" s="117"/>
      <c r="AC224" s="117"/>
      <c r="AD224" s="117"/>
      <c r="AE224" s="117"/>
      <c r="AF224" s="117"/>
      <c r="AG224" s="117"/>
      <c r="AH224" s="117"/>
      <c r="AI224" s="117"/>
      <c r="AJ224" s="117"/>
    </row>
    <row r="225" spans="1:36" ht="24.75" customHeight="1">
      <c r="A225" s="116"/>
      <c r="B225" s="117" t="s">
        <v>1438</v>
      </c>
      <c r="C225" s="117"/>
      <c r="D225" s="117"/>
      <c r="E225" s="117" t="s">
        <v>1241</v>
      </c>
      <c r="F225" s="118" t="s">
        <v>348</v>
      </c>
      <c r="G225" s="118" t="s">
        <v>2374</v>
      </c>
      <c r="H225" s="117" t="s">
        <v>292</v>
      </c>
      <c r="I225" s="117"/>
      <c r="J225" s="117" t="s">
        <v>1287</v>
      </c>
      <c r="K225" s="123" t="s">
        <v>1243</v>
      </c>
      <c r="L225" s="117" t="s">
        <v>288</v>
      </c>
      <c r="M225" s="123" t="s">
        <v>1474</v>
      </c>
      <c r="N225" s="117" t="s">
        <v>1263</v>
      </c>
      <c r="O225" s="118"/>
      <c r="P225" s="118"/>
      <c r="Q225" s="117"/>
      <c r="R225" s="117"/>
      <c r="S225" s="117"/>
      <c r="T225" s="117"/>
      <c r="U225" s="117"/>
      <c r="V225" s="123"/>
      <c r="W225" s="117"/>
      <c r="X225" s="128" t="s">
        <v>2375</v>
      </c>
      <c r="Y225" s="118"/>
      <c r="Z225" s="118"/>
      <c r="AA225" s="118"/>
      <c r="AB225" s="117"/>
      <c r="AC225" s="117"/>
      <c r="AD225" s="117"/>
      <c r="AE225" s="117"/>
      <c r="AF225" s="117"/>
      <c r="AG225" s="117"/>
      <c r="AH225" s="117"/>
      <c r="AI225" s="117"/>
      <c r="AJ225" s="117"/>
    </row>
    <row r="226" spans="1:36" ht="24.75" customHeight="1">
      <c r="A226" s="116"/>
      <c r="B226" s="117" t="s">
        <v>1438</v>
      </c>
      <c r="C226" s="117"/>
      <c r="D226" s="117"/>
      <c r="E226" s="117" t="s">
        <v>1241</v>
      </c>
      <c r="F226" s="118" t="s">
        <v>349</v>
      </c>
      <c r="G226" s="145" t="s">
        <v>2376</v>
      </c>
      <c r="H226" s="117" t="s">
        <v>292</v>
      </c>
      <c r="I226" s="117"/>
      <c r="J226" s="117" t="s">
        <v>267</v>
      </c>
      <c r="K226" s="123" t="s">
        <v>1243</v>
      </c>
      <c r="L226" s="117" t="s">
        <v>267</v>
      </c>
      <c r="M226" s="123" t="s">
        <v>1329</v>
      </c>
      <c r="N226" s="117" t="s">
        <v>1263</v>
      </c>
      <c r="O226" s="118" t="s">
        <v>2377</v>
      </c>
      <c r="P226" s="118"/>
      <c r="Q226" s="117"/>
      <c r="R226" s="117"/>
      <c r="S226" s="117"/>
      <c r="T226" s="117"/>
      <c r="U226" s="117"/>
      <c r="V226" s="123"/>
      <c r="W226" s="117"/>
      <c r="X226" s="144" t="s">
        <v>2378</v>
      </c>
      <c r="Y226" s="118"/>
      <c r="Z226" s="118"/>
      <c r="AA226" s="144" t="s">
        <v>2379</v>
      </c>
      <c r="AB226" s="117"/>
      <c r="AC226" s="117"/>
      <c r="AD226" s="117"/>
      <c r="AE226" s="117"/>
      <c r="AF226" s="117"/>
      <c r="AG226" s="117"/>
      <c r="AH226" s="117"/>
      <c r="AI226" s="117"/>
      <c r="AJ226" s="117"/>
    </row>
    <row r="227" spans="1:36" ht="24.75" customHeight="1">
      <c r="A227" s="116"/>
      <c r="B227" s="117" t="s">
        <v>1438</v>
      </c>
      <c r="C227" s="117"/>
      <c r="D227" s="117"/>
      <c r="E227" s="117" t="s">
        <v>235</v>
      </c>
      <c r="F227" s="118" t="s">
        <v>2380</v>
      </c>
      <c r="G227" s="118" t="s">
        <v>2381</v>
      </c>
      <c r="H227" s="117" t="s">
        <v>292</v>
      </c>
      <c r="I227" s="143" t="s">
        <v>1252</v>
      </c>
      <c r="J227" s="117" t="s">
        <v>1946</v>
      </c>
      <c r="K227" s="123" t="s">
        <v>2147</v>
      </c>
      <c r="L227" s="117" t="s">
        <v>1946</v>
      </c>
      <c r="M227" s="123" t="s">
        <v>1947</v>
      </c>
      <c r="N227" s="117" t="s">
        <v>1263</v>
      </c>
      <c r="O227" s="118" t="s">
        <v>2382</v>
      </c>
      <c r="P227" s="118" t="s">
        <v>2383</v>
      </c>
      <c r="Q227" s="117"/>
      <c r="R227" s="117"/>
      <c r="S227" s="117"/>
      <c r="T227" s="117"/>
      <c r="U227" s="117"/>
      <c r="V227" s="123" t="s">
        <v>2384</v>
      </c>
      <c r="W227" s="117"/>
      <c r="X227" s="128" t="s">
        <v>2385</v>
      </c>
      <c r="Y227" s="118"/>
      <c r="Z227" s="118"/>
      <c r="AA227" s="118"/>
      <c r="AB227" s="117"/>
      <c r="AC227" s="117"/>
      <c r="AD227" s="117"/>
      <c r="AE227" s="117"/>
      <c r="AF227" s="117"/>
      <c r="AG227" s="117"/>
      <c r="AH227" s="117"/>
      <c r="AI227" s="117"/>
      <c r="AJ227" s="117"/>
    </row>
    <row r="228" spans="1:36" ht="24.75" customHeight="1">
      <c r="A228" s="116"/>
      <c r="B228" s="117" t="s">
        <v>1438</v>
      </c>
      <c r="C228" s="117"/>
      <c r="D228" s="117"/>
      <c r="E228" s="117" t="s">
        <v>1241</v>
      </c>
      <c r="F228" s="118" t="s">
        <v>2386</v>
      </c>
      <c r="G228" s="118" t="s">
        <v>2387</v>
      </c>
      <c r="H228" s="117" t="s">
        <v>422</v>
      </c>
      <c r="I228" s="117" t="s">
        <v>1252</v>
      </c>
      <c r="J228" s="117" t="s">
        <v>308</v>
      </c>
      <c r="K228" s="123" t="s">
        <v>2147</v>
      </c>
      <c r="L228" s="117" t="s">
        <v>308</v>
      </c>
      <c r="M228" s="123" t="s">
        <v>2148</v>
      </c>
      <c r="N228" s="117" t="s">
        <v>1263</v>
      </c>
      <c r="O228" s="118" t="s">
        <v>2388</v>
      </c>
      <c r="P228" s="118" t="s">
        <v>2389</v>
      </c>
      <c r="Q228" s="117"/>
      <c r="R228" s="117"/>
      <c r="S228" s="117"/>
      <c r="T228" s="117"/>
      <c r="U228" s="117"/>
      <c r="V228" s="123" t="s">
        <v>2390</v>
      </c>
      <c r="W228" s="117"/>
      <c r="X228" s="128" t="s">
        <v>2391</v>
      </c>
      <c r="Y228" s="118"/>
      <c r="Z228" s="118"/>
      <c r="AA228" s="118"/>
      <c r="AB228" s="117"/>
      <c r="AC228" s="117"/>
      <c r="AD228" s="117"/>
      <c r="AE228" s="117"/>
      <c r="AF228" s="117"/>
      <c r="AG228" s="117"/>
      <c r="AH228" s="117"/>
      <c r="AI228" s="117"/>
      <c r="AJ228" s="117"/>
    </row>
    <row r="229" spans="1:36" ht="24.75" customHeight="1">
      <c r="A229" s="116"/>
      <c r="B229" s="117" t="s">
        <v>1438</v>
      </c>
      <c r="C229" s="117"/>
      <c r="D229" s="117"/>
      <c r="E229" s="117"/>
      <c r="F229" s="118" t="s">
        <v>2392</v>
      </c>
      <c r="G229" s="118" t="s">
        <v>2393</v>
      </c>
      <c r="H229" s="117" t="s">
        <v>292</v>
      </c>
      <c r="I229" s="117"/>
      <c r="J229" s="117" t="s">
        <v>1287</v>
      </c>
      <c r="K229" s="123" t="s">
        <v>1243</v>
      </c>
      <c r="L229" s="117" t="s">
        <v>288</v>
      </c>
      <c r="M229" s="123" t="s">
        <v>1648</v>
      </c>
      <c r="N229" s="117" t="s">
        <v>1245</v>
      </c>
      <c r="O229" s="118" t="s">
        <v>2394</v>
      </c>
      <c r="P229" s="118" t="s">
        <v>1543</v>
      </c>
      <c r="Q229" s="117"/>
      <c r="R229" s="117"/>
      <c r="S229" s="117"/>
      <c r="T229" s="117"/>
      <c r="U229" s="117"/>
      <c r="V229" s="123" t="s">
        <v>2395</v>
      </c>
      <c r="W229" s="117"/>
      <c r="X229" s="128" t="s">
        <v>2396</v>
      </c>
      <c r="Y229" s="118"/>
      <c r="Z229" s="118"/>
      <c r="AA229" s="118" t="s">
        <v>2397</v>
      </c>
      <c r="AB229" s="117"/>
      <c r="AC229" s="117"/>
      <c r="AD229" s="117"/>
      <c r="AE229" s="117"/>
      <c r="AF229" s="117"/>
      <c r="AG229" s="117"/>
      <c r="AH229" s="117"/>
      <c r="AI229" s="117"/>
      <c r="AJ229" s="117"/>
    </row>
    <row r="230" spans="1:36" ht="24.75" customHeight="1">
      <c r="A230" s="116"/>
      <c r="B230" s="117" t="s">
        <v>1438</v>
      </c>
      <c r="C230" s="117"/>
      <c r="D230" s="117"/>
      <c r="E230" s="117" t="s">
        <v>1241</v>
      </c>
      <c r="F230" s="118" t="s">
        <v>2398</v>
      </c>
      <c r="G230" s="118" t="s">
        <v>2399</v>
      </c>
      <c r="H230" s="117" t="s">
        <v>422</v>
      </c>
      <c r="I230" s="117" t="s">
        <v>1252</v>
      </c>
      <c r="J230" s="117" t="s">
        <v>2400</v>
      </c>
      <c r="K230" s="123" t="s">
        <v>2147</v>
      </c>
      <c r="L230" s="117" t="s">
        <v>2170</v>
      </c>
      <c r="M230" s="123" t="s">
        <v>2401</v>
      </c>
      <c r="N230" s="117" t="s">
        <v>1263</v>
      </c>
      <c r="O230" s="118" t="s">
        <v>2402</v>
      </c>
      <c r="P230" s="118" t="s">
        <v>2403</v>
      </c>
      <c r="Q230" s="117"/>
      <c r="R230" s="117"/>
      <c r="S230" s="117"/>
      <c r="T230" s="117"/>
      <c r="U230" s="117"/>
      <c r="V230" s="123" t="s">
        <v>2404</v>
      </c>
      <c r="W230" s="117"/>
      <c r="X230" s="128" t="s">
        <v>2405</v>
      </c>
      <c r="Y230" s="118"/>
      <c r="Z230" s="128" t="s">
        <v>2406</v>
      </c>
      <c r="AA230" s="118" t="s">
        <v>2407</v>
      </c>
      <c r="AB230" s="117"/>
      <c r="AC230" s="117"/>
      <c r="AD230" s="117"/>
      <c r="AE230" s="117"/>
      <c r="AF230" s="117"/>
      <c r="AG230" s="117"/>
      <c r="AH230" s="117"/>
      <c r="AI230" s="117"/>
      <c r="AJ230" s="117"/>
    </row>
    <row r="231" spans="1:36" ht="24.75" customHeight="1">
      <c r="A231" s="116"/>
      <c r="B231" s="117" t="s">
        <v>1438</v>
      </c>
      <c r="C231" s="117"/>
      <c r="D231" s="117"/>
      <c r="E231" s="117" t="s">
        <v>1241</v>
      </c>
      <c r="F231" s="118" t="s">
        <v>2408</v>
      </c>
      <c r="G231" s="118" t="s">
        <v>2408</v>
      </c>
      <c r="H231" s="117" t="s">
        <v>292</v>
      </c>
      <c r="I231" s="117"/>
      <c r="J231" s="117" t="s">
        <v>267</v>
      </c>
      <c r="K231" s="123" t="s">
        <v>1243</v>
      </c>
      <c r="L231" s="117" t="s">
        <v>267</v>
      </c>
      <c r="M231" s="123" t="s">
        <v>1329</v>
      </c>
      <c r="N231" s="117" t="s">
        <v>1263</v>
      </c>
      <c r="O231" s="118"/>
      <c r="P231" s="118"/>
      <c r="Q231" s="117"/>
      <c r="R231" s="117"/>
      <c r="S231" s="117"/>
      <c r="T231" s="117"/>
      <c r="U231" s="117"/>
      <c r="V231" s="123"/>
      <c r="W231" s="117"/>
      <c r="X231" s="118"/>
      <c r="Y231" s="118"/>
      <c r="Z231" s="126" t="s">
        <v>2409</v>
      </c>
      <c r="AA231" s="118" t="s">
        <v>2410</v>
      </c>
      <c r="AB231" s="117"/>
      <c r="AC231" s="117"/>
      <c r="AD231" s="117"/>
      <c r="AE231" s="117"/>
      <c r="AF231" s="117"/>
      <c r="AG231" s="117"/>
      <c r="AH231" s="117"/>
      <c r="AI231" s="117"/>
      <c r="AJ231" s="117"/>
    </row>
    <row r="232" spans="1:36" ht="24.75" customHeight="1">
      <c r="A232" s="116"/>
      <c r="B232" s="117" t="s">
        <v>1438</v>
      </c>
      <c r="C232" s="117"/>
      <c r="D232" s="117"/>
      <c r="E232" s="117" t="s">
        <v>1241</v>
      </c>
      <c r="F232" s="118" t="s">
        <v>2411</v>
      </c>
      <c r="G232" s="118" t="s">
        <v>2411</v>
      </c>
      <c r="H232" s="117" t="s">
        <v>422</v>
      </c>
      <c r="I232" s="117" t="s">
        <v>1252</v>
      </c>
      <c r="J232" s="117" t="s">
        <v>293</v>
      </c>
      <c r="K232" s="123" t="s">
        <v>1695</v>
      </c>
      <c r="L232" s="117" t="s">
        <v>293</v>
      </c>
      <c r="M232" s="123" t="s">
        <v>1385</v>
      </c>
      <c r="N232" s="117" t="s">
        <v>1263</v>
      </c>
      <c r="O232" s="118"/>
      <c r="P232" s="118"/>
      <c r="Q232" s="117"/>
      <c r="R232" s="117"/>
      <c r="S232" s="117"/>
      <c r="T232" s="117"/>
      <c r="U232" s="117"/>
      <c r="V232" s="123" t="s">
        <v>2412</v>
      </c>
      <c r="W232" s="117"/>
      <c r="X232" s="118" t="s">
        <v>2413</v>
      </c>
      <c r="Y232" s="118"/>
      <c r="Z232" s="118" t="s">
        <v>2414</v>
      </c>
      <c r="AA232" s="118" t="s">
        <v>2415</v>
      </c>
      <c r="AB232" s="117"/>
      <c r="AC232" s="117"/>
      <c r="AD232" s="117"/>
      <c r="AE232" s="117"/>
      <c r="AF232" s="117"/>
      <c r="AG232" s="117"/>
      <c r="AH232" s="117"/>
      <c r="AI232" s="117"/>
      <c r="AJ232" s="117"/>
    </row>
    <row r="233" spans="1:36" ht="24.75" customHeight="1">
      <c r="A233" s="116"/>
      <c r="B233" s="117" t="s">
        <v>1438</v>
      </c>
      <c r="C233" s="117"/>
      <c r="D233" s="117"/>
      <c r="E233" s="117" t="s">
        <v>1241</v>
      </c>
      <c r="F233" s="118" t="s">
        <v>2416</v>
      </c>
      <c r="G233" s="118" t="s">
        <v>2416</v>
      </c>
      <c r="H233" s="117" t="s">
        <v>422</v>
      </c>
      <c r="I233" s="117" t="s">
        <v>1252</v>
      </c>
      <c r="J233" s="117" t="s">
        <v>293</v>
      </c>
      <c r="K233" s="123" t="s">
        <v>1695</v>
      </c>
      <c r="L233" s="117" t="s">
        <v>293</v>
      </c>
      <c r="M233" s="123" t="s">
        <v>1385</v>
      </c>
      <c r="N233" s="117" t="s">
        <v>1263</v>
      </c>
      <c r="O233" s="118"/>
      <c r="P233" s="118"/>
      <c r="Q233" s="117"/>
      <c r="R233" s="117"/>
      <c r="S233" s="117"/>
      <c r="T233" s="117"/>
      <c r="U233" s="117"/>
      <c r="V233" s="123" t="s">
        <v>2417</v>
      </c>
      <c r="W233" s="117"/>
      <c r="X233" s="118" t="s">
        <v>2418</v>
      </c>
      <c r="Y233" s="118"/>
      <c r="Z233" s="118" t="s">
        <v>2419</v>
      </c>
      <c r="AA233" s="118" t="s">
        <v>2420</v>
      </c>
      <c r="AB233" s="117"/>
      <c r="AC233" s="117"/>
      <c r="AD233" s="117"/>
      <c r="AE233" s="117"/>
      <c r="AF233" s="117"/>
      <c r="AG233" s="117"/>
      <c r="AH233" s="117"/>
      <c r="AI233" s="117"/>
      <c r="AJ233" s="117"/>
    </row>
    <row r="234" spans="1:36" ht="24.75" customHeight="1">
      <c r="A234" s="116"/>
      <c r="B234" s="117" t="s">
        <v>1438</v>
      </c>
      <c r="C234" s="117"/>
      <c r="D234" s="117"/>
      <c r="E234" s="117" t="s">
        <v>1241</v>
      </c>
      <c r="F234" s="118" t="s">
        <v>2421</v>
      </c>
      <c r="G234" s="118" t="s">
        <v>2422</v>
      </c>
      <c r="H234" s="117" t="s">
        <v>422</v>
      </c>
      <c r="I234" s="117" t="s">
        <v>1252</v>
      </c>
      <c r="J234" s="117" t="s">
        <v>293</v>
      </c>
      <c r="K234" s="123" t="s">
        <v>1695</v>
      </c>
      <c r="L234" s="117" t="s">
        <v>293</v>
      </c>
      <c r="M234" s="123" t="s">
        <v>1385</v>
      </c>
      <c r="N234" s="117" t="s">
        <v>1263</v>
      </c>
      <c r="O234" s="118"/>
      <c r="P234" s="118"/>
      <c r="Q234" s="117"/>
      <c r="R234" s="117"/>
      <c r="S234" s="117"/>
      <c r="T234" s="117"/>
      <c r="U234" s="117"/>
      <c r="V234" s="123" t="s">
        <v>2423</v>
      </c>
      <c r="W234" s="117"/>
      <c r="X234" s="118" t="s">
        <v>2424</v>
      </c>
      <c r="Y234" s="118"/>
      <c r="Z234" s="118" t="s">
        <v>2425</v>
      </c>
      <c r="AA234" s="118" t="s">
        <v>2426</v>
      </c>
      <c r="AB234" s="117"/>
      <c r="AC234" s="117"/>
      <c r="AD234" s="117"/>
      <c r="AE234" s="117"/>
      <c r="AF234" s="117"/>
      <c r="AG234" s="117"/>
      <c r="AH234" s="117"/>
      <c r="AI234" s="117"/>
      <c r="AJ234" s="117"/>
    </row>
    <row r="235" spans="1:36" ht="24.75" customHeight="1">
      <c r="A235" s="116"/>
      <c r="B235" s="117" t="s">
        <v>1438</v>
      </c>
      <c r="C235" s="117"/>
      <c r="D235" s="117"/>
      <c r="E235" s="117" t="s">
        <v>1241</v>
      </c>
      <c r="F235" s="118" t="s">
        <v>2427</v>
      </c>
      <c r="G235" s="118" t="s">
        <v>2428</v>
      </c>
      <c r="H235" s="117" t="s">
        <v>422</v>
      </c>
      <c r="I235" s="117" t="s">
        <v>1252</v>
      </c>
      <c r="J235" s="117" t="s">
        <v>293</v>
      </c>
      <c r="K235" s="123" t="s">
        <v>1695</v>
      </c>
      <c r="L235" s="117" t="s">
        <v>293</v>
      </c>
      <c r="M235" s="123" t="s">
        <v>1385</v>
      </c>
      <c r="N235" s="117" t="s">
        <v>1263</v>
      </c>
      <c r="O235" s="118"/>
      <c r="P235" s="118"/>
      <c r="Q235" s="117"/>
      <c r="R235" s="117"/>
      <c r="S235" s="117"/>
      <c r="T235" s="117"/>
      <c r="U235" s="117"/>
      <c r="V235" s="123" t="s">
        <v>2429</v>
      </c>
      <c r="W235" s="117"/>
      <c r="X235" s="118" t="s">
        <v>2430</v>
      </c>
      <c r="Y235" s="118"/>
      <c r="Z235" s="118" t="s">
        <v>2431</v>
      </c>
      <c r="AA235" s="118" t="s">
        <v>2432</v>
      </c>
      <c r="AB235" s="117"/>
      <c r="AC235" s="117"/>
      <c r="AD235" s="117"/>
      <c r="AE235" s="117"/>
      <c r="AF235" s="117"/>
      <c r="AG235" s="117"/>
      <c r="AH235" s="117"/>
      <c r="AI235" s="117"/>
      <c r="AJ235" s="117"/>
    </row>
    <row r="236" spans="1:36" ht="24.75" customHeight="1">
      <c r="A236" s="116"/>
      <c r="B236" s="117" t="s">
        <v>1438</v>
      </c>
      <c r="C236" s="117"/>
      <c r="D236" s="117"/>
      <c r="E236" s="117" t="s">
        <v>1241</v>
      </c>
      <c r="F236" s="118" t="s">
        <v>2433</v>
      </c>
      <c r="G236" s="118" t="s">
        <v>2434</v>
      </c>
      <c r="H236" s="117" t="s">
        <v>422</v>
      </c>
      <c r="I236" s="117" t="s">
        <v>1252</v>
      </c>
      <c r="J236" s="117" t="s">
        <v>293</v>
      </c>
      <c r="K236" s="123" t="s">
        <v>1695</v>
      </c>
      <c r="L236" s="117" t="s">
        <v>293</v>
      </c>
      <c r="M236" s="123" t="s">
        <v>1385</v>
      </c>
      <c r="N236" s="117" t="s">
        <v>1263</v>
      </c>
      <c r="O236" s="118"/>
      <c r="P236" s="118"/>
      <c r="Q236" s="117"/>
      <c r="R236" s="117"/>
      <c r="S236" s="117"/>
      <c r="T236" s="117"/>
      <c r="U236" s="117"/>
      <c r="V236" s="123" t="s">
        <v>2435</v>
      </c>
      <c r="W236" s="117"/>
      <c r="X236" s="118" t="s">
        <v>2436</v>
      </c>
      <c r="Y236" s="118" t="s">
        <v>2437</v>
      </c>
      <c r="Z236" s="118" t="s">
        <v>2438</v>
      </c>
      <c r="AA236" s="118" t="s">
        <v>2439</v>
      </c>
      <c r="AB236" s="117"/>
      <c r="AC236" s="117"/>
      <c r="AD236" s="117"/>
      <c r="AE236" s="117"/>
      <c r="AF236" s="117"/>
      <c r="AG236" s="117"/>
      <c r="AH236" s="117"/>
      <c r="AI236" s="117"/>
      <c r="AJ236" s="117"/>
    </row>
    <row r="237" spans="1:36" ht="24.75" customHeight="1">
      <c r="A237" s="116"/>
      <c r="B237" s="117" t="s">
        <v>1438</v>
      </c>
      <c r="C237" s="117"/>
      <c r="D237" s="117"/>
      <c r="E237" s="117" t="s">
        <v>1241</v>
      </c>
      <c r="F237" s="118" t="s">
        <v>2440</v>
      </c>
      <c r="G237" s="118" t="s">
        <v>2441</v>
      </c>
      <c r="H237" s="117" t="s">
        <v>422</v>
      </c>
      <c r="I237" s="117" t="s">
        <v>1252</v>
      </c>
      <c r="J237" s="117" t="s">
        <v>293</v>
      </c>
      <c r="K237" s="123" t="s">
        <v>1695</v>
      </c>
      <c r="L237" s="117" t="s">
        <v>293</v>
      </c>
      <c r="M237" s="123" t="s">
        <v>1385</v>
      </c>
      <c r="N237" s="117" t="s">
        <v>1245</v>
      </c>
      <c r="O237" s="118"/>
      <c r="P237" s="118"/>
      <c r="Q237" s="117"/>
      <c r="R237" s="117"/>
      <c r="S237" s="117"/>
      <c r="T237" s="117"/>
      <c r="U237" s="117"/>
      <c r="V237" s="123" t="s">
        <v>2442</v>
      </c>
      <c r="W237" s="117"/>
      <c r="X237" s="118" t="s">
        <v>2443</v>
      </c>
      <c r="Y237" s="118" t="s">
        <v>2444</v>
      </c>
      <c r="Z237" s="118" t="s">
        <v>2445</v>
      </c>
      <c r="AA237" s="118" t="s">
        <v>2446</v>
      </c>
      <c r="AB237" s="117"/>
      <c r="AC237" s="117"/>
      <c r="AD237" s="117"/>
      <c r="AE237" s="117"/>
      <c r="AF237" s="117"/>
      <c r="AG237" s="117"/>
      <c r="AH237" s="117"/>
      <c r="AI237" s="117"/>
      <c r="AJ237" s="117"/>
    </row>
    <row r="238" spans="1:36" ht="24.75" customHeight="1">
      <c r="A238" s="116"/>
      <c r="B238" s="117" t="s">
        <v>1438</v>
      </c>
      <c r="C238" s="117"/>
      <c r="D238" s="117"/>
      <c r="E238" s="117" t="s">
        <v>1241</v>
      </c>
      <c r="F238" s="118" t="s">
        <v>2447</v>
      </c>
      <c r="G238" s="118" t="s">
        <v>2448</v>
      </c>
      <c r="H238" s="117" t="s">
        <v>422</v>
      </c>
      <c r="I238" s="117" t="s">
        <v>1252</v>
      </c>
      <c r="J238" s="117" t="s">
        <v>293</v>
      </c>
      <c r="K238" s="123" t="s">
        <v>1695</v>
      </c>
      <c r="L238" s="117" t="s">
        <v>293</v>
      </c>
      <c r="M238" s="123" t="s">
        <v>1385</v>
      </c>
      <c r="N238" s="117" t="s">
        <v>1263</v>
      </c>
      <c r="O238" s="118"/>
      <c r="P238" s="118"/>
      <c r="Q238" s="117"/>
      <c r="R238" s="117"/>
      <c r="S238" s="117"/>
      <c r="T238" s="117"/>
      <c r="U238" s="117"/>
      <c r="V238" s="123" t="s">
        <v>2449</v>
      </c>
      <c r="W238" s="117"/>
      <c r="X238" s="118" t="s">
        <v>2450</v>
      </c>
      <c r="Y238" s="118" t="s">
        <v>2451</v>
      </c>
      <c r="Z238" s="118" t="s">
        <v>2452</v>
      </c>
      <c r="AA238" s="118" t="s">
        <v>2453</v>
      </c>
      <c r="AB238" s="117"/>
      <c r="AC238" s="117"/>
      <c r="AD238" s="117"/>
      <c r="AE238" s="117"/>
      <c r="AF238" s="117"/>
      <c r="AG238" s="117"/>
      <c r="AH238" s="117"/>
      <c r="AI238" s="117"/>
      <c r="AJ238" s="117"/>
    </row>
    <row r="239" spans="1:36" s="16" customFormat="1" ht="24.75" customHeight="1">
      <c r="A239" s="130" t="s">
        <v>2454</v>
      </c>
      <c r="B239" s="131" t="s">
        <v>1438</v>
      </c>
      <c r="C239" s="131"/>
      <c r="D239" s="131"/>
      <c r="E239" s="117" t="s">
        <v>1241</v>
      </c>
      <c r="F239" s="157" t="s">
        <v>2455</v>
      </c>
      <c r="G239" s="157" t="s">
        <v>2456</v>
      </c>
      <c r="H239" s="131" t="s">
        <v>422</v>
      </c>
      <c r="I239" s="117" t="s">
        <v>1252</v>
      </c>
      <c r="J239" s="131" t="s">
        <v>293</v>
      </c>
      <c r="K239" s="165" t="s">
        <v>1695</v>
      </c>
      <c r="L239" s="131" t="s">
        <v>293</v>
      </c>
      <c r="M239" s="165" t="s">
        <v>1385</v>
      </c>
      <c r="N239" s="131" t="s">
        <v>1263</v>
      </c>
      <c r="O239" s="157"/>
      <c r="P239" s="157"/>
      <c r="Q239" s="131"/>
      <c r="R239" s="131"/>
      <c r="S239" s="131"/>
      <c r="T239" s="131"/>
      <c r="U239" s="131"/>
      <c r="V239" s="165" t="s">
        <v>2457</v>
      </c>
      <c r="W239" s="131"/>
      <c r="X239" s="157" t="s">
        <v>2458</v>
      </c>
      <c r="Y239" s="157" t="s">
        <v>2459</v>
      </c>
      <c r="Z239" s="157" t="s">
        <v>2460</v>
      </c>
      <c r="AA239" s="157" t="s">
        <v>2461</v>
      </c>
      <c r="AB239" s="131"/>
      <c r="AC239" s="131"/>
      <c r="AD239" s="131"/>
      <c r="AE239" s="131"/>
      <c r="AF239" s="131"/>
      <c r="AG239" s="131"/>
      <c r="AH239" s="131"/>
      <c r="AI239" s="131"/>
      <c r="AJ239" s="131"/>
    </row>
    <row r="240" spans="1:36" ht="24.75" customHeight="1">
      <c r="A240" s="116"/>
      <c r="B240" s="117" t="s">
        <v>1438</v>
      </c>
      <c r="C240" s="117"/>
      <c r="D240" s="117"/>
      <c r="E240" s="117" t="s">
        <v>1241</v>
      </c>
      <c r="F240" s="118" t="s">
        <v>2462</v>
      </c>
      <c r="G240" s="118" t="s">
        <v>2463</v>
      </c>
      <c r="H240" s="117" t="s">
        <v>422</v>
      </c>
      <c r="I240" s="117" t="s">
        <v>1252</v>
      </c>
      <c r="J240" s="117" t="s">
        <v>293</v>
      </c>
      <c r="K240" s="123" t="s">
        <v>1695</v>
      </c>
      <c r="L240" s="117" t="s">
        <v>293</v>
      </c>
      <c r="M240" s="123" t="s">
        <v>1385</v>
      </c>
      <c r="N240" s="117" t="s">
        <v>1263</v>
      </c>
      <c r="O240" s="118"/>
      <c r="P240" s="118"/>
      <c r="Q240" s="117"/>
      <c r="R240" s="117"/>
      <c r="S240" s="117"/>
      <c r="T240" s="117"/>
      <c r="U240" s="117"/>
      <c r="V240" s="123" t="s">
        <v>2464</v>
      </c>
      <c r="W240" s="117"/>
      <c r="X240" s="118" t="s">
        <v>2465</v>
      </c>
      <c r="Y240" s="118" t="s">
        <v>2466</v>
      </c>
      <c r="Z240" s="118" t="s">
        <v>2467</v>
      </c>
      <c r="AA240" s="118" t="s">
        <v>2468</v>
      </c>
      <c r="AB240" s="117"/>
      <c r="AC240" s="117"/>
      <c r="AD240" s="117"/>
      <c r="AE240" s="117"/>
      <c r="AF240" s="117"/>
      <c r="AG240" s="117"/>
      <c r="AH240" s="117"/>
      <c r="AI240" s="117"/>
      <c r="AJ240" s="117"/>
    </row>
    <row r="241" spans="1:36" ht="24.75" customHeight="1">
      <c r="A241" s="116"/>
      <c r="B241" s="117" t="s">
        <v>1438</v>
      </c>
      <c r="C241" s="117"/>
      <c r="D241" s="117"/>
      <c r="E241" s="117" t="s">
        <v>1241</v>
      </c>
      <c r="F241" s="118" t="s">
        <v>2469</v>
      </c>
      <c r="G241" s="118" t="s">
        <v>2470</v>
      </c>
      <c r="H241" s="117" t="s">
        <v>422</v>
      </c>
      <c r="I241" s="117" t="s">
        <v>1252</v>
      </c>
      <c r="J241" s="117" t="s">
        <v>293</v>
      </c>
      <c r="K241" s="123" t="s">
        <v>1695</v>
      </c>
      <c r="L241" s="117" t="s">
        <v>293</v>
      </c>
      <c r="M241" s="123" t="s">
        <v>1385</v>
      </c>
      <c r="N241" s="117" t="s">
        <v>2471</v>
      </c>
      <c r="O241" s="118"/>
      <c r="P241" s="118"/>
      <c r="Q241" s="117"/>
      <c r="R241" s="117"/>
      <c r="S241" s="117"/>
      <c r="T241" s="117"/>
      <c r="U241" s="117"/>
      <c r="V241" s="123" t="s">
        <v>2472</v>
      </c>
      <c r="W241" s="117"/>
      <c r="X241" s="118" t="s">
        <v>2473</v>
      </c>
      <c r="Y241" s="118" t="s">
        <v>2474</v>
      </c>
      <c r="Z241" s="118" t="s">
        <v>2475</v>
      </c>
      <c r="AA241" s="118" t="s">
        <v>2476</v>
      </c>
      <c r="AB241" s="117"/>
      <c r="AC241" s="117"/>
      <c r="AD241" s="117"/>
      <c r="AE241" s="117"/>
      <c r="AF241" s="117"/>
      <c r="AG241" s="117"/>
      <c r="AH241" s="117"/>
      <c r="AI241" s="117"/>
      <c r="AJ241" s="117"/>
    </row>
    <row r="242" spans="1:36" ht="24.75" customHeight="1">
      <c r="A242" s="116"/>
      <c r="B242" s="117" t="s">
        <v>1438</v>
      </c>
      <c r="C242" s="117"/>
      <c r="D242" s="117"/>
      <c r="E242" s="117" t="s">
        <v>1241</v>
      </c>
      <c r="F242" s="157" t="s">
        <v>2477</v>
      </c>
      <c r="G242" s="118" t="s">
        <v>2478</v>
      </c>
      <c r="H242" s="117" t="s">
        <v>422</v>
      </c>
      <c r="I242" s="117" t="s">
        <v>1252</v>
      </c>
      <c r="J242" s="117" t="s">
        <v>293</v>
      </c>
      <c r="K242" s="123" t="s">
        <v>1695</v>
      </c>
      <c r="L242" s="117" t="s">
        <v>293</v>
      </c>
      <c r="M242" s="123" t="s">
        <v>1385</v>
      </c>
      <c r="N242" s="117" t="s">
        <v>1263</v>
      </c>
      <c r="O242" s="118" t="s">
        <v>2479</v>
      </c>
      <c r="P242" s="118"/>
      <c r="Q242" s="117"/>
      <c r="R242" s="117"/>
      <c r="S242" s="117"/>
      <c r="T242" s="117"/>
      <c r="U242" s="117"/>
      <c r="V242" s="123" t="s">
        <v>2480</v>
      </c>
      <c r="W242" s="117"/>
      <c r="X242" s="118" t="s">
        <v>2481</v>
      </c>
      <c r="Y242" s="118"/>
      <c r="Z242" s="118" t="s">
        <v>2482</v>
      </c>
      <c r="AA242" s="118" t="s">
        <v>2483</v>
      </c>
      <c r="AB242" s="117"/>
      <c r="AC242" s="117"/>
      <c r="AD242" s="117"/>
      <c r="AE242" s="117"/>
      <c r="AF242" s="117"/>
      <c r="AG242" s="117"/>
      <c r="AH242" s="117"/>
      <c r="AI242" s="117"/>
      <c r="AJ242" s="117"/>
    </row>
    <row r="243" spans="1:36" ht="24.75" customHeight="1">
      <c r="A243" s="116"/>
      <c r="B243" s="117" t="s">
        <v>1438</v>
      </c>
      <c r="C243" s="117"/>
      <c r="D243" s="117"/>
      <c r="E243" s="117" t="s">
        <v>1241</v>
      </c>
      <c r="F243" s="157" t="s">
        <v>2484</v>
      </c>
      <c r="G243" s="118" t="s">
        <v>2485</v>
      </c>
      <c r="H243" s="117" t="s">
        <v>422</v>
      </c>
      <c r="I243" s="117" t="s">
        <v>1252</v>
      </c>
      <c r="J243" s="117" t="s">
        <v>293</v>
      </c>
      <c r="K243" s="123" t="s">
        <v>1695</v>
      </c>
      <c r="L243" s="117" t="s">
        <v>293</v>
      </c>
      <c r="M243" s="123" t="s">
        <v>1385</v>
      </c>
      <c r="N243" s="117" t="s">
        <v>1263</v>
      </c>
      <c r="O243" s="118" t="s">
        <v>2486</v>
      </c>
      <c r="P243" s="118"/>
      <c r="Q243" s="117"/>
      <c r="R243" s="117"/>
      <c r="S243" s="117"/>
      <c r="T243" s="117"/>
      <c r="U243" s="117"/>
      <c r="V243" s="123" t="s">
        <v>2487</v>
      </c>
      <c r="W243" s="117"/>
      <c r="X243" s="118" t="s">
        <v>2488</v>
      </c>
      <c r="Y243" s="118" t="s">
        <v>2489</v>
      </c>
      <c r="Z243" s="118" t="s">
        <v>2490</v>
      </c>
      <c r="AA243" s="118" t="s">
        <v>2491</v>
      </c>
      <c r="AB243" s="117"/>
      <c r="AC243" s="117"/>
      <c r="AD243" s="117"/>
      <c r="AE243" s="117"/>
      <c r="AF243" s="117"/>
      <c r="AG243" s="117"/>
      <c r="AH243" s="117"/>
      <c r="AI243" s="117"/>
      <c r="AJ243" s="117"/>
    </row>
    <row r="244" spans="1:36" ht="24.75" customHeight="1">
      <c r="A244" s="116"/>
      <c r="B244" s="117" t="s">
        <v>1438</v>
      </c>
      <c r="C244" s="117"/>
      <c r="D244" s="117"/>
      <c r="E244" s="117"/>
      <c r="F244" s="118" t="s">
        <v>2492</v>
      </c>
      <c r="G244" s="118" t="s">
        <v>2492</v>
      </c>
      <c r="H244" s="117" t="s">
        <v>295</v>
      </c>
      <c r="I244" s="117" t="s">
        <v>1252</v>
      </c>
      <c r="J244" s="117" t="s">
        <v>299</v>
      </c>
      <c r="K244" s="123" t="s">
        <v>1695</v>
      </c>
      <c r="L244" s="117" t="s">
        <v>299</v>
      </c>
      <c r="M244" s="123" t="s">
        <v>2493</v>
      </c>
      <c r="N244" s="117" t="s">
        <v>1263</v>
      </c>
      <c r="O244" s="118" t="s">
        <v>2494</v>
      </c>
      <c r="P244" s="118" t="s">
        <v>2495</v>
      </c>
      <c r="Q244" s="117"/>
      <c r="R244" s="117"/>
      <c r="S244" s="117"/>
      <c r="T244" s="117"/>
      <c r="U244" s="117"/>
      <c r="V244" s="123" t="s">
        <v>2496</v>
      </c>
      <c r="W244" s="117"/>
      <c r="X244" s="118" t="s">
        <v>2497</v>
      </c>
      <c r="Y244" s="118" t="s">
        <v>2498</v>
      </c>
      <c r="Z244" s="118" t="s">
        <v>2499</v>
      </c>
      <c r="AA244" s="118" t="s">
        <v>2500</v>
      </c>
      <c r="AB244" s="117"/>
      <c r="AC244" s="117"/>
      <c r="AD244" s="117"/>
      <c r="AE244" s="117"/>
      <c r="AF244" s="117"/>
      <c r="AG244" s="117"/>
      <c r="AH244" s="117"/>
      <c r="AI244" s="117"/>
      <c r="AJ244" s="117"/>
    </row>
    <row r="245" spans="1:36" ht="24.75" customHeight="1">
      <c r="A245" s="116"/>
      <c r="B245" s="117" t="s">
        <v>1438</v>
      </c>
      <c r="C245" s="117"/>
      <c r="D245" s="117"/>
      <c r="E245" s="117"/>
      <c r="F245" s="118" t="s">
        <v>2501</v>
      </c>
      <c r="G245" s="118" t="s">
        <v>2501</v>
      </c>
      <c r="H245" s="117" t="s">
        <v>295</v>
      </c>
      <c r="I245" s="117" t="s">
        <v>1252</v>
      </c>
      <c r="J245" s="117" t="s">
        <v>299</v>
      </c>
      <c r="K245" s="123" t="s">
        <v>1695</v>
      </c>
      <c r="L245" s="117" t="s">
        <v>299</v>
      </c>
      <c r="M245" s="123" t="s">
        <v>2502</v>
      </c>
      <c r="N245" s="117" t="s">
        <v>1263</v>
      </c>
      <c r="O245" s="118" t="s">
        <v>2503</v>
      </c>
      <c r="P245" s="118" t="s">
        <v>2504</v>
      </c>
      <c r="Q245" s="117"/>
      <c r="R245" s="117"/>
      <c r="S245" s="117"/>
      <c r="T245" s="117"/>
      <c r="U245" s="117"/>
      <c r="V245" s="123" t="s">
        <v>2505</v>
      </c>
      <c r="W245" s="117"/>
      <c r="X245" s="118" t="s">
        <v>2506</v>
      </c>
      <c r="Y245" s="118"/>
      <c r="Z245" s="118" t="s">
        <v>2507</v>
      </c>
      <c r="AA245" s="118" t="s">
        <v>2508</v>
      </c>
      <c r="AB245" s="117"/>
      <c r="AC245" s="117"/>
      <c r="AD245" s="117"/>
      <c r="AE245" s="117"/>
      <c r="AF245" s="117"/>
      <c r="AG245" s="117"/>
      <c r="AH245" s="117"/>
      <c r="AI245" s="117"/>
      <c r="AJ245" s="117"/>
    </row>
    <row r="246" spans="1:36" ht="24.75" customHeight="1">
      <c r="A246" s="116"/>
      <c r="B246" s="117" t="s">
        <v>1438</v>
      </c>
      <c r="C246" s="117"/>
      <c r="D246" s="117"/>
      <c r="E246" s="117"/>
      <c r="F246" s="118" t="s">
        <v>2509</v>
      </c>
      <c r="G246" s="118" t="s">
        <v>2509</v>
      </c>
      <c r="H246" s="117" t="s">
        <v>295</v>
      </c>
      <c r="I246" s="117" t="s">
        <v>1252</v>
      </c>
      <c r="J246" s="117" t="s">
        <v>299</v>
      </c>
      <c r="K246" s="123" t="s">
        <v>1695</v>
      </c>
      <c r="L246" s="117" t="s">
        <v>299</v>
      </c>
      <c r="M246" s="123" t="s">
        <v>1801</v>
      </c>
      <c r="N246" s="117" t="s">
        <v>1263</v>
      </c>
      <c r="O246" s="118" t="s">
        <v>2510</v>
      </c>
      <c r="P246" s="118" t="s">
        <v>2511</v>
      </c>
      <c r="Q246" s="117"/>
      <c r="R246" s="117"/>
      <c r="S246" s="117"/>
      <c r="T246" s="117"/>
      <c r="U246" s="117"/>
      <c r="V246" s="123" t="s">
        <v>2512</v>
      </c>
      <c r="W246" s="117"/>
      <c r="X246" s="118" t="s">
        <v>2513</v>
      </c>
      <c r="Y246" s="118" t="s">
        <v>2514</v>
      </c>
      <c r="Z246" s="118" t="s">
        <v>2515</v>
      </c>
      <c r="AA246" s="118" t="s">
        <v>2516</v>
      </c>
      <c r="AB246" s="117"/>
      <c r="AC246" s="117"/>
      <c r="AD246" s="117"/>
      <c r="AE246" s="117"/>
      <c r="AF246" s="117"/>
      <c r="AG246" s="117"/>
      <c r="AH246" s="117"/>
      <c r="AI246" s="117"/>
      <c r="AJ246" s="117"/>
    </row>
    <row r="247" spans="1:36" ht="24.75" customHeight="1">
      <c r="A247" s="116"/>
      <c r="B247" s="117" t="s">
        <v>1438</v>
      </c>
      <c r="C247" s="117"/>
      <c r="D247" s="117"/>
      <c r="E247" s="117"/>
      <c r="F247" s="118" t="s">
        <v>2517</v>
      </c>
      <c r="G247" s="118" t="s">
        <v>2517</v>
      </c>
      <c r="H247" s="117" t="s">
        <v>295</v>
      </c>
      <c r="I247" s="117" t="s">
        <v>1252</v>
      </c>
      <c r="J247" s="117" t="s">
        <v>299</v>
      </c>
      <c r="K247" s="123" t="s">
        <v>1695</v>
      </c>
      <c r="L247" s="117" t="s">
        <v>299</v>
      </c>
      <c r="M247" s="123" t="s">
        <v>1801</v>
      </c>
      <c r="N247" s="117" t="s">
        <v>1263</v>
      </c>
      <c r="O247" s="118" t="s">
        <v>2518</v>
      </c>
      <c r="P247" s="118" t="s">
        <v>2519</v>
      </c>
      <c r="Q247" s="117"/>
      <c r="R247" s="117"/>
      <c r="S247" s="117"/>
      <c r="T247" s="117"/>
      <c r="U247" s="117"/>
      <c r="V247" s="123" t="s">
        <v>2520</v>
      </c>
      <c r="W247" s="117"/>
      <c r="X247" s="118" t="s">
        <v>2521</v>
      </c>
      <c r="Y247" s="118"/>
      <c r="Z247" s="118" t="s">
        <v>2522</v>
      </c>
      <c r="AA247" s="118" t="s">
        <v>2523</v>
      </c>
      <c r="AB247" s="117"/>
      <c r="AC247" s="117"/>
      <c r="AD247" s="117"/>
      <c r="AE247" s="117"/>
      <c r="AF247" s="117"/>
      <c r="AG247" s="117"/>
      <c r="AH247" s="117"/>
      <c r="AI247" s="117"/>
      <c r="AJ247" s="117"/>
    </row>
    <row r="248" spans="1:36" ht="24.75" customHeight="1">
      <c r="A248" s="116"/>
      <c r="B248" s="117" t="s">
        <v>1438</v>
      </c>
      <c r="C248" s="117"/>
      <c r="D248" s="117"/>
      <c r="E248" s="117"/>
      <c r="F248" s="118" t="s">
        <v>2524</v>
      </c>
      <c r="G248" s="118" t="s">
        <v>2524</v>
      </c>
      <c r="H248" s="117" t="s">
        <v>295</v>
      </c>
      <c r="I248" s="117" t="s">
        <v>1252</v>
      </c>
      <c r="J248" s="117" t="s">
        <v>299</v>
      </c>
      <c r="K248" s="123" t="s">
        <v>1695</v>
      </c>
      <c r="L248" s="117" t="s">
        <v>299</v>
      </c>
      <c r="M248" s="123" t="s">
        <v>1824</v>
      </c>
      <c r="N248" s="117" t="s">
        <v>1263</v>
      </c>
      <c r="O248" s="118" t="s">
        <v>2525</v>
      </c>
      <c r="P248" s="118" t="s">
        <v>2526</v>
      </c>
      <c r="Q248" s="117"/>
      <c r="R248" s="117"/>
      <c r="S248" s="117"/>
      <c r="T248" s="117"/>
      <c r="U248" s="117"/>
      <c r="V248" s="123" t="s">
        <v>2527</v>
      </c>
      <c r="W248" s="117"/>
      <c r="X248" s="118" t="s">
        <v>2528</v>
      </c>
      <c r="Y248" s="118"/>
      <c r="Z248" s="118" t="s">
        <v>2529</v>
      </c>
      <c r="AA248" s="118" t="s">
        <v>2530</v>
      </c>
      <c r="AB248" s="117"/>
      <c r="AC248" s="117"/>
      <c r="AD248" s="117"/>
      <c r="AE248" s="117"/>
      <c r="AF248" s="117"/>
      <c r="AG248" s="117"/>
      <c r="AH248" s="117"/>
      <c r="AI248" s="117"/>
      <c r="AJ248" s="117"/>
    </row>
    <row r="249" spans="1:36" ht="24.75" customHeight="1">
      <c r="A249" s="116"/>
      <c r="B249" s="117" t="s">
        <v>1438</v>
      </c>
      <c r="C249" s="117"/>
      <c r="D249" s="117"/>
      <c r="E249" s="117"/>
      <c r="F249" s="118" t="s">
        <v>2531</v>
      </c>
      <c r="G249" s="118" t="s">
        <v>2532</v>
      </c>
      <c r="H249" s="117" t="s">
        <v>295</v>
      </c>
      <c r="I249" s="117" t="s">
        <v>1252</v>
      </c>
      <c r="J249" s="117" t="s">
        <v>299</v>
      </c>
      <c r="K249" s="123" t="s">
        <v>1695</v>
      </c>
      <c r="L249" s="117" t="s">
        <v>299</v>
      </c>
      <c r="M249" s="123" t="s">
        <v>2533</v>
      </c>
      <c r="N249" s="117" t="s">
        <v>1263</v>
      </c>
      <c r="O249" s="118" t="s">
        <v>2534</v>
      </c>
      <c r="P249" s="118" t="s">
        <v>2535</v>
      </c>
      <c r="Q249" s="117"/>
      <c r="R249" s="117"/>
      <c r="S249" s="117"/>
      <c r="T249" s="117"/>
      <c r="U249" s="117"/>
      <c r="V249" s="123" t="s">
        <v>2536</v>
      </c>
      <c r="W249" s="117"/>
      <c r="X249" s="118" t="s">
        <v>2537</v>
      </c>
      <c r="Y249" s="118"/>
      <c r="Z249" s="118" t="s">
        <v>2538</v>
      </c>
      <c r="AA249" s="118" t="s">
        <v>2539</v>
      </c>
      <c r="AB249" s="117"/>
      <c r="AC249" s="117"/>
      <c r="AD249" s="117"/>
      <c r="AE249" s="117"/>
      <c r="AF249" s="117"/>
      <c r="AG249" s="117"/>
      <c r="AH249" s="117"/>
      <c r="AI249" s="117"/>
      <c r="AJ249" s="117"/>
    </row>
    <row r="250" spans="1:36" ht="24.75" customHeight="1">
      <c r="A250" s="116"/>
      <c r="B250" s="117" t="s">
        <v>1438</v>
      </c>
      <c r="C250" s="117"/>
      <c r="D250" s="117"/>
      <c r="E250" s="117" t="s">
        <v>1241</v>
      </c>
      <c r="F250" s="118" t="s">
        <v>2540</v>
      </c>
      <c r="G250" s="118" t="s">
        <v>2541</v>
      </c>
      <c r="H250" s="117" t="s">
        <v>292</v>
      </c>
      <c r="I250" s="117"/>
      <c r="J250" s="117" t="s">
        <v>267</v>
      </c>
      <c r="K250" s="123" t="s">
        <v>1243</v>
      </c>
      <c r="L250" s="117" t="s">
        <v>267</v>
      </c>
      <c r="M250" s="123" t="s">
        <v>1329</v>
      </c>
      <c r="N250" s="117" t="s">
        <v>1263</v>
      </c>
      <c r="O250" s="118" t="s">
        <v>2542</v>
      </c>
      <c r="P250" s="118"/>
      <c r="Q250" s="117"/>
      <c r="R250" s="117"/>
      <c r="S250" s="117"/>
      <c r="T250" s="117"/>
      <c r="U250" s="117"/>
      <c r="V250" s="123" t="s">
        <v>2543</v>
      </c>
      <c r="W250" s="117"/>
      <c r="X250" s="128" t="s">
        <v>2544</v>
      </c>
      <c r="Y250" s="118"/>
      <c r="Z250" s="118"/>
      <c r="AA250" s="181" t="s">
        <v>2545</v>
      </c>
      <c r="AB250" s="117"/>
      <c r="AC250" s="117"/>
      <c r="AD250" s="117"/>
      <c r="AE250" s="117"/>
      <c r="AF250" s="117"/>
      <c r="AG250" s="117"/>
      <c r="AH250" s="117"/>
      <c r="AI250" s="117"/>
      <c r="AJ250" s="117"/>
    </row>
    <row r="251" spans="1:36" ht="24.75" customHeight="1">
      <c r="A251" s="116"/>
      <c r="B251" s="117" t="s">
        <v>1438</v>
      </c>
      <c r="C251" s="117"/>
      <c r="D251" s="117"/>
      <c r="E251" s="117" t="s">
        <v>1241</v>
      </c>
      <c r="F251" s="118" t="s">
        <v>2546</v>
      </c>
      <c r="G251" s="118" t="s">
        <v>2547</v>
      </c>
      <c r="H251" s="117" t="s">
        <v>292</v>
      </c>
      <c r="I251" s="117"/>
      <c r="J251" s="117" t="s">
        <v>267</v>
      </c>
      <c r="K251" s="123" t="s">
        <v>1243</v>
      </c>
      <c r="L251" s="117" t="s">
        <v>267</v>
      </c>
      <c r="M251" s="123" t="s">
        <v>1329</v>
      </c>
      <c r="N251" s="117" t="s">
        <v>1263</v>
      </c>
      <c r="O251" s="118" t="s">
        <v>2548</v>
      </c>
      <c r="P251" s="118"/>
      <c r="Q251" s="117"/>
      <c r="R251" s="117"/>
      <c r="S251" s="117"/>
      <c r="T251" s="117"/>
      <c r="U251" s="117"/>
      <c r="V251" s="123"/>
      <c r="W251" s="117"/>
      <c r="X251" s="118" t="s">
        <v>2549</v>
      </c>
      <c r="Y251" s="118"/>
      <c r="Z251" s="128" t="s">
        <v>2550</v>
      </c>
      <c r="AA251" s="118" t="s">
        <v>2551</v>
      </c>
      <c r="AB251" s="117"/>
      <c r="AC251" s="117"/>
      <c r="AD251" s="117"/>
      <c r="AE251" s="117"/>
      <c r="AF251" s="117"/>
      <c r="AG251" s="117"/>
      <c r="AH251" s="117"/>
      <c r="AI251" s="117"/>
      <c r="AJ251" s="117"/>
    </row>
    <row r="252" spans="1:36" ht="24.75" customHeight="1">
      <c r="A252" s="116"/>
      <c r="B252" s="117" t="s">
        <v>1438</v>
      </c>
      <c r="C252" s="117"/>
      <c r="D252" s="117"/>
      <c r="E252" s="117" t="s">
        <v>1241</v>
      </c>
      <c r="F252" s="118" t="s">
        <v>2552</v>
      </c>
      <c r="G252" s="118" t="s">
        <v>2553</v>
      </c>
      <c r="H252" s="117" t="s">
        <v>292</v>
      </c>
      <c r="I252" s="117"/>
      <c r="J252" s="117" t="s">
        <v>267</v>
      </c>
      <c r="K252" s="123" t="s">
        <v>1243</v>
      </c>
      <c r="L252" s="117" t="s">
        <v>267</v>
      </c>
      <c r="M252" s="123" t="s">
        <v>1329</v>
      </c>
      <c r="N252" s="117" t="s">
        <v>1263</v>
      </c>
      <c r="O252" s="118" t="s">
        <v>2554</v>
      </c>
      <c r="P252" s="118" t="s">
        <v>2555</v>
      </c>
      <c r="Q252" s="117"/>
      <c r="R252" s="117"/>
      <c r="S252" s="117"/>
      <c r="T252" s="117"/>
      <c r="U252" s="117"/>
      <c r="V252" s="123" t="s">
        <v>2556</v>
      </c>
      <c r="W252" s="117"/>
      <c r="X252" s="128" t="s">
        <v>2557</v>
      </c>
      <c r="Y252" s="118"/>
      <c r="Z252" s="118"/>
      <c r="AA252" s="118" t="s">
        <v>2558</v>
      </c>
      <c r="AB252" s="117"/>
      <c r="AC252" s="117"/>
      <c r="AD252" s="117"/>
      <c r="AE252" s="117"/>
      <c r="AF252" s="117"/>
      <c r="AG252" s="117"/>
      <c r="AH252" s="117"/>
      <c r="AI252" s="117"/>
      <c r="AJ252" s="117"/>
    </row>
    <row r="253" spans="1:36" ht="24.75" customHeight="1">
      <c r="A253" s="116"/>
      <c r="B253" s="117" t="s">
        <v>1438</v>
      </c>
      <c r="C253" s="117"/>
      <c r="D253" s="117"/>
      <c r="E253" s="117" t="s">
        <v>1241</v>
      </c>
      <c r="F253" s="118" t="s">
        <v>336</v>
      </c>
      <c r="G253" s="118" t="s">
        <v>336</v>
      </c>
      <c r="H253" s="117" t="s">
        <v>292</v>
      </c>
      <c r="I253" s="117"/>
      <c r="J253" s="117" t="s">
        <v>267</v>
      </c>
      <c r="K253" s="123" t="s">
        <v>1243</v>
      </c>
      <c r="L253" s="117" t="s">
        <v>267</v>
      </c>
      <c r="M253" s="123" t="s">
        <v>1329</v>
      </c>
      <c r="N253" s="117" t="s">
        <v>1263</v>
      </c>
      <c r="O253" s="118"/>
      <c r="P253" s="118"/>
      <c r="Q253" s="117"/>
      <c r="R253" s="117"/>
      <c r="S253" s="117"/>
      <c r="T253" s="117"/>
      <c r="U253" s="117"/>
      <c r="V253" s="123"/>
      <c r="W253" s="117"/>
      <c r="X253" s="118"/>
      <c r="Y253" s="118"/>
      <c r="Z253" s="118"/>
      <c r="AA253" s="118"/>
      <c r="AB253" s="117"/>
      <c r="AC253" s="117"/>
      <c r="AD253" s="117"/>
      <c r="AE253" s="117"/>
      <c r="AF253" s="117"/>
      <c r="AG253" s="117"/>
      <c r="AH253" s="117"/>
      <c r="AI253" s="117"/>
      <c r="AJ253" s="117"/>
    </row>
    <row r="254" spans="1:36" ht="24.75" customHeight="1">
      <c r="A254" s="116"/>
      <c r="B254" s="117" t="s">
        <v>1438</v>
      </c>
      <c r="C254" s="117"/>
      <c r="D254" s="117"/>
      <c r="E254" s="117" t="s">
        <v>1241</v>
      </c>
      <c r="F254" s="118" t="s">
        <v>2559</v>
      </c>
      <c r="G254" s="118"/>
      <c r="H254" s="117" t="s">
        <v>292</v>
      </c>
      <c r="I254" s="117"/>
      <c r="J254" s="117" t="s">
        <v>267</v>
      </c>
      <c r="K254" s="123" t="s">
        <v>1243</v>
      </c>
      <c r="L254" s="152" t="s">
        <v>2560</v>
      </c>
      <c r="M254" s="123" t="s">
        <v>1329</v>
      </c>
      <c r="N254" s="117" t="s">
        <v>1263</v>
      </c>
      <c r="O254" s="118"/>
      <c r="P254" s="118"/>
      <c r="Q254" s="117"/>
      <c r="R254" s="117"/>
      <c r="S254" s="117"/>
      <c r="T254" s="117"/>
      <c r="U254" s="117"/>
      <c r="V254" s="123"/>
      <c r="W254" s="117"/>
      <c r="X254" s="118"/>
      <c r="Y254" s="118"/>
      <c r="Z254" s="118"/>
      <c r="AA254" s="118"/>
      <c r="AB254" s="117"/>
      <c r="AC254" s="117"/>
      <c r="AD254" s="117"/>
      <c r="AE254" s="117"/>
      <c r="AF254" s="117"/>
      <c r="AG254" s="117"/>
      <c r="AH254" s="117"/>
      <c r="AI254" s="117"/>
      <c r="AJ254" s="117"/>
    </row>
    <row r="255" spans="1:36" ht="24.75" customHeight="1">
      <c r="A255" s="116"/>
      <c r="B255" s="117" t="s">
        <v>1438</v>
      </c>
      <c r="C255" s="117"/>
      <c r="D255" s="117"/>
      <c r="E255" s="117" t="s">
        <v>1241</v>
      </c>
      <c r="F255" s="118" t="s">
        <v>2561</v>
      </c>
      <c r="G255" s="118" t="s">
        <v>2562</v>
      </c>
      <c r="H255" s="117" t="s">
        <v>292</v>
      </c>
      <c r="I255" s="117"/>
      <c r="J255" s="117" t="s">
        <v>267</v>
      </c>
      <c r="K255" s="123" t="s">
        <v>1243</v>
      </c>
      <c r="L255" s="117" t="s">
        <v>267</v>
      </c>
      <c r="M255" s="123" t="s">
        <v>1329</v>
      </c>
      <c r="N255" s="117" t="s">
        <v>1263</v>
      </c>
      <c r="O255" s="118" t="s">
        <v>2563</v>
      </c>
      <c r="P255" s="118" t="s">
        <v>1666</v>
      </c>
      <c r="Q255" s="117"/>
      <c r="R255" s="117"/>
      <c r="S255" s="117"/>
      <c r="T255" s="117"/>
      <c r="U255" s="117"/>
      <c r="V255" s="123" t="s">
        <v>2564</v>
      </c>
      <c r="W255" s="117"/>
      <c r="X255" s="128" t="s">
        <v>2565</v>
      </c>
      <c r="Y255" s="118"/>
      <c r="Z255" s="118"/>
      <c r="AA255" s="118" t="s">
        <v>2566</v>
      </c>
      <c r="AB255" s="117"/>
      <c r="AC255" s="117"/>
      <c r="AD255" s="117"/>
      <c r="AE255" s="117"/>
      <c r="AF255" s="117"/>
      <c r="AG255" s="117"/>
      <c r="AH255" s="117"/>
      <c r="AI255" s="117"/>
      <c r="AJ255" s="117"/>
    </row>
    <row r="256" spans="1:36" ht="24.75" customHeight="1">
      <c r="A256" s="116"/>
      <c r="B256" s="117" t="s">
        <v>1438</v>
      </c>
      <c r="C256" s="117"/>
      <c r="D256" s="117"/>
      <c r="E256" s="117" t="s">
        <v>1241</v>
      </c>
      <c r="F256" s="118" t="s">
        <v>2567</v>
      </c>
      <c r="G256" s="118" t="s">
        <v>2560</v>
      </c>
      <c r="H256" s="117" t="s">
        <v>295</v>
      </c>
      <c r="I256" s="117" t="s">
        <v>1252</v>
      </c>
      <c r="J256" s="117"/>
      <c r="K256" s="123"/>
      <c r="L256" s="117" t="s">
        <v>273</v>
      </c>
      <c r="M256" s="123"/>
      <c r="N256" s="117" t="s">
        <v>2568</v>
      </c>
      <c r="O256" s="118" t="s">
        <v>2569</v>
      </c>
      <c r="P256" s="118" t="s">
        <v>2570</v>
      </c>
      <c r="Q256" s="117"/>
      <c r="R256" s="117"/>
      <c r="S256" s="117"/>
      <c r="T256" s="117"/>
      <c r="U256" s="117"/>
      <c r="V256" s="123"/>
      <c r="W256" s="117"/>
      <c r="X256" s="128" t="s">
        <v>2571</v>
      </c>
      <c r="Y256" s="118"/>
      <c r="Z256" s="128" t="s">
        <v>2572</v>
      </c>
      <c r="AA256" s="118"/>
      <c r="AB256" s="117"/>
      <c r="AC256" s="117"/>
      <c r="AD256" s="117"/>
      <c r="AE256" s="117"/>
      <c r="AF256" s="117"/>
      <c r="AG256" s="117"/>
      <c r="AH256" s="117"/>
      <c r="AI256" s="117"/>
      <c r="AJ256" s="117"/>
    </row>
    <row r="257" spans="1:36" ht="24.75" customHeight="1">
      <c r="A257" s="116"/>
      <c r="B257" s="146" t="s">
        <v>1438</v>
      </c>
      <c r="C257" s="146"/>
      <c r="D257" s="146"/>
      <c r="E257" s="146" t="s">
        <v>1241</v>
      </c>
      <c r="F257" s="160" t="s">
        <v>2573</v>
      </c>
      <c r="G257" s="160"/>
      <c r="H257" s="146" t="s">
        <v>292</v>
      </c>
      <c r="I257" s="117"/>
      <c r="J257" s="146" t="s">
        <v>267</v>
      </c>
      <c r="K257" s="166" t="s">
        <v>1243</v>
      </c>
      <c r="L257" s="146" t="s">
        <v>267</v>
      </c>
      <c r="M257" s="166" t="s">
        <v>1859</v>
      </c>
      <c r="N257" s="146" t="s">
        <v>1263</v>
      </c>
      <c r="O257" s="160"/>
      <c r="P257" s="160"/>
      <c r="Q257" s="117"/>
      <c r="R257" s="117"/>
      <c r="S257" s="117"/>
      <c r="T257" s="117"/>
      <c r="U257" s="117"/>
      <c r="V257" s="166"/>
      <c r="W257" s="146"/>
      <c r="X257" s="160"/>
      <c r="Y257" s="160"/>
      <c r="Z257" s="178" t="s">
        <v>2574</v>
      </c>
      <c r="AA257" s="118"/>
      <c r="AB257" s="117"/>
      <c r="AC257" s="117"/>
      <c r="AD257" s="117"/>
      <c r="AE257" s="117"/>
      <c r="AF257" s="117"/>
      <c r="AG257" s="117"/>
      <c r="AH257" s="117"/>
      <c r="AI257" s="117"/>
      <c r="AJ257" s="117"/>
    </row>
    <row r="258" spans="1:36" ht="24.75" customHeight="1">
      <c r="A258" s="116"/>
      <c r="B258" s="146" t="s">
        <v>1438</v>
      </c>
      <c r="C258" s="146"/>
      <c r="D258" s="146"/>
      <c r="E258" s="146" t="s">
        <v>1241</v>
      </c>
      <c r="F258" s="160" t="s">
        <v>2575</v>
      </c>
      <c r="G258" s="160"/>
      <c r="H258" s="146" t="s">
        <v>292</v>
      </c>
      <c r="I258" s="117"/>
      <c r="J258" s="146" t="s">
        <v>267</v>
      </c>
      <c r="K258" s="166" t="s">
        <v>1243</v>
      </c>
      <c r="L258" s="146" t="s">
        <v>267</v>
      </c>
      <c r="M258" s="166" t="s">
        <v>1859</v>
      </c>
      <c r="N258" s="146" t="s">
        <v>2576</v>
      </c>
      <c r="O258" s="160"/>
      <c r="P258" s="160"/>
      <c r="Q258" s="117"/>
      <c r="R258" s="117"/>
      <c r="S258" s="117"/>
      <c r="T258" s="117"/>
      <c r="U258" s="117"/>
      <c r="V258" s="166"/>
      <c r="W258" s="146"/>
      <c r="X258" s="160"/>
      <c r="Y258" s="160"/>
      <c r="Z258" s="179" t="s">
        <v>2577</v>
      </c>
      <c r="AA258" s="118"/>
      <c r="AB258" s="117"/>
      <c r="AC258" s="117"/>
      <c r="AD258" s="117"/>
      <c r="AE258" s="117"/>
      <c r="AF258" s="117"/>
      <c r="AG258" s="117"/>
      <c r="AH258" s="117"/>
      <c r="AI258" s="117"/>
      <c r="AJ258" s="117"/>
    </row>
    <row r="259" spans="1:36" ht="24.75" customHeight="1">
      <c r="A259" s="116"/>
      <c r="B259" s="146" t="s">
        <v>1438</v>
      </c>
      <c r="C259" s="146"/>
      <c r="D259" s="146"/>
      <c r="E259" s="146" t="s">
        <v>1241</v>
      </c>
      <c r="F259" s="160" t="s">
        <v>2578</v>
      </c>
      <c r="G259" s="160"/>
      <c r="H259" s="146" t="s">
        <v>292</v>
      </c>
      <c r="I259" s="117"/>
      <c r="J259" s="146" t="s">
        <v>267</v>
      </c>
      <c r="K259" s="166" t="s">
        <v>1243</v>
      </c>
      <c r="L259" s="146" t="s">
        <v>267</v>
      </c>
      <c r="M259" s="166" t="s">
        <v>1859</v>
      </c>
      <c r="N259" s="146" t="s">
        <v>2576</v>
      </c>
      <c r="O259" s="160"/>
      <c r="P259" s="160"/>
      <c r="Q259" s="117"/>
      <c r="R259" s="117"/>
      <c r="S259" s="117"/>
      <c r="T259" s="117"/>
      <c r="U259" s="117"/>
      <c r="V259" s="166"/>
      <c r="W259" s="146"/>
      <c r="X259" s="160"/>
      <c r="Y259" s="160"/>
      <c r="Z259" s="179" t="s">
        <v>2579</v>
      </c>
      <c r="AA259" s="118"/>
      <c r="AB259" s="117"/>
      <c r="AC259" s="117"/>
      <c r="AD259" s="117"/>
      <c r="AE259" s="117"/>
      <c r="AF259" s="117"/>
      <c r="AG259" s="117"/>
      <c r="AH259" s="117"/>
      <c r="AI259" s="117"/>
      <c r="AJ259" s="117"/>
    </row>
    <row r="260" spans="1:36" ht="24.75" customHeight="1">
      <c r="A260" s="116"/>
      <c r="B260" s="146" t="s">
        <v>1438</v>
      </c>
      <c r="C260" s="146"/>
      <c r="D260" s="146"/>
      <c r="E260" s="146" t="s">
        <v>1241</v>
      </c>
      <c r="F260" s="160" t="s">
        <v>2580</v>
      </c>
      <c r="G260" s="160"/>
      <c r="H260" s="146" t="s">
        <v>292</v>
      </c>
      <c r="I260" s="117"/>
      <c r="J260" s="146" t="s">
        <v>267</v>
      </c>
      <c r="K260" s="166" t="s">
        <v>1243</v>
      </c>
      <c r="L260" s="146" t="s">
        <v>267</v>
      </c>
      <c r="M260" s="166" t="s">
        <v>1859</v>
      </c>
      <c r="N260" s="146" t="s">
        <v>1263</v>
      </c>
      <c r="O260" s="160"/>
      <c r="P260" s="160"/>
      <c r="Q260" s="117"/>
      <c r="R260" s="117"/>
      <c r="S260" s="117"/>
      <c r="T260" s="117"/>
      <c r="U260" s="117"/>
      <c r="V260" s="166"/>
      <c r="W260" s="146"/>
      <c r="X260" s="160"/>
      <c r="Y260" s="160"/>
      <c r="Z260" s="179" t="s">
        <v>2581</v>
      </c>
      <c r="AA260" s="118"/>
      <c r="AB260" s="117"/>
      <c r="AC260" s="117"/>
      <c r="AD260" s="117"/>
      <c r="AE260" s="117"/>
      <c r="AF260" s="117"/>
      <c r="AG260" s="117"/>
      <c r="AH260" s="117"/>
      <c r="AI260" s="117"/>
      <c r="AJ260" s="117"/>
    </row>
    <row r="261" spans="1:36" ht="24.75" customHeight="1">
      <c r="A261" s="116"/>
      <c r="B261" s="146" t="s">
        <v>1438</v>
      </c>
      <c r="C261" s="146"/>
      <c r="D261" s="146"/>
      <c r="E261" s="146" t="s">
        <v>1241</v>
      </c>
      <c r="F261" s="160" t="s">
        <v>2582</v>
      </c>
      <c r="G261" s="160"/>
      <c r="H261" s="146" t="s">
        <v>292</v>
      </c>
      <c r="I261" s="117"/>
      <c r="J261" s="146" t="s">
        <v>267</v>
      </c>
      <c r="K261" s="166" t="s">
        <v>1243</v>
      </c>
      <c r="L261" s="146" t="s">
        <v>267</v>
      </c>
      <c r="M261" s="166" t="s">
        <v>1253</v>
      </c>
      <c r="N261" s="146" t="s">
        <v>2576</v>
      </c>
      <c r="O261" s="160"/>
      <c r="P261" s="160"/>
      <c r="Q261" s="117"/>
      <c r="R261" s="117"/>
      <c r="S261" s="117"/>
      <c r="T261" s="117"/>
      <c r="U261" s="117"/>
      <c r="V261" s="166"/>
      <c r="W261" s="146"/>
      <c r="X261" s="160"/>
      <c r="Y261" s="160"/>
      <c r="Z261" s="179" t="s">
        <v>2583</v>
      </c>
      <c r="AA261" s="118"/>
      <c r="AB261" s="117"/>
      <c r="AC261" s="117"/>
      <c r="AD261" s="117"/>
      <c r="AE261" s="117"/>
      <c r="AF261" s="117"/>
      <c r="AG261" s="117"/>
      <c r="AH261" s="117"/>
      <c r="AI261" s="117"/>
      <c r="AJ261" s="117"/>
    </row>
    <row r="262" spans="1:36" ht="24.75" customHeight="1">
      <c r="A262" s="116"/>
      <c r="B262" s="146" t="s">
        <v>1438</v>
      </c>
      <c r="C262" s="146"/>
      <c r="D262" s="146"/>
      <c r="E262" s="146" t="s">
        <v>1241</v>
      </c>
      <c r="F262" s="160" t="s">
        <v>2584</v>
      </c>
      <c r="G262" s="160"/>
      <c r="H262" s="146" t="s">
        <v>292</v>
      </c>
      <c r="I262" s="117"/>
      <c r="J262" s="146" t="s">
        <v>267</v>
      </c>
      <c r="K262" s="166" t="s">
        <v>1243</v>
      </c>
      <c r="L262" s="146" t="s">
        <v>267</v>
      </c>
      <c r="M262" s="166" t="s">
        <v>1253</v>
      </c>
      <c r="N262" s="146" t="s">
        <v>2576</v>
      </c>
      <c r="O262" s="160"/>
      <c r="P262" s="160"/>
      <c r="Q262" s="117"/>
      <c r="R262" s="117"/>
      <c r="S262" s="117"/>
      <c r="T262" s="117"/>
      <c r="U262" s="117"/>
      <c r="V262" s="166"/>
      <c r="W262" s="146"/>
      <c r="X262" s="160"/>
      <c r="Y262" s="160"/>
      <c r="Z262" s="179" t="s">
        <v>2585</v>
      </c>
      <c r="AA262" s="118"/>
      <c r="AB262" s="117"/>
      <c r="AC262" s="117"/>
      <c r="AD262" s="117"/>
      <c r="AE262" s="117"/>
      <c r="AF262" s="117"/>
      <c r="AG262" s="117"/>
      <c r="AH262" s="117"/>
      <c r="AI262" s="117"/>
      <c r="AJ262" s="117"/>
    </row>
    <row r="263" spans="1:36" ht="24.75" customHeight="1">
      <c r="A263" s="116"/>
      <c r="B263" s="146" t="s">
        <v>1438</v>
      </c>
      <c r="C263" s="146"/>
      <c r="D263" s="146"/>
      <c r="E263" s="146" t="s">
        <v>1241</v>
      </c>
      <c r="F263" s="160" t="s">
        <v>2586</v>
      </c>
      <c r="G263" s="160"/>
      <c r="H263" s="146" t="s">
        <v>292</v>
      </c>
      <c r="I263" s="117"/>
      <c r="J263" s="146" t="s">
        <v>267</v>
      </c>
      <c r="K263" s="166" t="s">
        <v>1243</v>
      </c>
      <c r="L263" s="146" t="s">
        <v>267</v>
      </c>
      <c r="M263" s="166" t="s">
        <v>1253</v>
      </c>
      <c r="N263" s="146" t="s">
        <v>1263</v>
      </c>
      <c r="O263" s="160"/>
      <c r="P263" s="160"/>
      <c r="Q263" s="117"/>
      <c r="R263" s="117"/>
      <c r="S263" s="117"/>
      <c r="T263" s="117"/>
      <c r="U263" s="117"/>
      <c r="V263" s="166"/>
      <c r="W263" s="146"/>
      <c r="X263" s="160"/>
      <c r="Y263" s="160"/>
      <c r="Z263" s="179" t="s">
        <v>2587</v>
      </c>
      <c r="AA263" s="118"/>
      <c r="AB263" s="117"/>
      <c r="AC263" s="117"/>
      <c r="AD263" s="117"/>
      <c r="AE263" s="117"/>
      <c r="AF263" s="117"/>
      <c r="AG263" s="117"/>
      <c r="AH263" s="117"/>
      <c r="AI263" s="117"/>
      <c r="AJ263" s="117"/>
    </row>
    <row r="264" spans="1:36" ht="24.75" customHeight="1">
      <c r="A264" s="116"/>
      <c r="B264" s="146" t="s">
        <v>1438</v>
      </c>
      <c r="C264" s="146"/>
      <c r="D264" s="146"/>
      <c r="E264" s="146" t="s">
        <v>1241</v>
      </c>
      <c r="F264" s="160" t="s">
        <v>2588</v>
      </c>
      <c r="G264" s="160"/>
      <c r="H264" s="146" t="s">
        <v>292</v>
      </c>
      <c r="I264" s="117"/>
      <c r="J264" s="146" t="s">
        <v>267</v>
      </c>
      <c r="K264" s="166" t="s">
        <v>1243</v>
      </c>
      <c r="L264" s="146" t="s">
        <v>267</v>
      </c>
      <c r="M264" s="166" t="s">
        <v>2589</v>
      </c>
      <c r="N264" s="146" t="s">
        <v>1263</v>
      </c>
      <c r="O264" s="160"/>
      <c r="P264" s="160"/>
      <c r="Q264" s="117"/>
      <c r="R264" s="117"/>
      <c r="S264" s="117"/>
      <c r="T264" s="117"/>
      <c r="U264" s="117"/>
      <c r="V264" s="166"/>
      <c r="W264" s="146"/>
      <c r="X264" s="160"/>
      <c r="Y264" s="160"/>
      <c r="Z264" s="179" t="s">
        <v>2590</v>
      </c>
      <c r="AA264" s="118"/>
      <c r="AB264" s="117"/>
      <c r="AC264" s="117"/>
      <c r="AD264" s="117"/>
      <c r="AE264" s="117"/>
      <c r="AF264" s="117"/>
      <c r="AG264" s="117"/>
      <c r="AH264" s="117"/>
      <c r="AI264" s="117"/>
      <c r="AJ264" s="117"/>
    </row>
    <row r="265" spans="1:36" ht="24.75" customHeight="1">
      <c r="A265" s="116"/>
      <c r="B265" s="146" t="s">
        <v>1438</v>
      </c>
      <c r="C265" s="146"/>
      <c r="D265" s="146"/>
      <c r="E265" s="146" t="s">
        <v>1241</v>
      </c>
      <c r="F265" s="160" t="s">
        <v>2591</v>
      </c>
      <c r="G265" s="160"/>
      <c r="H265" s="146" t="s">
        <v>292</v>
      </c>
      <c r="I265" s="117"/>
      <c r="J265" s="146" t="s">
        <v>267</v>
      </c>
      <c r="K265" s="166" t="s">
        <v>1243</v>
      </c>
      <c r="L265" s="146" t="s">
        <v>267</v>
      </c>
      <c r="M265" s="166" t="s">
        <v>2589</v>
      </c>
      <c r="N265" s="146" t="s">
        <v>2576</v>
      </c>
      <c r="O265" s="160"/>
      <c r="P265" s="160"/>
      <c r="Q265" s="117"/>
      <c r="R265" s="117"/>
      <c r="S265" s="117"/>
      <c r="T265" s="117"/>
      <c r="U265" s="117"/>
      <c r="V265" s="166"/>
      <c r="W265" s="146"/>
      <c r="X265" s="160"/>
      <c r="Y265" s="160"/>
      <c r="Z265" s="179" t="s">
        <v>2592</v>
      </c>
      <c r="AA265" s="118"/>
      <c r="AB265" s="117"/>
      <c r="AC265" s="117"/>
      <c r="AD265" s="117"/>
      <c r="AE265" s="117"/>
      <c r="AF265" s="117"/>
      <c r="AG265" s="117"/>
      <c r="AH265" s="117"/>
      <c r="AI265" s="117"/>
      <c r="AJ265" s="117"/>
    </row>
    <row r="266" spans="1:36" ht="24.75" customHeight="1">
      <c r="A266" s="116"/>
      <c r="B266" s="146" t="s">
        <v>1438</v>
      </c>
      <c r="C266" s="146"/>
      <c r="D266" s="146"/>
      <c r="E266" s="146" t="s">
        <v>1241</v>
      </c>
      <c r="F266" s="160" t="s">
        <v>2593</v>
      </c>
      <c r="G266" s="160"/>
      <c r="H266" s="146" t="s">
        <v>292</v>
      </c>
      <c r="I266" s="117"/>
      <c r="J266" s="146" t="s">
        <v>267</v>
      </c>
      <c r="K266" s="166" t="s">
        <v>1243</v>
      </c>
      <c r="L266" s="146" t="s">
        <v>267</v>
      </c>
      <c r="M266" s="166" t="s">
        <v>2589</v>
      </c>
      <c r="N266" s="146" t="s">
        <v>1263</v>
      </c>
      <c r="O266" s="160"/>
      <c r="P266" s="160"/>
      <c r="Q266" s="117"/>
      <c r="R266" s="117"/>
      <c r="S266" s="117"/>
      <c r="T266" s="117"/>
      <c r="U266" s="117"/>
      <c r="V266" s="166"/>
      <c r="W266" s="146"/>
      <c r="X266" s="160"/>
      <c r="Y266" s="160"/>
      <c r="Z266" s="179" t="s">
        <v>2594</v>
      </c>
      <c r="AA266" s="118"/>
      <c r="AB266" s="117"/>
      <c r="AC266" s="117"/>
      <c r="AD266" s="117"/>
      <c r="AE266" s="117"/>
      <c r="AF266" s="117"/>
      <c r="AG266" s="117"/>
      <c r="AH266" s="117"/>
      <c r="AI266" s="117"/>
      <c r="AJ266" s="117"/>
    </row>
    <row r="267" spans="1:36" ht="24.75" customHeight="1">
      <c r="A267" s="116"/>
      <c r="B267" s="146" t="s">
        <v>1438</v>
      </c>
      <c r="C267" s="146"/>
      <c r="D267" s="146"/>
      <c r="E267" s="146" t="s">
        <v>1241</v>
      </c>
      <c r="F267" s="160" t="s">
        <v>2595</v>
      </c>
      <c r="G267" s="160"/>
      <c r="H267" s="146" t="s">
        <v>292</v>
      </c>
      <c r="I267" s="117"/>
      <c r="J267" s="146" t="s">
        <v>267</v>
      </c>
      <c r="K267" s="166" t="s">
        <v>1243</v>
      </c>
      <c r="L267" s="146" t="s">
        <v>267</v>
      </c>
      <c r="M267" s="166" t="s">
        <v>2596</v>
      </c>
      <c r="N267" s="146" t="s">
        <v>2576</v>
      </c>
      <c r="O267" s="160"/>
      <c r="P267" s="160"/>
      <c r="Q267" s="117"/>
      <c r="R267" s="117"/>
      <c r="S267" s="117"/>
      <c r="T267" s="117"/>
      <c r="U267" s="117"/>
      <c r="V267" s="166"/>
      <c r="W267" s="146"/>
      <c r="X267" s="160"/>
      <c r="Y267" s="160"/>
      <c r="Z267" s="160"/>
      <c r="AA267" s="118"/>
      <c r="AB267" s="117"/>
      <c r="AC267" s="117"/>
      <c r="AD267" s="117"/>
      <c r="AE267" s="117"/>
      <c r="AF267" s="117"/>
      <c r="AG267" s="117"/>
      <c r="AH267" s="117"/>
      <c r="AI267" s="117"/>
      <c r="AJ267" s="117"/>
    </row>
    <row r="268" spans="1:36" ht="24.75" customHeight="1">
      <c r="A268" s="116"/>
      <c r="B268" s="131" t="s">
        <v>1598</v>
      </c>
      <c r="C268" s="131"/>
      <c r="D268" s="131"/>
      <c r="E268" s="131" t="s">
        <v>1241</v>
      </c>
      <c r="F268" s="118" t="s">
        <v>2597</v>
      </c>
      <c r="G268" s="118"/>
      <c r="H268" s="117" t="s">
        <v>422</v>
      </c>
      <c r="I268" s="117" t="s">
        <v>1252</v>
      </c>
      <c r="J268" s="117"/>
      <c r="K268" s="123"/>
      <c r="L268" s="117"/>
      <c r="M268" s="123"/>
      <c r="N268" s="117" t="s">
        <v>2598</v>
      </c>
      <c r="O268" s="118" t="s">
        <v>2599</v>
      </c>
      <c r="P268" s="118"/>
      <c r="Q268" s="117"/>
      <c r="R268" s="117"/>
      <c r="S268" s="117"/>
      <c r="T268" s="117"/>
      <c r="U268" s="117"/>
      <c r="V268" s="123" t="s">
        <v>2600</v>
      </c>
      <c r="W268" s="117"/>
      <c r="X268" s="128" t="s">
        <v>2601</v>
      </c>
      <c r="Y268" s="118"/>
      <c r="Z268" s="128" t="s">
        <v>2602</v>
      </c>
      <c r="AA268" s="118"/>
      <c r="AB268" s="117"/>
      <c r="AC268" s="117"/>
      <c r="AD268" s="117"/>
      <c r="AE268" s="117"/>
      <c r="AF268" s="117"/>
      <c r="AG268" s="117"/>
      <c r="AH268" s="117"/>
      <c r="AI268" s="117"/>
      <c r="AJ268" s="117"/>
    </row>
    <row r="269" spans="1:36" ht="24.75" customHeight="1">
      <c r="A269" s="116"/>
      <c r="B269" s="131" t="s">
        <v>526</v>
      </c>
      <c r="C269" s="131"/>
      <c r="D269" s="131"/>
      <c r="E269" s="131" t="s">
        <v>1372</v>
      </c>
      <c r="F269" s="118" t="s">
        <v>2603</v>
      </c>
      <c r="G269" s="118" t="s">
        <v>2603</v>
      </c>
      <c r="H269" s="117" t="s">
        <v>422</v>
      </c>
      <c r="I269" s="117" t="s">
        <v>295</v>
      </c>
      <c r="J269" s="117" t="s">
        <v>323</v>
      </c>
      <c r="K269" s="123" t="s">
        <v>1695</v>
      </c>
      <c r="L269" s="117" t="s">
        <v>323</v>
      </c>
      <c r="M269" s="123" t="s">
        <v>1749</v>
      </c>
      <c r="N269" s="117" t="s">
        <v>2598</v>
      </c>
      <c r="O269" s="118" t="s">
        <v>2604</v>
      </c>
      <c r="P269" s="118" t="s">
        <v>1921</v>
      </c>
      <c r="Q269" s="117"/>
      <c r="R269" s="117"/>
      <c r="S269" s="117"/>
      <c r="T269" s="117"/>
      <c r="U269" s="117"/>
      <c r="V269" s="123" t="s">
        <v>2605</v>
      </c>
      <c r="W269" s="117" t="s">
        <v>1771</v>
      </c>
      <c r="X269" s="173" t="s">
        <v>2606</v>
      </c>
      <c r="Y269" s="118"/>
      <c r="Z269" s="128" t="s">
        <v>2607</v>
      </c>
      <c r="AA269" s="118" t="s">
        <v>2608</v>
      </c>
      <c r="AB269" s="117"/>
      <c r="AC269" s="117"/>
      <c r="AD269" s="117"/>
      <c r="AE269" s="117"/>
      <c r="AF269" s="117"/>
      <c r="AG269" s="117"/>
      <c r="AH269" s="117"/>
      <c r="AI269" s="117"/>
      <c r="AJ269" s="117"/>
    </row>
    <row r="270" spans="1:36" ht="24.75" customHeight="1">
      <c r="A270" s="116"/>
      <c r="B270" s="131" t="s">
        <v>1239</v>
      </c>
      <c r="C270" s="131" t="s">
        <v>1312</v>
      </c>
      <c r="D270" s="131">
        <v>30</v>
      </c>
      <c r="E270" s="131" t="s">
        <v>1241</v>
      </c>
      <c r="F270" s="118" t="s">
        <v>2609</v>
      </c>
      <c r="G270" s="118" t="s">
        <v>2609</v>
      </c>
      <c r="H270" s="117" t="s">
        <v>422</v>
      </c>
      <c r="I270" s="117" t="s">
        <v>1252</v>
      </c>
      <c r="J270" s="117" t="s">
        <v>293</v>
      </c>
      <c r="K270" s="123" t="s">
        <v>1695</v>
      </c>
      <c r="L270" s="117" t="s">
        <v>293</v>
      </c>
      <c r="M270" s="123" t="s">
        <v>1385</v>
      </c>
      <c r="N270" s="117" t="s">
        <v>2610</v>
      </c>
      <c r="O270" s="118" t="s">
        <v>2611</v>
      </c>
      <c r="P270" s="118" t="s">
        <v>2612</v>
      </c>
      <c r="Q270" s="117"/>
      <c r="R270" s="117"/>
      <c r="S270" s="117"/>
      <c r="T270" s="117"/>
      <c r="U270" s="117"/>
      <c r="V270" s="127">
        <v>6285656290095</v>
      </c>
      <c r="W270" s="117" t="s">
        <v>2613</v>
      </c>
      <c r="X270" s="128" t="s">
        <v>2614</v>
      </c>
      <c r="Y270" s="118"/>
      <c r="Z270" s="128" t="s">
        <v>2615</v>
      </c>
      <c r="AA270" s="118" t="s">
        <v>2616</v>
      </c>
      <c r="AB270" s="117"/>
      <c r="AC270" s="117"/>
      <c r="AD270" s="117"/>
      <c r="AE270" s="117"/>
      <c r="AF270" s="117"/>
      <c r="AG270" s="117"/>
      <c r="AH270" s="117"/>
      <c r="AI270" s="117"/>
      <c r="AJ270" s="117"/>
    </row>
    <row r="271" spans="1:36" ht="24.75" customHeight="1">
      <c r="A271" s="116"/>
      <c r="B271" s="117" t="s">
        <v>1646</v>
      </c>
      <c r="C271" s="117"/>
      <c r="D271" s="117"/>
      <c r="E271" s="117" t="s">
        <v>1241</v>
      </c>
      <c r="F271" s="118" t="s">
        <v>337</v>
      </c>
      <c r="G271" s="118" t="s">
        <v>2617</v>
      </c>
      <c r="H271" s="117" t="s">
        <v>422</v>
      </c>
      <c r="I271" s="117" t="s">
        <v>295</v>
      </c>
      <c r="J271" s="117" t="s">
        <v>323</v>
      </c>
      <c r="K271" s="123" t="s">
        <v>1695</v>
      </c>
      <c r="L271" s="117" t="s">
        <v>323</v>
      </c>
      <c r="M271" s="123" t="s">
        <v>2618</v>
      </c>
      <c r="N271" s="117" t="s">
        <v>2619</v>
      </c>
      <c r="O271" s="118" t="s">
        <v>2620</v>
      </c>
      <c r="P271" s="118" t="s">
        <v>2621</v>
      </c>
      <c r="Q271" s="117"/>
      <c r="R271" s="117"/>
      <c r="S271" s="117"/>
      <c r="T271" s="117"/>
      <c r="U271" s="117"/>
      <c r="V271" s="123">
        <v>84906668790</v>
      </c>
      <c r="W271" s="117" t="s">
        <v>1771</v>
      </c>
      <c r="X271" s="128" t="s">
        <v>2622</v>
      </c>
      <c r="Y271" s="128" t="s">
        <v>2623</v>
      </c>
      <c r="Z271" s="128" t="s">
        <v>2624</v>
      </c>
      <c r="AA271" s="118" t="s">
        <v>2625</v>
      </c>
      <c r="AB271" s="117" t="s">
        <v>1767</v>
      </c>
      <c r="AC271" s="117" t="s">
        <v>1767</v>
      </c>
      <c r="AD271" s="117" t="s">
        <v>1303</v>
      </c>
      <c r="AE271" s="117" t="s">
        <v>1767</v>
      </c>
      <c r="AF271" s="117" t="s">
        <v>1766</v>
      </c>
      <c r="AG271" s="117" t="s">
        <v>1563</v>
      </c>
      <c r="AH271" s="117" t="s">
        <v>1767</v>
      </c>
      <c r="AI271" s="117"/>
      <c r="AJ271" s="117" t="s">
        <v>2626</v>
      </c>
    </row>
    <row r="272" spans="1:36" ht="24.75" customHeight="1">
      <c r="A272" s="147"/>
      <c r="B272" s="117" t="s">
        <v>1438</v>
      </c>
      <c r="C272" s="117"/>
      <c r="D272" s="117"/>
      <c r="E272" s="117" t="s">
        <v>1241</v>
      </c>
      <c r="F272" s="118" t="s">
        <v>2627</v>
      </c>
      <c r="G272" s="118" t="s">
        <v>2628</v>
      </c>
      <c r="H272" s="117" t="s">
        <v>422</v>
      </c>
      <c r="I272" s="117" t="s">
        <v>1252</v>
      </c>
      <c r="J272" s="117" t="s">
        <v>299</v>
      </c>
      <c r="K272" s="123" t="s">
        <v>1695</v>
      </c>
      <c r="L272" s="117" t="s">
        <v>299</v>
      </c>
      <c r="M272" s="123" t="s">
        <v>1801</v>
      </c>
      <c r="N272" s="117" t="s">
        <v>2629</v>
      </c>
      <c r="O272" s="118" t="s">
        <v>2630</v>
      </c>
      <c r="P272" s="118" t="s">
        <v>2631</v>
      </c>
      <c r="Q272" s="117"/>
      <c r="R272" s="117"/>
      <c r="S272" s="117"/>
      <c r="T272" s="117"/>
      <c r="U272" s="117"/>
      <c r="V272" s="127" t="s">
        <v>2632</v>
      </c>
      <c r="W272" s="148"/>
      <c r="X272" s="173" t="s">
        <v>2633</v>
      </c>
      <c r="Y272" s="118"/>
      <c r="Z272" s="128" t="s">
        <v>2634</v>
      </c>
      <c r="AA272" s="118" t="s">
        <v>2635</v>
      </c>
      <c r="AB272" s="117"/>
      <c r="AC272" s="117"/>
      <c r="AD272" s="117"/>
      <c r="AE272" s="117"/>
      <c r="AF272" s="117"/>
      <c r="AG272" s="117"/>
      <c r="AH272" s="117"/>
      <c r="AI272" s="117"/>
      <c r="AJ272" s="117"/>
    </row>
    <row r="273" spans="1:36" ht="24.75" customHeight="1">
      <c r="A273" s="147"/>
      <c r="B273" s="117" t="s">
        <v>1438</v>
      </c>
      <c r="C273" s="117"/>
      <c r="D273" s="117"/>
      <c r="E273" s="117" t="s">
        <v>1241</v>
      </c>
      <c r="F273" s="118" t="s">
        <v>2636</v>
      </c>
      <c r="G273" s="118" t="s">
        <v>2636</v>
      </c>
      <c r="H273" s="117" t="s">
        <v>422</v>
      </c>
      <c r="I273" s="117" t="s">
        <v>1252</v>
      </c>
      <c r="J273" s="117" t="s">
        <v>1931</v>
      </c>
      <c r="K273" s="123" t="s">
        <v>1695</v>
      </c>
      <c r="L273" s="117" t="s">
        <v>1931</v>
      </c>
      <c r="M273" s="123" t="s">
        <v>1932</v>
      </c>
      <c r="N273" s="117" t="s">
        <v>2637</v>
      </c>
      <c r="O273" s="118" t="s">
        <v>2638</v>
      </c>
      <c r="P273" s="118" t="s">
        <v>2639</v>
      </c>
      <c r="Q273" s="117"/>
      <c r="R273" s="117"/>
      <c r="S273" s="117"/>
      <c r="T273" s="117"/>
      <c r="U273" s="117"/>
      <c r="V273" s="123" t="s">
        <v>2640</v>
      </c>
      <c r="W273" s="117"/>
      <c r="X273" s="128" t="s">
        <v>2641</v>
      </c>
      <c r="Y273" s="118"/>
      <c r="Z273" s="128" t="s">
        <v>2642</v>
      </c>
      <c r="AA273" s="118" t="s">
        <v>2643</v>
      </c>
      <c r="AB273" s="117"/>
      <c r="AC273" s="117"/>
      <c r="AD273" s="117"/>
      <c r="AE273" s="117"/>
      <c r="AF273" s="117"/>
      <c r="AG273" s="117"/>
      <c r="AH273" s="117"/>
      <c r="AI273" s="117"/>
      <c r="AJ273" s="117"/>
    </row>
    <row r="274" spans="1:36" ht="24.75" customHeight="1">
      <c r="A274" s="149"/>
      <c r="B274" s="117" t="s">
        <v>1438</v>
      </c>
      <c r="C274" s="117"/>
      <c r="D274" s="117"/>
      <c r="E274" s="117" t="s">
        <v>1241</v>
      </c>
      <c r="F274" s="118" t="s">
        <v>311</v>
      </c>
      <c r="G274" s="118" t="s">
        <v>311</v>
      </c>
      <c r="H274" s="117" t="s">
        <v>422</v>
      </c>
      <c r="I274" s="117" t="s">
        <v>1252</v>
      </c>
      <c r="J274" s="117" t="s">
        <v>151</v>
      </c>
      <c r="K274" s="123" t="s">
        <v>1695</v>
      </c>
      <c r="L274" s="117" t="s">
        <v>152</v>
      </c>
      <c r="M274" s="123" t="s">
        <v>152</v>
      </c>
      <c r="N274" s="117" t="s">
        <v>2644</v>
      </c>
      <c r="O274" s="118" t="s">
        <v>2645</v>
      </c>
      <c r="P274" s="118" t="s">
        <v>2646</v>
      </c>
      <c r="Q274" s="117"/>
      <c r="R274" s="117"/>
      <c r="S274" s="117"/>
      <c r="T274" s="117"/>
      <c r="U274" s="117"/>
      <c r="V274" s="123" t="s">
        <v>2647</v>
      </c>
      <c r="W274" s="117"/>
      <c r="X274" s="128" t="s">
        <v>2648</v>
      </c>
      <c r="Y274" s="118"/>
      <c r="Z274" s="128" t="s">
        <v>2649</v>
      </c>
      <c r="AA274" s="118" t="s">
        <v>2650</v>
      </c>
      <c r="AB274" s="117"/>
      <c r="AC274" s="117"/>
      <c r="AD274" s="117"/>
      <c r="AE274" s="117"/>
      <c r="AF274" s="117"/>
      <c r="AG274" s="117"/>
      <c r="AH274" s="117"/>
      <c r="AI274" s="117"/>
      <c r="AJ274" s="117"/>
    </row>
    <row r="275" spans="1:36" ht="24.75" customHeight="1">
      <c r="A275" s="147"/>
      <c r="B275" s="117" t="s">
        <v>1438</v>
      </c>
      <c r="C275" s="117"/>
      <c r="D275" s="117"/>
      <c r="E275" s="117" t="s">
        <v>1241</v>
      </c>
      <c r="F275" s="118" t="s">
        <v>2651</v>
      </c>
      <c r="G275" s="118" t="s">
        <v>2651</v>
      </c>
      <c r="H275" s="117" t="s">
        <v>422</v>
      </c>
      <c r="I275" s="117" t="s">
        <v>1252</v>
      </c>
      <c r="J275" s="117" t="s">
        <v>301</v>
      </c>
      <c r="K275" s="123" t="s">
        <v>2652</v>
      </c>
      <c r="L275" s="117" t="s">
        <v>301</v>
      </c>
      <c r="M275" s="123" t="s">
        <v>2303</v>
      </c>
      <c r="N275" s="117" t="s">
        <v>2653</v>
      </c>
      <c r="O275" s="118" t="s">
        <v>2654</v>
      </c>
      <c r="P275" s="118" t="s">
        <v>2655</v>
      </c>
      <c r="Q275" s="117"/>
      <c r="R275" s="117"/>
      <c r="S275" s="117"/>
      <c r="T275" s="117"/>
      <c r="U275" s="117"/>
      <c r="V275" s="123" t="s">
        <v>2656</v>
      </c>
      <c r="W275" s="117"/>
      <c r="X275" s="173" t="s">
        <v>2657</v>
      </c>
      <c r="Y275" s="118"/>
      <c r="Z275" s="128" t="s">
        <v>2658</v>
      </c>
      <c r="AA275" s="118" t="s">
        <v>2659</v>
      </c>
      <c r="AB275" s="117"/>
      <c r="AC275" s="117"/>
      <c r="AD275" s="117"/>
      <c r="AE275" s="117"/>
      <c r="AF275" s="117"/>
      <c r="AG275" s="117"/>
      <c r="AH275" s="117"/>
      <c r="AI275" s="117"/>
      <c r="AJ275" s="117"/>
    </row>
    <row r="276" spans="1:36" ht="24.75" customHeight="1">
      <c r="A276" s="149"/>
      <c r="B276" s="117" t="s">
        <v>1438</v>
      </c>
      <c r="C276" s="117"/>
      <c r="D276" s="117"/>
      <c r="E276" s="117" t="s">
        <v>1241</v>
      </c>
      <c r="F276" s="118" t="s">
        <v>2660</v>
      </c>
      <c r="G276" s="118" t="s">
        <v>2660</v>
      </c>
      <c r="H276" s="117" t="s">
        <v>422</v>
      </c>
      <c r="I276" s="117" t="s">
        <v>1252</v>
      </c>
      <c r="J276" s="117" t="s">
        <v>2661</v>
      </c>
      <c r="K276" s="123"/>
      <c r="L276" s="117" t="s">
        <v>2662</v>
      </c>
      <c r="M276" s="123" t="s">
        <v>2663</v>
      </c>
      <c r="N276" s="117" t="s">
        <v>2664</v>
      </c>
      <c r="O276" s="118" t="s">
        <v>2665</v>
      </c>
      <c r="P276" s="118" t="s">
        <v>2666</v>
      </c>
      <c r="Q276" s="117"/>
      <c r="R276" s="117"/>
      <c r="S276" s="117"/>
      <c r="T276" s="117"/>
      <c r="U276" s="117"/>
      <c r="V276" s="123" t="s">
        <v>2667</v>
      </c>
      <c r="W276" s="117"/>
      <c r="X276" s="173" t="s">
        <v>2668</v>
      </c>
      <c r="Y276" s="173" t="s">
        <v>2669</v>
      </c>
      <c r="Z276" s="128" t="s">
        <v>2670</v>
      </c>
      <c r="AA276" s="118" t="s">
        <v>2671</v>
      </c>
      <c r="AB276" s="117"/>
      <c r="AC276" s="117"/>
      <c r="AD276" s="117"/>
      <c r="AE276" s="117"/>
      <c r="AF276" s="117"/>
      <c r="AG276" s="117"/>
      <c r="AH276" s="117"/>
      <c r="AI276" s="117"/>
      <c r="AJ276" s="117"/>
    </row>
    <row r="277" spans="1:36" ht="24.75" customHeight="1">
      <c r="A277" s="116"/>
      <c r="B277" s="117" t="s">
        <v>1438</v>
      </c>
      <c r="C277" s="117"/>
      <c r="D277" s="117"/>
      <c r="E277" s="117"/>
      <c r="F277" s="161" t="s">
        <v>2672</v>
      </c>
      <c r="G277" s="161" t="s">
        <v>2672</v>
      </c>
      <c r="H277" s="117" t="s">
        <v>295</v>
      </c>
      <c r="I277" s="117"/>
      <c r="J277" s="117" t="s">
        <v>259</v>
      </c>
      <c r="K277" s="123" t="s">
        <v>1243</v>
      </c>
      <c r="L277" s="117" t="s">
        <v>259</v>
      </c>
      <c r="M277" s="123" t="s">
        <v>1313</v>
      </c>
      <c r="N277" s="117"/>
      <c r="O277" s="118"/>
      <c r="P277" s="118"/>
      <c r="Q277" s="117"/>
      <c r="R277" s="117"/>
      <c r="S277" s="117"/>
      <c r="T277" s="117"/>
      <c r="U277" s="117"/>
      <c r="V277" s="123"/>
      <c r="W277" s="117"/>
      <c r="X277" s="173"/>
      <c r="Y277" s="173"/>
      <c r="Z277" s="128"/>
      <c r="AA277" s="118"/>
      <c r="AB277" s="117"/>
      <c r="AC277" s="117"/>
      <c r="AD277" s="117"/>
      <c r="AE277" s="117"/>
      <c r="AF277" s="117"/>
      <c r="AG277" s="117"/>
      <c r="AH277" s="117"/>
      <c r="AI277" s="117"/>
      <c r="AJ277" s="117"/>
    </row>
    <row r="278" spans="1:36" ht="24.75" customHeight="1">
      <c r="A278" s="116"/>
      <c r="B278" s="117" t="s">
        <v>1438</v>
      </c>
      <c r="C278" s="117"/>
      <c r="D278" s="117"/>
      <c r="E278" s="117"/>
      <c r="F278" s="161" t="s">
        <v>2673</v>
      </c>
      <c r="G278" s="161" t="s">
        <v>2673</v>
      </c>
      <c r="H278" s="117" t="s">
        <v>295</v>
      </c>
      <c r="I278" s="117"/>
      <c r="J278" s="117" t="s">
        <v>259</v>
      </c>
      <c r="K278" s="123" t="s">
        <v>1243</v>
      </c>
      <c r="L278" s="117" t="s">
        <v>259</v>
      </c>
      <c r="M278" s="123" t="s">
        <v>1313</v>
      </c>
      <c r="N278" s="117"/>
      <c r="O278" s="118"/>
      <c r="P278" s="118"/>
      <c r="Q278" s="117"/>
      <c r="R278" s="117"/>
      <c r="S278" s="117"/>
      <c r="T278" s="117"/>
      <c r="U278" s="117"/>
      <c r="V278" s="123"/>
      <c r="W278" s="117"/>
      <c r="X278" s="173"/>
      <c r="Y278" s="173"/>
      <c r="Z278" s="128"/>
      <c r="AA278" s="118"/>
      <c r="AB278" s="117"/>
      <c r="AC278" s="117"/>
      <c r="AD278" s="117"/>
      <c r="AE278" s="117"/>
      <c r="AF278" s="117"/>
      <c r="AG278" s="117"/>
      <c r="AH278" s="117"/>
      <c r="AI278" s="117"/>
      <c r="AJ278" s="117"/>
    </row>
    <row r="279" spans="1:36" ht="24.75" customHeight="1">
      <c r="A279" s="116"/>
      <c r="B279" s="117" t="s">
        <v>1438</v>
      </c>
      <c r="C279" s="117"/>
      <c r="D279" s="117"/>
      <c r="E279" s="117"/>
      <c r="F279" s="161" t="s">
        <v>2674</v>
      </c>
      <c r="G279" s="161" t="s">
        <v>2674</v>
      </c>
      <c r="H279" s="117" t="s">
        <v>295</v>
      </c>
      <c r="I279" s="117"/>
      <c r="J279" s="117" t="s">
        <v>259</v>
      </c>
      <c r="K279" s="123" t="s">
        <v>1243</v>
      </c>
      <c r="L279" s="117" t="s">
        <v>259</v>
      </c>
      <c r="M279" s="123" t="s">
        <v>1313</v>
      </c>
      <c r="N279" s="117"/>
      <c r="O279" s="118"/>
      <c r="P279" s="118"/>
      <c r="Q279" s="117"/>
      <c r="R279" s="117"/>
      <c r="S279" s="117"/>
      <c r="T279" s="117"/>
      <c r="U279" s="117"/>
      <c r="V279" s="123"/>
      <c r="W279" s="117"/>
      <c r="X279" s="173"/>
      <c r="Y279" s="173"/>
      <c r="Z279" s="128"/>
      <c r="AA279" s="118"/>
      <c r="AB279" s="117"/>
      <c r="AC279" s="117"/>
      <c r="AD279" s="117"/>
      <c r="AE279" s="117"/>
      <c r="AF279" s="117"/>
      <c r="AG279" s="117"/>
      <c r="AH279" s="117"/>
      <c r="AI279" s="117"/>
      <c r="AJ279" s="117"/>
    </row>
    <row r="280" spans="1:36" ht="24.75" customHeight="1">
      <c r="A280" s="116"/>
      <c r="B280" s="117" t="s">
        <v>1438</v>
      </c>
      <c r="C280" s="117"/>
      <c r="D280" s="117"/>
      <c r="E280" s="117"/>
      <c r="F280" s="161" t="s">
        <v>2675</v>
      </c>
      <c r="G280" s="161" t="s">
        <v>2675</v>
      </c>
      <c r="H280" s="117" t="s">
        <v>295</v>
      </c>
      <c r="I280" s="117"/>
      <c r="J280" s="117" t="s">
        <v>259</v>
      </c>
      <c r="K280" s="123" t="s">
        <v>1243</v>
      </c>
      <c r="L280" s="117" t="s">
        <v>259</v>
      </c>
      <c r="M280" s="123" t="s">
        <v>1313</v>
      </c>
      <c r="N280" s="117"/>
      <c r="O280" s="118"/>
      <c r="P280" s="118"/>
      <c r="Q280" s="117"/>
      <c r="R280" s="117"/>
      <c r="S280" s="117"/>
      <c r="T280" s="117"/>
      <c r="U280" s="117"/>
      <c r="V280" s="123"/>
      <c r="W280" s="117"/>
      <c r="X280" s="173"/>
      <c r="Y280" s="173"/>
      <c r="Z280" s="128"/>
      <c r="AA280" s="118"/>
      <c r="AB280" s="117"/>
      <c r="AC280" s="117"/>
      <c r="AD280" s="117"/>
      <c r="AE280" s="117"/>
      <c r="AF280" s="117"/>
      <c r="AG280" s="117"/>
      <c r="AH280" s="117"/>
      <c r="AI280" s="117"/>
      <c r="AJ280" s="117"/>
    </row>
    <row r="281" spans="1:36" ht="24.75" customHeight="1">
      <c r="A281" s="116"/>
      <c r="B281" s="143" t="s">
        <v>1438</v>
      </c>
      <c r="C281" s="117"/>
      <c r="D281" s="117"/>
      <c r="E281" s="117" t="s">
        <v>2676</v>
      </c>
      <c r="F281" s="118" t="s">
        <v>2677</v>
      </c>
      <c r="G281" s="118" t="s">
        <v>2677</v>
      </c>
      <c r="H281" s="117" t="s">
        <v>292</v>
      </c>
      <c r="I281" s="117"/>
      <c r="J281" s="117" t="s">
        <v>267</v>
      </c>
      <c r="K281" s="123" t="s">
        <v>1243</v>
      </c>
      <c r="L281" s="117" t="s">
        <v>267</v>
      </c>
      <c r="M281" s="123" t="s">
        <v>2678</v>
      </c>
      <c r="N281" s="117" t="s">
        <v>2676</v>
      </c>
      <c r="O281" s="118" t="s">
        <v>2679</v>
      </c>
      <c r="P281" s="118" t="s">
        <v>2680</v>
      </c>
      <c r="Q281" s="117"/>
      <c r="R281" s="117"/>
      <c r="S281" s="117"/>
      <c r="T281" s="117"/>
      <c r="U281" s="117"/>
      <c r="V281" s="123" t="s">
        <v>2681</v>
      </c>
      <c r="W281" s="117"/>
      <c r="X281" s="128" t="s">
        <v>2682</v>
      </c>
      <c r="Y281" s="118"/>
      <c r="Z281" s="128" t="s">
        <v>2683</v>
      </c>
      <c r="AA281" s="118" t="s">
        <v>2684</v>
      </c>
      <c r="AB281" s="117"/>
      <c r="AC281" s="117"/>
      <c r="AD281" s="117"/>
      <c r="AE281" s="117"/>
      <c r="AF281" s="117"/>
      <c r="AG281" s="117"/>
      <c r="AH281" s="117"/>
      <c r="AI281" s="117"/>
      <c r="AJ281" s="117"/>
    </row>
    <row r="282" spans="1:36" ht="24.75" customHeight="1">
      <c r="A282" s="116"/>
      <c r="B282" s="143" t="s">
        <v>1438</v>
      </c>
      <c r="C282" s="117"/>
      <c r="D282" s="117"/>
      <c r="E282" s="117" t="s">
        <v>1241</v>
      </c>
      <c r="F282" s="118" t="s">
        <v>974</v>
      </c>
      <c r="G282" s="118" t="s">
        <v>2685</v>
      </c>
      <c r="H282" s="117" t="s">
        <v>292</v>
      </c>
      <c r="I282" s="117"/>
      <c r="J282" s="117" t="s">
        <v>267</v>
      </c>
      <c r="K282" s="123" t="s">
        <v>1243</v>
      </c>
      <c r="L282" s="117" t="s">
        <v>267</v>
      </c>
      <c r="M282" s="123" t="s">
        <v>2686</v>
      </c>
      <c r="N282" s="117"/>
      <c r="O282" s="118" t="s">
        <v>2687</v>
      </c>
      <c r="P282" s="118"/>
      <c r="Q282" s="117"/>
      <c r="R282" s="117"/>
      <c r="S282" s="117"/>
      <c r="T282" s="117"/>
      <c r="U282" s="117"/>
      <c r="V282" s="123" t="s">
        <v>2688</v>
      </c>
      <c r="W282" s="117"/>
      <c r="X282" s="128" t="s">
        <v>2689</v>
      </c>
      <c r="Y282" s="118"/>
      <c r="Z282" s="118"/>
      <c r="AA282" s="118" t="s">
        <v>2690</v>
      </c>
      <c r="AB282" s="117"/>
      <c r="AC282" s="117"/>
      <c r="AD282" s="117"/>
      <c r="AE282" s="117"/>
      <c r="AF282" s="117"/>
      <c r="AG282" s="117"/>
      <c r="AH282" s="117"/>
      <c r="AI282" s="117"/>
      <c r="AJ282" s="117"/>
    </row>
    <row r="283" spans="1:36" ht="24.75" customHeight="1">
      <c r="A283" s="116"/>
      <c r="B283" s="143" t="s">
        <v>1438</v>
      </c>
      <c r="C283" s="117"/>
      <c r="D283" s="117"/>
      <c r="E283" s="117" t="s">
        <v>1241</v>
      </c>
      <c r="F283" s="118" t="s">
        <v>329</v>
      </c>
      <c r="G283" s="118" t="s">
        <v>2691</v>
      </c>
      <c r="H283" s="117" t="s">
        <v>292</v>
      </c>
      <c r="I283" s="117"/>
      <c r="J283" s="117" t="s">
        <v>1287</v>
      </c>
      <c r="K283" s="123" t="s">
        <v>1243</v>
      </c>
      <c r="L283" s="117" t="s">
        <v>267</v>
      </c>
      <c r="M283" s="123" t="s">
        <v>1262</v>
      </c>
      <c r="N283" s="117" t="s">
        <v>1263</v>
      </c>
      <c r="O283" s="118" t="s">
        <v>2692</v>
      </c>
      <c r="P283" s="118" t="s">
        <v>2693</v>
      </c>
      <c r="Q283" s="117"/>
      <c r="R283" s="117"/>
      <c r="S283" s="117"/>
      <c r="T283" s="117"/>
      <c r="U283" s="117"/>
      <c r="V283" s="123" t="s">
        <v>2694</v>
      </c>
      <c r="W283" s="117"/>
      <c r="X283" s="128" t="s">
        <v>2695</v>
      </c>
      <c r="Y283" s="118"/>
      <c r="Z283" s="128" t="s">
        <v>2696</v>
      </c>
      <c r="AA283" s="118" t="s">
        <v>2697</v>
      </c>
      <c r="AB283" s="117"/>
      <c r="AC283" s="117"/>
      <c r="AD283" s="117"/>
      <c r="AE283" s="117"/>
      <c r="AF283" s="117"/>
      <c r="AG283" s="117"/>
      <c r="AH283" s="117"/>
      <c r="AI283" s="117"/>
      <c r="AJ283" s="117"/>
    </row>
    <row r="284" spans="1:36" ht="24.75" customHeight="1">
      <c r="A284" s="116"/>
      <c r="B284" s="143" t="s">
        <v>1438</v>
      </c>
      <c r="C284" s="117"/>
      <c r="D284" s="117"/>
      <c r="E284" s="117" t="s">
        <v>1241</v>
      </c>
      <c r="F284" s="118" t="s">
        <v>980</v>
      </c>
      <c r="G284" s="118" t="s">
        <v>2698</v>
      </c>
      <c r="H284" s="117" t="s">
        <v>292</v>
      </c>
      <c r="I284" s="117"/>
      <c r="J284" s="117" t="s">
        <v>267</v>
      </c>
      <c r="K284" s="123" t="s">
        <v>1243</v>
      </c>
      <c r="L284" s="117" t="s">
        <v>267</v>
      </c>
      <c r="M284" s="123" t="s">
        <v>2699</v>
      </c>
      <c r="N284" s="117" t="s">
        <v>2700</v>
      </c>
      <c r="O284" s="118" t="s">
        <v>2701</v>
      </c>
      <c r="P284" s="118" t="s">
        <v>2702</v>
      </c>
      <c r="Q284" s="117"/>
      <c r="R284" s="117"/>
      <c r="S284" s="117"/>
      <c r="T284" s="117"/>
      <c r="U284" s="117"/>
      <c r="V284" s="123" t="s">
        <v>2703</v>
      </c>
      <c r="W284" s="117"/>
      <c r="X284" s="128" t="s">
        <v>2704</v>
      </c>
      <c r="Y284" s="118"/>
      <c r="Z284" s="128" t="s">
        <v>2705</v>
      </c>
      <c r="AA284" s="118" t="s">
        <v>2706</v>
      </c>
      <c r="AB284" s="117"/>
      <c r="AC284" s="117"/>
      <c r="AD284" s="117"/>
      <c r="AE284" s="117"/>
      <c r="AF284" s="117"/>
      <c r="AG284" s="117"/>
      <c r="AH284" s="117"/>
      <c r="AI284" s="117"/>
      <c r="AJ284" s="117"/>
    </row>
    <row r="285" spans="1:36" ht="24.75" customHeight="1">
      <c r="A285" s="116"/>
      <c r="B285" s="143" t="s">
        <v>1438</v>
      </c>
      <c r="C285" s="117"/>
      <c r="D285" s="117"/>
      <c r="E285" s="117" t="s">
        <v>1241</v>
      </c>
      <c r="F285" s="118" t="s">
        <v>982</v>
      </c>
      <c r="G285" s="118" t="s">
        <v>2707</v>
      </c>
      <c r="H285" s="117" t="s">
        <v>292</v>
      </c>
      <c r="I285" s="117"/>
      <c r="J285" s="117" t="s">
        <v>267</v>
      </c>
      <c r="K285" s="123" t="s">
        <v>1243</v>
      </c>
      <c r="L285" s="117" t="s">
        <v>267</v>
      </c>
      <c r="M285" s="123" t="s">
        <v>2708</v>
      </c>
      <c r="N285" s="117" t="s">
        <v>2709</v>
      </c>
      <c r="O285" s="118" t="s">
        <v>2710</v>
      </c>
      <c r="P285" s="118" t="s">
        <v>2711</v>
      </c>
      <c r="Q285" s="117"/>
      <c r="R285" s="117"/>
      <c r="S285" s="117"/>
      <c r="T285" s="117"/>
      <c r="U285" s="117"/>
      <c r="V285" s="123" t="s">
        <v>2712</v>
      </c>
      <c r="W285" s="117"/>
      <c r="X285" s="128" t="s">
        <v>2713</v>
      </c>
      <c r="Y285" s="118"/>
      <c r="Z285" s="118"/>
      <c r="AA285" s="118" t="s">
        <v>2714</v>
      </c>
      <c r="AB285" s="117"/>
      <c r="AC285" s="117"/>
      <c r="AD285" s="117"/>
      <c r="AE285" s="117"/>
      <c r="AF285" s="117"/>
      <c r="AG285" s="117"/>
      <c r="AH285" s="117"/>
      <c r="AI285" s="117"/>
      <c r="AJ285" s="117"/>
    </row>
    <row r="286" spans="1:36" ht="24.75" customHeight="1">
      <c r="A286" s="116"/>
      <c r="B286" s="143" t="s">
        <v>1438</v>
      </c>
      <c r="C286" s="117"/>
      <c r="D286" s="117"/>
      <c r="E286" s="117" t="s">
        <v>1241</v>
      </c>
      <c r="F286" s="118" t="s">
        <v>984</v>
      </c>
      <c r="G286" s="118" t="s">
        <v>2715</v>
      </c>
      <c r="H286" s="117" t="s">
        <v>292</v>
      </c>
      <c r="I286" s="117"/>
      <c r="J286" s="117" t="s">
        <v>267</v>
      </c>
      <c r="K286" s="123" t="s">
        <v>1243</v>
      </c>
      <c r="L286" s="117" t="s">
        <v>267</v>
      </c>
      <c r="M286" s="123" t="s">
        <v>2716</v>
      </c>
      <c r="N286" s="117" t="s">
        <v>2717</v>
      </c>
      <c r="O286" s="118" t="s">
        <v>2718</v>
      </c>
      <c r="P286" s="118" t="s">
        <v>1517</v>
      </c>
      <c r="Q286" s="117"/>
      <c r="R286" s="117"/>
      <c r="S286" s="117"/>
      <c r="T286" s="117"/>
      <c r="U286" s="117"/>
      <c r="V286" s="123" t="s">
        <v>2719</v>
      </c>
      <c r="W286" s="117"/>
      <c r="X286" s="128" t="s">
        <v>2720</v>
      </c>
      <c r="Y286" s="118"/>
      <c r="Z286" s="118"/>
      <c r="AA286" s="118" t="s">
        <v>2721</v>
      </c>
      <c r="AB286" s="117"/>
      <c r="AC286" s="117"/>
      <c r="AD286" s="117"/>
      <c r="AE286" s="117"/>
      <c r="AF286" s="117"/>
      <c r="AG286" s="117"/>
      <c r="AH286" s="117"/>
      <c r="AI286" s="117"/>
      <c r="AJ286" s="117"/>
    </row>
    <row r="287" spans="1:36" ht="24.75" customHeight="1">
      <c r="A287" s="116"/>
      <c r="B287" s="143" t="s">
        <v>1438</v>
      </c>
      <c r="C287" s="117"/>
      <c r="D287" s="117"/>
      <c r="E287" s="117" t="s">
        <v>1241</v>
      </c>
      <c r="F287" s="118" t="s">
        <v>987</v>
      </c>
      <c r="G287" s="118" t="s">
        <v>2722</v>
      </c>
      <c r="H287" s="117" t="s">
        <v>292</v>
      </c>
      <c r="I287" s="117"/>
      <c r="J287" s="117" t="s">
        <v>267</v>
      </c>
      <c r="K287" s="123" t="s">
        <v>1243</v>
      </c>
      <c r="L287" s="117" t="s">
        <v>267</v>
      </c>
      <c r="M287" s="123" t="s">
        <v>1329</v>
      </c>
      <c r="N287" s="117"/>
      <c r="O287" s="118" t="s">
        <v>2723</v>
      </c>
      <c r="P287" s="118" t="s">
        <v>2724</v>
      </c>
      <c r="Q287" s="117"/>
      <c r="R287" s="117"/>
      <c r="S287" s="117"/>
      <c r="T287" s="117"/>
      <c r="U287" s="117"/>
      <c r="V287" s="123" t="s">
        <v>2725</v>
      </c>
      <c r="W287" s="117"/>
      <c r="X287" s="128" t="s">
        <v>2726</v>
      </c>
      <c r="Y287" s="118"/>
      <c r="Z287" s="128" t="s">
        <v>2727</v>
      </c>
      <c r="AA287" s="118" t="s">
        <v>2728</v>
      </c>
      <c r="AB287" s="117"/>
      <c r="AC287" s="117"/>
      <c r="AD287" s="117"/>
      <c r="AE287" s="117"/>
      <c r="AF287" s="117"/>
      <c r="AG287" s="117"/>
      <c r="AH287" s="117"/>
      <c r="AI287" s="117"/>
      <c r="AJ287" s="117"/>
    </row>
    <row r="288" spans="1:36" ht="24.75" customHeight="1">
      <c r="A288" s="116"/>
      <c r="B288" s="143" t="s">
        <v>1438</v>
      </c>
      <c r="C288" s="117"/>
      <c r="D288" s="117"/>
      <c r="E288" s="117" t="s">
        <v>1241</v>
      </c>
      <c r="F288" s="118" t="s">
        <v>989</v>
      </c>
      <c r="G288" s="118" t="s">
        <v>2729</v>
      </c>
      <c r="H288" s="117" t="s">
        <v>292</v>
      </c>
      <c r="I288" s="117"/>
      <c r="J288" s="117" t="s">
        <v>267</v>
      </c>
      <c r="K288" s="123" t="s">
        <v>1243</v>
      </c>
      <c r="L288" s="117" t="s">
        <v>267</v>
      </c>
      <c r="M288" s="123" t="s">
        <v>1262</v>
      </c>
      <c r="N288" s="117" t="s">
        <v>2111</v>
      </c>
      <c r="O288" s="118" t="s">
        <v>2730</v>
      </c>
      <c r="P288" s="118" t="s">
        <v>1517</v>
      </c>
      <c r="Q288" s="117"/>
      <c r="R288" s="117"/>
      <c r="S288" s="117"/>
      <c r="T288" s="117"/>
      <c r="U288" s="117"/>
      <c r="V288" s="123" t="s">
        <v>2731</v>
      </c>
      <c r="W288" s="117"/>
      <c r="X288" s="128" t="s">
        <v>2732</v>
      </c>
      <c r="Y288" s="118"/>
      <c r="Z288" s="118" t="s">
        <v>2733</v>
      </c>
      <c r="AA288" s="118" t="s">
        <v>2734</v>
      </c>
      <c r="AB288" s="117"/>
      <c r="AC288" s="117"/>
      <c r="AD288" s="117"/>
      <c r="AE288" s="117"/>
      <c r="AF288" s="117"/>
      <c r="AG288" s="117"/>
      <c r="AH288" s="117"/>
      <c r="AI288" s="117"/>
      <c r="AJ288" s="117"/>
    </row>
    <row r="289" spans="1:36" ht="24.75" customHeight="1">
      <c r="A289" s="116"/>
      <c r="B289" s="143" t="s">
        <v>1438</v>
      </c>
      <c r="C289" s="117"/>
      <c r="D289" s="117"/>
      <c r="E289" s="117" t="s">
        <v>1241</v>
      </c>
      <c r="F289" s="118" t="s">
        <v>992</v>
      </c>
      <c r="G289" s="118" t="s">
        <v>2735</v>
      </c>
      <c r="H289" s="117" t="s">
        <v>292</v>
      </c>
      <c r="I289" s="117"/>
      <c r="J289" s="117" t="s">
        <v>267</v>
      </c>
      <c r="K289" s="123" t="s">
        <v>1243</v>
      </c>
      <c r="L289" s="117" t="s">
        <v>267</v>
      </c>
      <c r="M289" s="123" t="s">
        <v>2736</v>
      </c>
      <c r="N289" s="117"/>
      <c r="O289" s="118" t="s">
        <v>2737</v>
      </c>
      <c r="P289" s="118" t="s">
        <v>2738</v>
      </c>
      <c r="Q289" s="117"/>
      <c r="R289" s="117"/>
      <c r="S289" s="117"/>
      <c r="T289" s="117"/>
      <c r="U289" s="117"/>
      <c r="V289" s="123" t="s">
        <v>2739</v>
      </c>
      <c r="W289" s="117"/>
      <c r="X289" s="128" t="s">
        <v>2740</v>
      </c>
      <c r="Y289" s="118"/>
      <c r="Z289" s="128" t="s">
        <v>2741</v>
      </c>
      <c r="AA289" s="118" t="s">
        <v>2742</v>
      </c>
      <c r="AB289" s="117"/>
      <c r="AC289" s="117"/>
      <c r="AD289" s="117"/>
      <c r="AE289" s="117"/>
      <c r="AF289" s="117"/>
      <c r="AG289" s="117"/>
      <c r="AH289" s="117"/>
      <c r="AI289" s="117"/>
      <c r="AJ289" s="117"/>
    </row>
    <row r="290" spans="1:36" ht="24.75" customHeight="1">
      <c r="A290" s="116"/>
      <c r="B290" s="143" t="s">
        <v>1438</v>
      </c>
      <c r="C290" s="117"/>
      <c r="D290" s="117"/>
      <c r="E290" s="117" t="s">
        <v>1241</v>
      </c>
      <c r="F290" s="118" t="s">
        <v>339</v>
      </c>
      <c r="G290" s="118" t="s">
        <v>2743</v>
      </c>
      <c r="H290" s="117" t="s">
        <v>292</v>
      </c>
      <c r="I290" s="117"/>
      <c r="J290" s="117" t="s">
        <v>267</v>
      </c>
      <c r="K290" s="123" t="s">
        <v>1243</v>
      </c>
      <c r="L290" s="117" t="s">
        <v>267</v>
      </c>
      <c r="M290" s="123"/>
      <c r="N290" s="117" t="s">
        <v>1263</v>
      </c>
      <c r="O290" s="118" t="s">
        <v>2744</v>
      </c>
      <c r="P290" s="118" t="s">
        <v>1289</v>
      </c>
      <c r="Q290" s="117"/>
      <c r="R290" s="117"/>
      <c r="S290" s="117"/>
      <c r="T290" s="117"/>
      <c r="U290" s="117"/>
      <c r="V290" s="123" t="s">
        <v>2745</v>
      </c>
      <c r="W290" s="117"/>
      <c r="X290" s="118"/>
      <c r="Y290" s="118"/>
      <c r="Z290" s="118"/>
      <c r="AA290" s="118"/>
      <c r="AB290" s="117"/>
      <c r="AC290" s="117"/>
      <c r="AD290" s="117"/>
      <c r="AE290" s="117"/>
      <c r="AF290" s="117"/>
      <c r="AG290" s="117"/>
      <c r="AH290" s="117"/>
      <c r="AI290" s="117"/>
      <c r="AJ290" s="117"/>
    </row>
    <row r="291" spans="1:36" ht="24.75" customHeight="1">
      <c r="A291" s="116"/>
      <c r="B291" s="143" t="s">
        <v>1438</v>
      </c>
      <c r="C291" s="117"/>
      <c r="D291" s="117"/>
      <c r="E291" s="117" t="s">
        <v>1241</v>
      </c>
      <c r="F291" s="118" t="s">
        <v>2746</v>
      </c>
      <c r="G291" s="118" t="s">
        <v>2747</v>
      </c>
      <c r="H291" s="117" t="s">
        <v>292</v>
      </c>
      <c r="I291" s="117"/>
      <c r="J291" s="117" t="s">
        <v>267</v>
      </c>
      <c r="K291" s="123" t="s">
        <v>1243</v>
      </c>
      <c r="L291" s="117" t="s">
        <v>267</v>
      </c>
      <c r="M291" s="123"/>
      <c r="N291" s="117" t="s">
        <v>2576</v>
      </c>
      <c r="O291" s="118" t="s">
        <v>2748</v>
      </c>
      <c r="P291" s="118" t="s">
        <v>2013</v>
      </c>
      <c r="Q291" s="117"/>
      <c r="R291" s="117"/>
      <c r="S291" s="117"/>
      <c r="T291" s="117"/>
      <c r="U291" s="117"/>
      <c r="V291" s="123" t="s">
        <v>2749</v>
      </c>
      <c r="W291" s="117"/>
      <c r="X291" s="128" t="s">
        <v>2750</v>
      </c>
      <c r="Y291" s="118"/>
      <c r="Z291" s="118"/>
      <c r="AA291" s="118"/>
      <c r="AB291" s="117"/>
      <c r="AC291" s="117"/>
      <c r="AD291" s="117"/>
      <c r="AE291" s="117"/>
      <c r="AF291" s="117"/>
      <c r="AG291" s="117"/>
      <c r="AH291" s="117"/>
      <c r="AI291" s="117"/>
      <c r="AJ291" s="117"/>
    </row>
    <row r="292" spans="1:36" ht="24.75" customHeight="1">
      <c r="A292" s="116"/>
      <c r="B292" s="143" t="s">
        <v>1438</v>
      </c>
      <c r="C292" s="117"/>
      <c r="D292" s="117"/>
      <c r="E292" s="117" t="s">
        <v>1241</v>
      </c>
      <c r="F292" s="118" t="s">
        <v>2751</v>
      </c>
      <c r="G292" s="118" t="s">
        <v>2752</v>
      </c>
      <c r="H292" s="117" t="s">
        <v>292</v>
      </c>
      <c r="I292" s="117"/>
      <c r="J292" s="117" t="s">
        <v>267</v>
      </c>
      <c r="K292" s="123" t="s">
        <v>1243</v>
      </c>
      <c r="L292" s="117" t="s">
        <v>267</v>
      </c>
      <c r="M292" s="123" t="s">
        <v>1253</v>
      </c>
      <c r="N292" s="117" t="s">
        <v>2576</v>
      </c>
      <c r="O292" s="118" t="s">
        <v>2753</v>
      </c>
      <c r="P292" s="118" t="s">
        <v>2754</v>
      </c>
      <c r="Q292" s="117"/>
      <c r="R292" s="117"/>
      <c r="S292" s="117"/>
      <c r="T292" s="117"/>
      <c r="U292" s="117"/>
      <c r="V292" s="123" t="s">
        <v>2755</v>
      </c>
      <c r="W292" s="117"/>
      <c r="X292" s="128" t="s">
        <v>2756</v>
      </c>
      <c r="Y292" s="118"/>
      <c r="Z292" s="118" t="s">
        <v>2757</v>
      </c>
      <c r="AA292" s="118" t="s">
        <v>2758</v>
      </c>
      <c r="AB292" s="117"/>
      <c r="AC292" s="117"/>
      <c r="AD292" s="117"/>
      <c r="AE292" s="117"/>
      <c r="AF292" s="117"/>
      <c r="AG292" s="117"/>
      <c r="AH292" s="117"/>
      <c r="AI292" s="117"/>
      <c r="AJ292" s="117"/>
    </row>
    <row r="293" spans="1:36" ht="24.75" customHeight="1">
      <c r="A293" s="116"/>
      <c r="B293" s="143" t="s">
        <v>1438</v>
      </c>
      <c r="C293" s="117"/>
      <c r="D293" s="117"/>
      <c r="E293" s="117" t="s">
        <v>1241</v>
      </c>
      <c r="F293" s="118" t="s">
        <v>2759</v>
      </c>
      <c r="G293" s="118" t="s">
        <v>2760</v>
      </c>
      <c r="H293" s="117" t="s">
        <v>292</v>
      </c>
      <c r="I293" s="117"/>
      <c r="J293" s="117" t="s">
        <v>267</v>
      </c>
      <c r="K293" s="123" t="s">
        <v>1243</v>
      </c>
      <c r="L293" s="117" t="s">
        <v>267</v>
      </c>
      <c r="M293" s="123" t="s">
        <v>2761</v>
      </c>
      <c r="N293" s="117"/>
      <c r="O293" s="118" t="s">
        <v>2762</v>
      </c>
      <c r="P293" s="118" t="s">
        <v>2763</v>
      </c>
      <c r="Q293" s="117"/>
      <c r="R293" s="117"/>
      <c r="S293" s="117"/>
      <c r="T293" s="117"/>
      <c r="U293" s="117"/>
      <c r="V293" s="123" t="s">
        <v>2764</v>
      </c>
      <c r="W293" s="117"/>
      <c r="X293" s="128" t="s">
        <v>2765</v>
      </c>
      <c r="Y293" s="118"/>
      <c r="Z293" s="118"/>
      <c r="AA293" s="118" t="s">
        <v>2766</v>
      </c>
      <c r="AB293" s="117"/>
      <c r="AC293" s="117"/>
      <c r="AD293" s="117"/>
      <c r="AE293" s="117"/>
      <c r="AF293" s="117"/>
      <c r="AG293" s="117"/>
      <c r="AH293" s="117"/>
      <c r="AI293" s="117"/>
      <c r="AJ293" s="117"/>
    </row>
    <row r="294" spans="1:36" ht="24.75" customHeight="1">
      <c r="A294" s="116"/>
      <c r="B294" s="143" t="s">
        <v>1438</v>
      </c>
      <c r="C294" s="117"/>
      <c r="D294" s="117"/>
      <c r="E294" s="117" t="s">
        <v>1241</v>
      </c>
      <c r="F294" s="118" t="s">
        <v>2767</v>
      </c>
      <c r="G294" s="118"/>
      <c r="H294" s="117" t="s">
        <v>292</v>
      </c>
      <c r="I294" s="117"/>
      <c r="J294" s="117" t="s">
        <v>267</v>
      </c>
      <c r="K294" s="123" t="s">
        <v>1243</v>
      </c>
      <c r="L294" s="117" t="s">
        <v>267</v>
      </c>
      <c r="M294" s="123"/>
      <c r="N294" s="117" t="s">
        <v>1263</v>
      </c>
      <c r="O294" s="118"/>
      <c r="P294" s="118"/>
      <c r="Q294" s="117"/>
      <c r="R294" s="117"/>
      <c r="S294" s="117"/>
      <c r="T294" s="117"/>
      <c r="U294" s="117"/>
      <c r="V294" s="123"/>
      <c r="W294" s="117"/>
      <c r="X294" s="128"/>
      <c r="Y294" s="118"/>
      <c r="Z294" s="118"/>
      <c r="AA294" s="118"/>
      <c r="AB294" s="117"/>
      <c r="AC294" s="117"/>
      <c r="AD294" s="117"/>
      <c r="AE294" s="117"/>
      <c r="AF294" s="117"/>
      <c r="AG294" s="117"/>
      <c r="AH294" s="117"/>
      <c r="AI294" s="117"/>
      <c r="AJ294" s="117"/>
    </row>
    <row r="295" spans="1:36" ht="24.75" customHeight="1">
      <c r="A295" s="116"/>
      <c r="B295" s="143" t="s">
        <v>1438</v>
      </c>
      <c r="C295" s="117"/>
      <c r="D295" s="117"/>
      <c r="E295" s="117" t="s">
        <v>1241</v>
      </c>
      <c r="F295" s="118" t="s">
        <v>2768</v>
      </c>
      <c r="G295" s="118" t="s">
        <v>2769</v>
      </c>
      <c r="H295" s="117" t="s">
        <v>292</v>
      </c>
      <c r="I295" s="117"/>
      <c r="J295" s="117" t="s">
        <v>267</v>
      </c>
      <c r="K295" s="123" t="s">
        <v>1243</v>
      </c>
      <c r="L295" s="117" t="s">
        <v>267</v>
      </c>
      <c r="M295" s="123" t="s">
        <v>1262</v>
      </c>
      <c r="N295" s="117" t="s">
        <v>1274</v>
      </c>
      <c r="O295" s="118" t="s">
        <v>2770</v>
      </c>
      <c r="P295" s="118" t="s">
        <v>2771</v>
      </c>
      <c r="Q295" s="117"/>
      <c r="R295" s="117"/>
      <c r="S295" s="117"/>
      <c r="T295" s="117"/>
      <c r="U295" s="117"/>
      <c r="V295" s="123" t="s">
        <v>2772</v>
      </c>
      <c r="W295" s="117"/>
      <c r="X295" s="128" t="s">
        <v>2773</v>
      </c>
      <c r="Y295" s="118"/>
      <c r="Z295" s="118"/>
      <c r="AA295" s="118" t="s">
        <v>2774</v>
      </c>
      <c r="AB295" s="117"/>
      <c r="AC295" s="117"/>
      <c r="AD295" s="117"/>
      <c r="AE295" s="117"/>
      <c r="AF295" s="117"/>
      <c r="AG295" s="117"/>
      <c r="AH295" s="117"/>
      <c r="AI295" s="117"/>
      <c r="AJ295" s="117"/>
    </row>
    <row r="296" spans="1:36" ht="24.75" customHeight="1">
      <c r="A296" s="116"/>
      <c r="B296" s="143" t="s">
        <v>1438</v>
      </c>
      <c r="C296" s="117"/>
      <c r="D296" s="117"/>
      <c r="E296" s="117" t="s">
        <v>1241</v>
      </c>
      <c r="F296" s="118" t="s">
        <v>1085</v>
      </c>
      <c r="G296" s="118" t="s">
        <v>2775</v>
      </c>
      <c r="H296" s="117" t="s">
        <v>292</v>
      </c>
      <c r="I296" s="117"/>
      <c r="J296" s="117" t="s">
        <v>2776</v>
      </c>
      <c r="K296" s="123" t="s">
        <v>1243</v>
      </c>
      <c r="L296" s="117" t="s">
        <v>267</v>
      </c>
      <c r="M296" s="123"/>
      <c r="N296" s="117" t="s">
        <v>1263</v>
      </c>
      <c r="O296" s="118" t="s">
        <v>2777</v>
      </c>
      <c r="P296" s="118" t="s">
        <v>2778</v>
      </c>
      <c r="Q296" s="117"/>
      <c r="R296" s="117"/>
      <c r="S296" s="117"/>
      <c r="T296" s="117"/>
      <c r="U296" s="117"/>
      <c r="V296" s="123" t="s">
        <v>2779</v>
      </c>
      <c r="W296" s="117" t="s">
        <v>2780</v>
      </c>
      <c r="X296" s="128" t="s">
        <v>2781</v>
      </c>
      <c r="Y296" s="118"/>
      <c r="Z296" s="118"/>
      <c r="AA296" s="118"/>
      <c r="AB296" s="117"/>
      <c r="AC296" s="117"/>
      <c r="AD296" s="117"/>
      <c r="AE296" s="117"/>
      <c r="AF296" s="117"/>
      <c r="AG296" s="117"/>
      <c r="AH296" s="117"/>
      <c r="AI296" s="117"/>
      <c r="AJ296" s="117"/>
    </row>
    <row r="297" spans="1:36" ht="24.75" customHeight="1">
      <c r="A297" s="116"/>
      <c r="B297" s="143" t="s">
        <v>1438</v>
      </c>
      <c r="C297" s="117"/>
      <c r="D297" s="117"/>
      <c r="E297" s="117" t="s">
        <v>1241</v>
      </c>
      <c r="F297" s="118" t="s">
        <v>2782</v>
      </c>
      <c r="G297" s="118" t="s">
        <v>2783</v>
      </c>
      <c r="H297" s="117" t="s">
        <v>292</v>
      </c>
      <c r="I297" s="117"/>
      <c r="J297" s="117" t="s">
        <v>267</v>
      </c>
      <c r="K297" s="123" t="s">
        <v>1243</v>
      </c>
      <c r="L297" s="117" t="s">
        <v>267</v>
      </c>
      <c r="M297" s="123" t="s">
        <v>1329</v>
      </c>
      <c r="N297" s="117"/>
      <c r="O297" s="118" t="s">
        <v>2784</v>
      </c>
      <c r="P297" s="118"/>
      <c r="Q297" s="117"/>
      <c r="R297" s="117"/>
      <c r="S297" s="117"/>
      <c r="T297" s="117"/>
      <c r="U297" s="117"/>
      <c r="V297" s="123" t="s">
        <v>2785</v>
      </c>
      <c r="W297" s="117"/>
      <c r="X297" s="128" t="s">
        <v>2786</v>
      </c>
      <c r="Y297" s="118"/>
      <c r="Z297" s="118"/>
      <c r="AA297" s="118" t="s">
        <v>2787</v>
      </c>
      <c r="AB297" s="117"/>
      <c r="AC297" s="117"/>
      <c r="AD297" s="117"/>
      <c r="AE297" s="117"/>
      <c r="AF297" s="117"/>
      <c r="AG297" s="117"/>
      <c r="AH297" s="117"/>
      <c r="AI297" s="117"/>
      <c r="AJ297" s="117"/>
    </row>
    <row r="298" spans="1:36" ht="24.75" customHeight="1">
      <c r="A298" s="116"/>
      <c r="B298" s="143" t="s">
        <v>1438</v>
      </c>
      <c r="C298" s="117"/>
      <c r="D298" s="117"/>
      <c r="E298" s="117" t="s">
        <v>1241</v>
      </c>
      <c r="F298" s="118" t="s">
        <v>2788</v>
      </c>
      <c r="G298" s="118" t="s">
        <v>2789</v>
      </c>
      <c r="H298" s="117" t="s">
        <v>292</v>
      </c>
      <c r="I298" s="117"/>
      <c r="J298" s="117" t="s">
        <v>267</v>
      </c>
      <c r="K298" s="123" t="s">
        <v>1243</v>
      </c>
      <c r="L298" s="117" t="s">
        <v>267</v>
      </c>
      <c r="M298" s="123" t="s">
        <v>2790</v>
      </c>
      <c r="N298" s="117" t="s">
        <v>1274</v>
      </c>
      <c r="O298" s="118" t="s">
        <v>2791</v>
      </c>
      <c r="P298" s="118" t="s">
        <v>2792</v>
      </c>
      <c r="Q298" s="117"/>
      <c r="R298" s="117"/>
      <c r="S298" s="117"/>
      <c r="T298" s="117"/>
      <c r="U298" s="117"/>
      <c r="V298" s="123" t="s">
        <v>2793</v>
      </c>
      <c r="W298" s="117"/>
      <c r="X298" s="128" t="s">
        <v>2794</v>
      </c>
      <c r="Y298" s="118"/>
      <c r="Z298" s="118"/>
      <c r="AA298" s="118" t="s">
        <v>2795</v>
      </c>
      <c r="AB298" s="117"/>
      <c r="AC298" s="117"/>
      <c r="AD298" s="117"/>
      <c r="AE298" s="117"/>
      <c r="AF298" s="117"/>
      <c r="AG298" s="117"/>
      <c r="AH298" s="117"/>
      <c r="AI298" s="117"/>
      <c r="AJ298" s="117"/>
    </row>
    <row r="299" spans="1:36" ht="24.75" customHeight="1">
      <c r="A299" s="116"/>
      <c r="B299" s="143" t="s">
        <v>1438</v>
      </c>
      <c r="C299" s="117"/>
      <c r="D299" s="117"/>
      <c r="E299" s="117" t="s">
        <v>1241</v>
      </c>
      <c r="F299" s="118" t="s">
        <v>2796</v>
      </c>
      <c r="G299" s="118" t="s">
        <v>2797</v>
      </c>
      <c r="H299" s="117" t="s">
        <v>292</v>
      </c>
      <c r="I299" s="117"/>
      <c r="J299" s="117" t="s">
        <v>267</v>
      </c>
      <c r="K299" s="123" t="s">
        <v>1243</v>
      </c>
      <c r="L299" s="117" t="s">
        <v>267</v>
      </c>
      <c r="M299" s="123" t="s">
        <v>1329</v>
      </c>
      <c r="N299" s="117" t="s">
        <v>1263</v>
      </c>
      <c r="O299" s="118" t="s">
        <v>2798</v>
      </c>
      <c r="P299" s="118" t="s">
        <v>2799</v>
      </c>
      <c r="Q299" s="117"/>
      <c r="R299" s="117"/>
      <c r="S299" s="117"/>
      <c r="T299" s="117"/>
      <c r="U299" s="117"/>
      <c r="V299" s="123" t="s">
        <v>2800</v>
      </c>
      <c r="W299" s="117"/>
      <c r="X299" s="128" t="s">
        <v>2801</v>
      </c>
      <c r="Y299" s="118"/>
      <c r="Z299" s="126" t="s">
        <v>2802</v>
      </c>
      <c r="AA299" s="126" t="s">
        <v>2803</v>
      </c>
      <c r="AB299" s="117"/>
      <c r="AC299" s="117"/>
      <c r="AD299" s="117"/>
      <c r="AE299" s="117"/>
      <c r="AF299" s="117"/>
      <c r="AG299" s="117"/>
      <c r="AH299" s="117"/>
      <c r="AI299" s="117"/>
      <c r="AJ299" s="117"/>
    </row>
    <row r="300" spans="1:36" ht="24.75" customHeight="1">
      <c r="A300" s="116"/>
      <c r="B300" s="143" t="s">
        <v>1438</v>
      </c>
      <c r="C300" s="117"/>
      <c r="D300" s="117"/>
      <c r="E300" s="117" t="s">
        <v>1241</v>
      </c>
      <c r="F300" s="118" t="s">
        <v>2804</v>
      </c>
      <c r="G300" s="118" t="s">
        <v>2805</v>
      </c>
      <c r="H300" s="117" t="s">
        <v>292</v>
      </c>
      <c r="I300" s="117"/>
      <c r="J300" s="117" t="s">
        <v>267</v>
      </c>
      <c r="K300" s="123" t="s">
        <v>1243</v>
      </c>
      <c r="L300" s="117" t="s">
        <v>267</v>
      </c>
      <c r="M300" s="123" t="s">
        <v>1320</v>
      </c>
      <c r="N300" s="117" t="s">
        <v>2806</v>
      </c>
      <c r="O300" s="118" t="s">
        <v>2807</v>
      </c>
      <c r="P300" s="118" t="s">
        <v>2808</v>
      </c>
      <c r="Q300" s="117"/>
      <c r="R300" s="117"/>
      <c r="S300" s="117"/>
      <c r="T300" s="117"/>
      <c r="U300" s="117"/>
      <c r="V300" s="123" t="s">
        <v>2809</v>
      </c>
      <c r="W300" s="117"/>
      <c r="X300" s="128" t="s">
        <v>2810</v>
      </c>
      <c r="Y300" s="118"/>
      <c r="Z300" s="126"/>
      <c r="AA300" s="126" t="s">
        <v>2811</v>
      </c>
      <c r="AB300" s="117"/>
      <c r="AC300" s="117"/>
      <c r="AD300" s="117"/>
      <c r="AE300" s="117"/>
      <c r="AF300" s="117"/>
      <c r="AG300" s="117"/>
      <c r="AH300" s="117"/>
      <c r="AI300" s="117"/>
      <c r="AJ300" s="117"/>
    </row>
    <row r="301" spans="1:36" ht="24.75" customHeight="1">
      <c r="A301" s="149"/>
      <c r="B301" s="143" t="s">
        <v>1438</v>
      </c>
      <c r="C301" s="117"/>
      <c r="D301" s="117"/>
      <c r="E301" s="117" t="s">
        <v>1241</v>
      </c>
      <c r="F301" s="118" t="s">
        <v>2812</v>
      </c>
      <c r="G301" s="118" t="s">
        <v>2812</v>
      </c>
      <c r="H301" s="117" t="s">
        <v>422</v>
      </c>
      <c r="I301" s="117" t="s">
        <v>1252</v>
      </c>
      <c r="J301" s="117" t="s">
        <v>2813</v>
      </c>
      <c r="K301" s="123" t="s">
        <v>2814</v>
      </c>
      <c r="L301" s="117" t="s">
        <v>2813</v>
      </c>
      <c r="M301" s="123"/>
      <c r="N301" s="123" t="s">
        <v>2815</v>
      </c>
      <c r="O301" s="118" t="s">
        <v>2816</v>
      </c>
      <c r="P301" s="118" t="s">
        <v>2817</v>
      </c>
      <c r="Q301" s="117"/>
      <c r="R301" s="117"/>
      <c r="S301" s="117"/>
      <c r="T301" s="117"/>
      <c r="U301" s="117"/>
      <c r="V301" s="123" t="s">
        <v>2818</v>
      </c>
      <c r="W301" s="117"/>
      <c r="X301" s="128" t="s">
        <v>2819</v>
      </c>
      <c r="Y301" s="118"/>
      <c r="Z301" s="128" t="s">
        <v>2820</v>
      </c>
      <c r="AA301" s="118"/>
      <c r="AB301" s="117"/>
      <c r="AC301" s="117"/>
      <c r="AD301" s="117"/>
      <c r="AE301" s="117"/>
      <c r="AF301" s="117"/>
      <c r="AG301" s="117"/>
      <c r="AH301" s="117"/>
      <c r="AI301" s="117"/>
      <c r="AJ301" s="117"/>
    </row>
    <row r="302" spans="1:36" ht="24.75" customHeight="1">
      <c r="A302" s="147"/>
      <c r="B302" s="143" t="s">
        <v>1438</v>
      </c>
      <c r="C302" s="117"/>
      <c r="D302" s="117"/>
      <c r="E302" s="117" t="s">
        <v>1241</v>
      </c>
      <c r="F302" s="118" t="s">
        <v>2821</v>
      </c>
      <c r="G302" s="118" t="s">
        <v>2822</v>
      </c>
      <c r="H302" s="117" t="s">
        <v>422</v>
      </c>
      <c r="I302" s="117" t="s">
        <v>1252</v>
      </c>
      <c r="J302" s="117" t="s">
        <v>2823</v>
      </c>
      <c r="K302" s="123" t="s">
        <v>2824</v>
      </c>
      <c r="L302" s="117" t="s">
        <v>2823</v>
      </c>
      <c r="M302" s="123" t="s">
        <v>2825</v>
      </c>
      <c r="N302" s="117" t="s">
        <v>2826</v>
      </c>
      <c r="O302" s="118" t="s">
        <v>2827</v>
      </c>
      <c r="P302" s="118" t="s">
        <v>2828</v>
      </c>
      <c r="Q302" s="117"/>
      <c r="R302" s="117"/>
      <c r="S302" s="117"/>
      <c r="T302" s="117"/>
      <c r="U302" s="117"/>
      <c r="V302" s="123" t="s">
        <v>2829</v>
      </c>
      <c r="W302" s="117"/>
      <c r="X302" s="128" t="s">
        <v>2830</v>
      </c>
      <c r="Y302" s="118"/>
      <c r="Z302" s="128" t="s">
        <v>2831</v>
      </c>
      <c r="AA302" s="118" t="s">
        <v>2832</v>
      </c>
      <c r="AB302" s="117"/>
      <c r="AC302" s="117"/>
      <c r="AD302" s="117"/>
      <c r="AE302" s="117"/>
      <c r="AF302" s="117"/>
      <c r="AG302" s="117"/>
      <c r="AH302" s="117"/>
      <c r="AI302" s="117"/>
      <c r="AJ302" s="117"/>
    </row>
    <row r="303" spans="1:36" ht="24.75" customHeight="1">
      <c r="A303" s="149"/>
      <c r="B303" s="143" t="s">
        <v>1438</v>
      </c>
      <c r="C303" s="117"/>
      <c r="D303" s="117"/>
      <c r="E303" s="117" t="s">
        <v>1241</v>
      </c>
      <c r="F303" s="118" t="s">
        <v>2833</v>
      </c>
      <c r="G303" s="118" t="s">
        <v>2833</v>
      </c>
      <c r="H303" s="117" t="s">
        <v>422</v>
      </c>
      <c r="I303" s="117" t="s">
        <v>1252</v>
      </c>
      <c r="J303" s="117" t="s">
        <v>299</v>
      </c>
      <c r="K303" s="123" t="s">
        <v>1695</v>
      </c>
      <c r="L303" s="117" t="s">
        <v>299</v>
      </c>
      <c r="M303" s="123" t="s">
        <v>2502</v>
      </c>
      <c r="N303" s="117" t="s">
        <v>2834</v>
      </c>
      <c r="O303" s="118" t="s">
        <v>2835</v>
      </c>
      <c r="P303" s="118" t="s">
        <v>2828</v>
      </c>
      <c r="Q303" s="117"/>
      <c r="R303" s="117"/>
      <c r="S303" s="117"/>
      <c r="T303" s="117"/>
      <c r="U303" s="117"/>
      <c r="V303" s="123" t="s">
        <v>2836</v>
      </c>
      <c r="W303" s="117"/>
      <c r="X303" s="128" t="s">
        <v>2837</v>
      </c>
      <c r="Y303" s="118"/>
      <c r="Z303" s="128" t="s">
        <v>2838</v>
      </c>
      <c r="AA303" s="118" t="s">
        <v>2839</v>
      </c>
      <c r="AB303" s="117"/>
      <c r="AC303" s="117"/>
      <c r="AD303" s="117"/>
      <c r="AE303" s="117"/>
      <c r="AF303" s="117"/>
      <c r="AG303" s="117"/>
      <c r="AH303" s="117"/>
      <c r="AI303" s="117"/>
      <c r="AJ303" s="117"/>
    </row>
    <row r="304" spans="1:36" ht="24.75" customHeight="1">
      <c r="A304" s="116"/>
      <c r="B304" s="143" t="s">
        <v>1438</v>
      </c>
      <c r="C304" s="117"/>
      <c r="D304" s="117"/>
      <c r="E304" s="117" t="s">
        <v>1241</v>
      </c>
      <c r="F304" s="118" t="s">
        <v>2840</v>
      </c>
      <c r="G304" s="118" t="s">
        <v>2840</v>
      </c>
      <c r="H304" s="117" t="s">
        <v>422</v>
      </c>
      <c r="I304" s="117" t="s">
        <v>1252</v>
      </c>
      <c r="J304" s="117" t="s">
        <v>2269</v>
      </c>
      <c r="K304" s="123" t="s">
        <v>1732</v>
      </c>
      <c r="L304" s="117" t="s">
        <v>2269</v>
      </c>
      <c r="M304" s="123" t="s">
        <v>2841</v>
      </c>
      <c r="N304" s="117" t="s">
        <v>2842</v>
      </c>
      <c r="O304" s="118" t="s">
        <v>2843</v>
      </c>
      <c r="P304" s="118" t="s">
        <v>1921</v>
      </c>
      <c r="Q304" s="117"/>
      <c r="R304" s="117"/>
      <c r="S304" s="117"/>
      <c r="T304" s="117"/>
      <c r="U304" s="117"/>
      <c r="V304" s="123" t="s">
        <v>2844</v>
      </c>
      <c r="W304" s="117"/>
      <c r="X304" s="128" t="s">
        <v>2845</v>
      </c>
      <c r="Y304" s="118"/>
      <c r="Z304" s="128" t="s">
        <v>2846</v>
      </c>
      <c r="AA304" s="118" t="s">
        <v>2847</v>
      </c>
      <c r="AB304" s="117"/>
      <c r="AC304" s="117"/>
      <c r="AD304" s="117"/>
      <c r="AE304" s="117"/>
      <c r="AF304" s="117"/>
      <c r="AG304" s="117"/>
      <c r="AH304" s="117"/>
      <c r="AI304" s="117"/>
      <c r="AJ304" s="117"/>
    </row>
    <row r="305" spans="1:36" ht="24.75" customHeight="1">
      <c r="A305" s="116"/>
      <c r="B305" s="143" t="s">
        <v>1438</v>
      </c>
      <c r="C305" s="117"/>
      <c r="D305" s="117"/>
      <c r="E305" s="117" t="s">
        <v>1241</v>
      </c>
      <c r="F305" s="118" t="s">
        <v>2848</v>
      </c>
      <c r="G305" s="118" t="s">
        <v>2849</v>
      </c>
      <c r="H305" s="117" t="s">
        <v>292</v>
      </c>
      <c r="I305" s="117"/>
      <c r="J305" s="117" t="s">
        <v>267</v>
      </c>
      <c r="K305" s="123" t="s">
        <v>1243</v>
      </c>
      <c r="L305" s="117" t="s">
        <v>267</v>
      </c>
      <c r="M305" s="123" t="s">
        <v>2708</v>
      </c>
      <c r="N305" s="117" t="s">
        <v>2850</v>
      </c>
      <c r="O305" s="118" t="s">
        <v>2851</v>
      </c>
      <c r="P305" s="118" t="s">
        <v>2852</v>
      </c>
      <c r="Q305" s="117"/>
      <c r="R305" s="117"/>
      <c r="S305" s="117"/>
      <c r="T305" s="117"/>
      <c r="U305" s="117"/>
      <c r="V305" s="123" t="s">
        <v>2853</v>
      </c>
      <c r="W305" s="117"/>
      <c r="X305" s="128" t="s">
        <v>2854</v>
      </c>
      <c r="Y305" s="118"/>
      <c r="Z305" s="118"/>
      <c r="AA305" s="118" t="s">
        <v>2855</v>
      </c>
      <c r="AB305" s="117"/>
      <c r="AC305" s="117"/>
      <c r="AD305" s="117"/>
      <c r="AE305" s="117"/>
      <c r="AF305" s="117"/>
      <c r="AG305" s="117"/>
      <c r="AH305" s="117"/>
      <c r="AI305" s="117"/>
      <c r="AJ305" s="117"/>
    </row>
    <row r="306" spans="1:36" ht="24.75" customHeight="1">
      <c r="A306" s="116"/>
      <c r="B306" s="143" t="s">
        <v>1438</v>
      </c>
      <c r="C306" s="117"/>
      <c r="D306" s="117"/>
      <c r="E306" s="117" t="s">
        <v>1241</v>
      </c>
      <c r="F306" s="118" t="s">
        <v>2856</v>
      </c>
      <c r="G306" s="118" t="s">
        <v>2857</v>
      </c>
      <c r="H306" s="117" t="s">
        <v>292</v>
      </c>
      <c r="I306" s="117"/>
      <c r="J306" s="117" t="s">
        <v>267</v>
      </c>
      <c r="K306" s="123" t="s">
        <v>1243</v>
      </c>
      <c r="L306" s="117" t="s">
        <v>267</v>
      </c>
      <c r="M306" s="123" t="s">
        <v>2858</v>
      </c>
      <c r="N306" s="117"/>
      <c r="O306" s="118" t="s">
        <v>2859</v>
      </c>
      <c r="P306" s="118" t="s">
        <v>2013</v>
      </c>
      <c r="Q306" s="117"/>
      <c r="R306" s="117"/>
      <c r="S306" s="117"/>
      <c r="T306" s="117"/>
      <c r="U306" s="117"/>
      <c r="V306" s="123" t="s">
        <v>2860</v>
      </c>
      <c r="W306" s="117"/>
      <c r="X306" s="128" t="s">
        <v>2861</v>
      </c>
      <c r="Y306" s="118"/>
      <c r="Z306" s="118"/>
      <c r="AA306" s="118" t="s">
        <v>2862</v>
      </c>
      <c r="AB306" s="117"/>
      <c r="AC306" s="117"/>
      <c r="AD306" s="117"/>
      <c r="AE306" s="117"/>
      <c r="AF306" s="117"/>
      <c r="AG306" s="117"/>
      <c r="AH306" s="117"/>
      <c r="AI306" s="117"/>
      <c r="AJ306" s="117"/>
    </row>
    <row r="307" spans="1:36" ht="24.75" customHeight="1">
      <c r="A307" s="116"/>
      <c r="B307" s="143" t="s">
        <v>1438</v>
      </c>
      <c r="C307" s="117"/>
      <c r="D307" s="117"/>
      <c r="E307" s="117" t="s">
        <v>1241</v>
      </c>
      <c r="F307" s="118" t="s">
        <v>2863</v>
      </c>
      <c r="G307" s="118" t="s">
        <v>2864</v>
      </c>
      <c r="H307" s="117" t="s">
        <v>292</v>
      </c>
      <c r="I307" s="117"/>
      <c r="J307" s="117" t="s">
        <v>267</v>
      </c>
      <c r="K307" s="123" t="s">
        <v>1243</v>
      </c>
      <c r="L307" s="117" t="s">
        <v>267</v>
      </c>
      <c r="M307" s="123" t="s">
        <v>1329</v>
      </c>
      <c r="N307" s="117"/>
      <c r="O307" s="118" t="s">
        <v>2865</v>
      </c>
      <c r="P307" s="118" t="s">
        <v>2013</v>
      </c>
      <c r="Q307" s="117"/>
      <c r="R307" s="117"/>
      <c r="S307" s="117"/>
      <c r="T307" s="117"/>
      <c r="U307" s="117"/>
      <c r="V307" s="123" t="s">
        <v>2866</v>
      </c>
      <c r="W307" s="117"/>
      <c r="X307" s="128" t="s">
        <v>2867</v>
      </c>
      <c r="Y307" s="118"/>
      <c r="Z307" s="118"/>
      <c r="AA307" s="118" t="s">
        <v>2868</v>
      </c>
      <c r="AB307" s="117"/>
      <c r="AC307" s="117"/>
      <c r="AD307" s="117"/>
      <c r="AE307" s="117"/>
      <c r="AF307" s="117"/>
      <c r="AG307" s="117"/>
      <c r="AH307" s="117"/>
      <c r="AI307" s="117"/>
      <c r="AJ307" s="117"/>
    </row>
    <row r="308" spans="1:36" ht="24.75" customHeight="1">
      <c r="A308" s="116"/>
      <c r="B308" s="143" t="s">
        <v>1438</v>
      </c>
      <c r="C308" s="117"/>
      <c r="D308" s="117"/>
      <c r="E308" s="117" t="s">
        <v>1241</v>
      </c>
      <c r="F308" s="118" t="s">
        <v>2869</v>
      </c>
      <c r="G308" s="118" t="s">
        <v>2870</v>
      </c>
      <c r="H308" s="117" t="s">
        <v>292</v>
      </c>
      <c r="I308" s="117"/>
      <c r="J308" s="117" t="s">
        <v>267</v>
      </c>
      <c r="K308" s="123" t="s">
        <v>1243</v>
      </c>
      <c r="L308" s="117" t="s">
        <v>267</v>
      </c>
      <c r="M308" s="123" t="s">
        <v>1329</v>
      </c>
      <c r="N308" s="117" t="s">
        <v>2871</v>
      </c>
      <c r="O308" s="118" t="s">
        <v>2872</v>
      </c>
      <c r="P308" s="118" t="s">
        <v>2873</v>
      </c>
      <c r="Q308" s="117"/>
      <c r="R308" s="117"/>
      <c r="S308" s="117"/>
      <c r="T308" s="117"/>
      <c r="U308" s="117"/>
      <c r="V308" s="123" t="s">
        <v>2874</v>
      </c>
      <c r="W308" s="117"/>
      <c r="X308" s="128" t="s">
        <v>2875</v>
      </c>
      <c r="Y308" s="118"/>
      <c r="Z308" s="118"/>
      <c r="AA308" s="118" t="s">
        <v>2876</v>
      </c>
      <c r="AB308" s="117"/>
      <c r="AC308" s="117"/>
      <c r="AD308" s="117"/>
      <c r="AE308" s="117"/>
      <c r="AF308" s="117"/>
      <c r="AG308" s="117"/>
      <c r="AH308" s="117"/>
      <c r="AI308" s="117"/>
      <c r="AJ308" s="117"/>
    </row>
    <row r="309" spans="1:36" ht="24.75" customHeight="1">
      <c r="A309" s="116"/>
      <c r="B309" s="143" t="s">
        <v>1438</v>
      </c>
      <c r="C309" s="117"/>
      <c r="D309" s="117"/>
      <c r="E309" s="117" t="s">
        <v>1241</v>
      </c>
      <c r="F309" s="118" t="s">
        <v>1003</v>
      </c>
      <c r="G309" s="118" t="s">
        <v>2877</v>
      </c>
      <c r="H309" s="117" t="s">
        <v>292</v>
      </c>
      <c r="I309" s="117"/>
      <c r="J309" s="117" t="s">
        <v>267</v>
      </c>
      <c r="K309" s="123" t="s">
        <v>1243</v>
      </c>
      <c r="L309" s="117" t="s">
        <v>267</v>
      </c>
      <c r="M309" s="123" t="s">
        <v>2878</v>
      </c>
      <c r="N309" s="117"/>
      <c r="O309" s="118" t="s">
        <v>2879</v>
      </c>
      <c r="P309" s="118" t="s">
        <v>2880</v>
      </c>
      <c r="Q309" s="117"/>
      <c r="R309" s="117"/>
      <c r="S309" s="117"/>
      <c r="T309" s="117"/>
      <c r="U309" s="117"/>
      <c r="V309" s="123" t="s">
        <v>2881</v>
      </c>
      <c r="W309" s="117"/>
      <c r="X309" s="128" t="s">
        <v>2882</v>
      </c>
      <c r="Y309" s="118"/>
      <c r="Z309" s="118"/>
      <c r="AA309" s="118"/>
      <c r="AB309" s="117"/>
      <c r="AC309" s="117"/>
      <c r="AD309" s="117"/>
      <c r="AE309" s="117"/>
      <c r="AF309" s="117"/>
      <c r="AG309" s="117"/>
      <c r="AH309" s="117"/>
      <c r="AI309" s="117"/>
      <c r="AJ309" s="117"/>
    </row>
    <row r="310" spans="1:36" ht="24.75" customHeight="1">
      <c r="A310" s="116"/>
      <c r="B310" s="143" t="s">
        <v>1438</v>
      </c>
      <c r="C310" s="117"/>
      <c r="D310" s="117"/>
      <c r="E310" s="117" t="s">
        <v>1241</v>
      </c>
      <c r="F310" s="118" t="s">
        <v>2883</v>
      </c>
      <c r="G310" s="118" t="s">
        <v>2884</v>
      </c>
      <c r="H310" s="117" t="s">
        <v>292</v>
      </c>
      <c r="I310" s="117"/>
      <c r="J310" s="117" t="s">
        <v>267</v>
      </c>
      <c r="K310" s="123" t="s">
        <v>1243</v>
      </c>
      <c r="L310" s="117" t="s">
        <v>267</v>
      </c>
      <c r="M310" s="123" t="s">
        <v>1253</v>
      </c>
      <c r="N310" s="117" t="s">
        <v>1263</v>
      </c>
      <c r="O310" s="118" t="s">
        <v>2885</v>
      </c>
      <c r="P310" s="118" t="s">
        <v>2886</v>
      </c>
      <c r="Q310" s="117"/>
      <c r="R310" s="117"/>
      <c r="S310" s="117"/>
      <c r="T310" s="117"/>
      <c r="U310" s="117"/>
      <c r="V310" s="123" t="s">
        <v>2887</v>
      </c>
      <c r="W310" s="117"/>
      <c r="X310" s="118" t="s">
        <v>2888</v>
      </c>
      <c r="Y310" s="118"/>
      <c r="Z310" s="118"/>
      <c r="AA310" s="118" t="s">
        <v>2889</v>
      </c>
      <c r="AB310" s="117"/>
      <c r="AC310" s="117"/>
      <c r="AD310" s="117"/>
      <c r="AE310" s="117"/>
      <c r="AF310" s="117"/>
      <c r="AG310" s="117"/>
      <c r="AH310" s="117"/>
      <c r="AI310" s="117"/>
      <c r="AJ310" s="117"/>
    </row>
    <row r="311" spans="1:36" ht="24.75" customHeight="1">
      <c r="A311" s="116"/>
      <c r="B311" s="143" t="s">
        <v>1438</v>
      </c>
      <c r="C311" s="117"/>
      <c r="D311" s="117"/>
      <c r="E311" s="117" t="s">
        <v>1241</v>
      </c>
      <c r="F311" s="118" t="s">
        <v>2890</v>
      </c>
      <c r="G311" s="118" t="s">
        <v>2891</v>
      </c>
      <c r="H311" s="117" t="s">
        <v>292</v>
      </c>
      <c r="I311" s="117"/>
      <c r="J311" s="117" t="s">
        <v>267</v>
      </c>
      <c r="K311" s="123" t="s">
        <v>1243</v>
      </c>
      <c r="L311" s="117" t="s">
        <v>267</v>
      </c>
      <c r="M311" s="123" t="s">
        <v>2892</v>
      </c>
      <c r="N311" s="117" t="s">
        <v>1263</v>
      </c>
      <c r="O311" s="118" t="s">
        <v>2893</v>
      </c>
      <c r="P311" s="118" t="s">
        <v>2894</v>
      </c>
      <c r="Q311" s="117"/>
      <c r="R311" s="117"/>
      <c r="S311" s="117"/>
      <c r="T311" s="117"/>
      <c r="U311" s="117"/>
      <c r="V311" s="123" t="s">
        <v>2895</v>
      </c>
      <c r="W311" s="117"/>
      <c r="X311" s="118" t="s">
        <v>2896</v>
      </c>
      <c r="Y311" s="118"/>
      <c r="Z311" s="128" t="s">
        <v>2897</v>
      </c>
      <c r="AA311" s="118"/>
      <c r="AB311" s="117"/>
      <c r="AC311" s="117"/>
      <c r="AD311" s="117"/>
      <c r="AE311" s="117"/>
      <c r="AF311" s="117"/>
      <c r="AG311" s="117"/>
      <c r="AH311" s="117"/>
      <c r="AI311" s="117"/>
      <c r="AJ311" s="117"/>
    </row>
    <row r="312" spans="1:36" ht="24.75" customHeight="1">
      <c r="A312" s="116"/>
      <c r="B312" s="143" t="s">
        <v>1438</v>
      </c>
      <c r="C312" s="117"/>
      <c r="D312" s="117"/>
      <c r="E312" s="117" t="s">
        <v>1241</v>
      </c>
      <c r="F312" s="118" t="s">
        <v>2898</v>
      </c>
      <c r="G312" s="118" t="s">
        <v>2899</v>
      </c>
      <c r="H312" s="117" t="s">
        <v>292</v>
      </c>
      <c r="I312" s="117"/>
      <c r="J312" s="117" t="s">
        <v>267</v>
      </c>
      <c r="K312" s="123" t="s">
        <v>1243</v>
      </c>
      <c r="L312" s="117" t="s">
        <v>267</v>
      </c>
      <c r="M312" s="123" t="s">
        <v>1262</v>
      </c>
      <c r="N312" s="117" t="s">
        <v>2576</v>
      </c>
      <c r="O312" s="118" t="s">
        <v>2900</v>
      </c>
      <c r="P312" s="118" t="s">
        <v>2738</v>
      </c>
      <c r="Q312" s="117"/>
      <c r="R312" s="117"/>
      <c r="S312" s="117"/>
      <c r="T312" s="117"/>
      <c r="U312" s="117"/>
      <c r="V312" s="123" t="s">
        <v>2901</v>
      </c>
      <c r="W312" s="117"/>
      <c r="X312" s="128" t="s">
        <v>2902</v>
      </c>
      <c r="Y312" s="118"/>
      <c r="Z312" s="128" t="s">
        <v>2903</v>
      </c>
      <c r="AA312" s="118" t="s">
        <v>2904</v>
      </c>
      <c r="AB312" s="117"/>
      <c r="AC312" s="117"/>
      <c r="AD312" s="117"/>
      <c r="AE312" s="117"/>
      <c r="AF312" s="117"/>
      <c r="AG312" s="117"/>
      <c r="AH312" s="117"/>
      <c r="AI312" s="117"/>
      <c r="AJ312" s="117"/>
    </row>
    <row r="313" spans="1:36" ht="24.75" customHeight="1">
      <c r="A313" s="116"/>
      <c r="B313" s="143" t="s">
        <v>1438</v>
      </c>
      <c r="C313" s="117"/>
      <c r="D313" s="117"/>
      <c r="E313" s="117" t="s">
        <v>2676</v>
      </c>
      <c r="F313" s="118" t="s">
        <v>2905</v>
      </c>
      <c r="G313" s="118" t="s">
        <v>2906</v>
      </c>
      <c r="H313" s="117" t="s">
        <v>292</v>
      </c>
      <c r="I313" s="117"/>
      <c r="J313" s="117" t="s">
        <v>267</v>
      </c>
      <c r="K313" s="123" t="s">
        <v>1243</v>
      </c>
      <c r="L313" s="117" t="s">
        <v>267</v>
      </c>
      <c r="M313" s="123" t="s">
        <v>2907</v>
      </c>
      <c r="N313" s="117" t="s">
        <v>2576</v>
      </c>
      <c r="O313" s="118" t="s">
        <v>2908</v>
      </c>
      <c r="P313" s="118" t="s">
        <v>2909</v>
      </c>
      <c r="Q313" s="117"/>
      <c r="R313" s="117"/>
      <c r="S313" s="117"/>
      <c r="T313" s="117"/>
      <c r="U313" s="117"/>
      <c r="V313" s="123" t="s">
        <v>2910</v>
      </c>
      <c r="W313" s="117"/>
      <c r="X313" s="128" t="s">
        <v>2911</v>
      </c>
      <c r="Y313" s="118"/>
      <c r="Z313" s="118"/>
      <c r="AA313" s="118"/>
      <c r="AB313" s="117"/>
      <c r="AC313" s="117"/>
      <c r="AD313" s="117"/>
      <c r="AE313" s="117"/>
      <c r="AF313" s="117"/>
      <c r="AG313" s="117"/>
      <c r="AH313" s="117"/>
      <c r="AI313" s="117"/>
      <c r="AJ313" s="117"/>
    </row>
    <row r="314" spans="1:36" ht="24.75" customHeight="1">
      <c r="A314" s="116"/>
      <c r="B314" s="143" t="s">
        <v>1438</v>
      </c>
      <c r="C314" s="117"/>
      <c r="D314" s="117"/>
      <c r="E314" s="117" t="s">
        <v>1241</v>
      </c>
      <c r="F314" s="118" t="s">
        <v>2912</v>
      </c>
      <c r="G314" s="118" t="s">
        <v>2913</v>
      </c>
      <c r="H314" s="117" t="s">
        <v>292</v>
      </c>
      <c r="I314" s="117"/>
      <c r="J314" s="117" t="s">
        <v>267</v>
      </c>
      <c r="K314" s="123" t="s">
        <v>1243</v>
      </c>
      <c r="L314" s="117" t="s">
        <v>267</v>
      </c>
      <c r="M314" s="123" t="s">
        <v>1320</v>
      </c>
      <c r="N314" s="117" t="s">
        <v>1263</v>
      </c>
      <c r="O314" s="118" t="s">
        <v>2914</v>
      </c>
      <c r="P314" s="118" t="s">
        <v>2915</v>
      </c>
      <c r="Q314" s="117"/>
      <c r="R314" s="117" t="s">
        <v>268</v>
      </c>
      <c r="S314" s="117"/>
      <c r="T314" s="117"/>
      <c r="U314" s="117"/>
      <c r="V314" s="123" t="s">
        <v>2916</v>
      </c>
      <c r="W314" s="117"/>
      <c r="X314" s="128" t="s">
        <v>2917</v>
      </c>
      <c r="Y314" s="118"/>
      <c r="Z314" s="118"/>
      <c r="AA314" s="118"/>
      <c r="AB314" s="117"/>
      <c r="AC314" s="117"/>
      <c r="AD314" s="117"/>
      <c r="AE314" s="117"/>
      <c r="AF314" s="117"/>
      <c r="AG314" s="117"/>
      <c r="AH314" s="117"/>
      <c r="AI314" s="117"/>
      <c r="AJ314" s="117"/>
    </row>
    <row r="315" spans="1:36" ht="24.75" customHeight="1">
      <c r="A315" s="116"/>
      <c r="B315" s="150"/>
      <c r="C315" s="117"/>
      <c r="D315" s="117"/>
      <c r="E315" s="117" t="s">
        <v>1241</v>
      </c>
      <c r="F315" s="153" t="s">
        <v>2918</v>
      </c>
      <c r="G315" s="118"/>
      <c r="H315" s="117" t="s">
        <v>1252</v>
      </c>
      <c r="I315" s="117"/>
      <c r="J315" s="117"/>
      <c r="K315" s="123" t="s">
        <v>2919</v>
      </c>
      <c r="L315" s="154" t="s">
        <v>1946</v>
      </c>
      <c r="M315" s="123"/>
      <c r="N315" s="154" t="s">
        <v>2218</v>
      </c>
      <c r="O315" s="118"/>
      <c r="P315" s="118"/>
      <c r="Q315" s="117"/>
      <c r="R315" s="117" t="s">
        <v>268</v>
      </c>
      <c r="S315" s="117"/>
      <c r="T315" s="117"/>
      <c r="U315" s="117"/>
      <c r="V315" s="123"/>
      <c r="W315" s="117"/>
      <c r="X315" s="118"/>
      <c r="Y315" s="118"/>
      <c r="Z315" s="118"/>
      <c r="AA315" s="118"/>
      <c r="AB315" s="117"/>
      <c r="AC315" s="117"/>
      <c r="AD315" s="117"/>
      <c r="AE315" s="117"/>
      <c r="AF315" s="117"/>
      <c r="AG315" s="117"/>
      <c r="AH315" s="117"/>
      <c r="AI315" s="117"/>
      <c r="AJ315" s="117"/>
    </row>
    <row r="316" spans="1:36" ht="24.75" customHeight="1">
      <c r="A316" s="116"/>
      <c r="B316" s="143" t="s">
        <v>1438</v>
      </c>
      <c r="C316" s="117"/>
      <c r="D316" s="117"/>
      <c r="E316" s="117"/>
      <c r="F316" s="161" t="s">
        <v>2920</v>
      </c>
      <c r="G316" s="118" t="s">
        <v>2921</v>
      </c>
      <c r="H316" s="117" t="s">
        <v>292</v>
      </c>
      <c r="I316" s="117"/>
      <c r="J316" s="117"/>
      <c r="K316" s="123" t="s">
        <v>1243</v>
      </c>
      <c r="L316" s="155" t="s">
        <v>267</v>
      </c>
      <c r="M316" s="123"/>
      <c r="N316" s="155" t="s">
        <v>2576</v>
      </c>
      <c r="O316" s="118"/>
      <c r="P316" s="118"/>
      <c r="Q316" s="117"/>
      <c r="R316" s="117" t="s">
        <v>268</v>
      </c>
      <c r="S316" s="117"/>
      <c r="T316" s="117"/>
      <c r="U316" s="117"/>
      <c r="V316" s="123"/>
      <c r="W316" s="117"/>
      <c r="X316" s="174" t="s">
        <v>2922</v>
      </c>
      <c r="Y316" s="118"/>
      <c r="Z316" s="118"/>
      <c r="AA316" s="118"/>
      <c r="AB316" s="117"/>
      <c r="AC316" s="117"/>
      <c r="AD316" s="117"/>
      <c r="AE316" s="117"/>
      <c r="AF316" s="117"/>
      <c r="AG316" s="117"/>
      <c r="AH316" s="117"/>
      <c r="AI316" s="117"/>
      <c r="AJ316" s="117"/>
    </row>
    <row r="317" spans="1:36" ht="24.75" customHeight="1">
      <c r="A317" s="116"/>
      <c r="B317" s="150"/>
      <c r="C317" s="117"/>
      <c r="D317" s="117"/>
      <c r="E317" s="117"/>
      <c r="F317" s="161" t="s">
        <v>2923</v>
      </c>
      <c r="G317" s="118"/>
      <c r="H317" s="117" t="s">
        <v>1252</v>
      </c>
      <c r="I317" s="117"/>
      <c r="J317" s="117"/>
      <c r="K317" s="123" t="s">
        <v>2919</v>
      </c>
      <c r="L317" s="155" t="s">
        <v>279</v>
      </c>
      <c r="M317" s="123"/>
      <c r="N317" s="155" t="s">
        <v>2924</v>
      </c>
      <c r="O317" s="118"/>
      <c r="P317" s="118"/>
      <c r="Q317" s="117"/>
      <c r="R317" s="117"/>
      <c r="S317" s="117"/>
      <c r="T317" s="117"/>
      <c r="U317" s="117"/>
      <c r="V317" s="123"/>
      <c r="W317" s="117"/>
      <c r="X317" s="118"/>
      <c r="Y317" s="118"/>
      <c r="Z317" s="118"/>
      <c r="AA317" s="118"/>
      <c r="AB317" s="117"/>
      <c r="AC317" s="117"/>
      <c r="AD317" s="117"/>
      <c r="AE317" s="117"/>
      <c r="AF317" s="117"/>
      <c r="AG317" s="117"/>
      <c r="AH317" s="117"/>
      <c r="AI317" s="117"/>
      <c r="AJ317" s="117"/>
    </row>
    <row r="318" spans="1:36" ht="24.75" customHeight="1">
      <c r="A318" s="116"/>
      <c r="B318" s="143" t="s">
        <v>1438</v>
      </c>
      <c r="C318" s="117"/>
      <c r="D318" s="117"/>
      <c r="E318" s="117" t="s">
        <v>1241</v>
      </c>
      <c r="F318" s="161" t="s">
        <v>2925</v>
      </c>
      <c r="G318" s="118"/>
      <c r="H318" s="117" t="s">
        <v>292</v>
      </c>
      <c r="I318" s="117"/>
      <c r="J318" s="117"/>
      <c r="K318" s="123" t="s">
        <v>1243</v>
      </c>
      <c r="L318" s="155" t="s">
        <v>267</v>
      </c>
      <c r="M318" s="123"/>
      <c r="N318" s="155" t="s">
        <v>2576</v>
      </c>
      <c r="O318" s="118"/>
      <c r="P318" s="118"/>
      <c r="Q318" s="117"/>
      <c r="R318" s="117" t="s">
        <v>268</v>
      </c>
      <c r="S318" s="117"/>
      <c r="T318" s="117"/>
      <c r="U318" s="117"/>
      <c r="V318" s="123"/>
      <c r="W318" s="117"/>
      <c r="X318" s="118"/>
      <c r="Y318" s="118"/>
      <c r="Z318" s="118"/>
      <c r="AA318" s="118"/>
      <c r="AB318" s="117"/>
      <c r="AC318" s="117"/>
      <c r="AD318" s="117"/>
      <c r="AE318" s="117"/>
      <c r="AF318" s="117"/>
      <c r="AG318" s="117"/>
      <c r="AH318" s="117"/>
      <c r="AI318" s="117"/>
      <c r="AJ318" s="117"/>
    </row>
    <row r="319" spans="1:36" ht="24.75" customHeight="1">
      <c r="A319" s="116"/>
      <c r="B319" s="150"/>
      <c r="C319" s="117"/>
      <c r="D319" s="117"/>
      <c r="E319" s="117"/>
      <c r="F319" s="161" t="s">
        <v>2926</v>
      </c>
      <c r="G319" s="118"/>
      <c r="H319" s="117" t="s">
        <v>1252</v>
      </c>
      <c r="I319" s="117"/>
      <c r="J319" s="117"/>
      <c r="K319" s="123" t="s">
        <v>2919</v>
      </c>
      <c r="L319" s="155" t="s">
        <v>279</v>
      </c>
      <c r="M319" s="123"/>
      <c r="N319" s="155" t="s">
        <v>2218</v>
      </c>
      <c r="O319" s="118"/>
      <c r="P319" s="118"/>
      <c r="Q319" s="117"/>
      <c r="R319" s="117" t="s">
        <v>268</v>
      </c>
      <c r="S319" s="117"/>
      <c r="T319" s="117"/>
      <c r="U319" s="117"/>
      <c r="V319" s="123"/>
      <c r="W319" s="117"/>
      <c r="X319" s="118"/>
      <c r="Y319" s="118"/>
      <c r="Z319" s="118"/>
      <c r="AA319" s="118"/>
      <c r="AB319" s="117"/>
      <c r="AC319" s="117"/>
      <c r="AD319" s="117"/>
      <c r="AE319" s="117"/>
      <c r="AF319" s="117"/>
      <c r="AG319" s="117"/>
      <c r="AH319" s="117"/>
      <c r="AI319" s="117"/>
      <c r="AJ319" s="117"/>
    </row>
    <row r="320" spans="1:36" ht="24.75" customHeight="1">
      <c r="A320" s="116"/>
      <c r="B320" s="150"/>
      <c r="C320" s="117"/>
      <c r="D320" s="117"/>
      <c r="E320" s="117"/>
      <c r="F320" s="161" t="s">
        <v>2927</v>
      </c>
      <c r="G320" s="118"/>
      <c r="H320" s="117" t="s">
        <v>1252</v>
      </c>
      <c r="I320" s="117"/>
      <c r="J320" s="117"/>
      <c r="K320" s="123" t="s">
        <v>2919</v>
      </c>
      <c r="L320" s="155" t="s">
        <v>1946</v>
      </c>
      <c r="M320" s="123"/>
      <c r="N320" s="155" t="s">
        <v>2218</v>
      </c>
      <c r="O320" s="118"/>
      <c r="P320" s="118"/>
      <c r="Q320" s="117"/>
      <c r="R320" s="117" t="s">
        <v>268</v>
      </c>
      <c r="S320" s="117"/>
      <c r="T320" s="117"/>
      <c r="U320" s="117"/>
      <c r="V320" s="123"/>
      <c r="W320" s="117"/>
      <c r="X320" s="118"/>
      <c r="Y320" s="118"/>
      <c r="Z320" s="118"/>
      <c r="AA320" s="118"/>
      <c r="AB320" s="117"/>
      <c r="AC320" s="117"/>
      <c r="AD320" s="117"/>
      <c r="AE320" s="117"/>
      <c r="AF320" s="117"/>
      <c r="AG320" s="117"/>
      <c r="AH320" s="117"/>
      <c r="AI320" s="117"/>
      <c r="AJ320" s="117"/>
    </row>
    <row r="321" spans="1:36" ht="24.75" customHeight="1">
      <c r="A321" s="116"/>
      <c r="B321" s="150"/>
      <c r="C321" s="117"/>
      <c r="D321" s="117"/>
      <c r="E321" s="117"/>
      <c r="F321" s="161" t="s">
        <v>2928</v>
      </c>
      <c r="G321" s="118"/>
      <c r="H321" s="117" t="s">
        <v>1252</v>
      </c>
      <c r="I321" s="117"/>
      <c r="J321" s="117"/>
      <c r="K321" s="123" t="s">
        <v>2919</v>
      </c>
      <c r="L321" s="155" t="s">
        <v>1946</v>
      </c>
      <c r="M321" s="123"/>
      <c r="N321" s="155" t="s">
        <v>2218</v>
      </c>
      <c r="O321" s="118"/>
      <c r="P321" s="118"/>
      <c r="Q321" s="117"/>
      <c r="R321" s="117" t="s">
        <v>268</v>
      </c>
      <c r="S321" s="117"/>
      <c r="T321" s="117"/>
      <c r="U321" s="117"/>
      <c r="V321" s="123"/>
      <c r="W321" s="117"/>
      <c r="X321" s="118"/>
      <c r="Y321" s="118"/>
      <c r="Z321" s="118"/>
      <c r="AA321" s="118"/>
      <c r="AB321" s="117"/>
      <c r="AC321" s="117"/>
      <c r="AD321" s="117"/>
      <c r="AE321" s="117"/>
      <c r="AF321" s="117"/>
      <c r="AG321" s="117"/>
      <c r="AH321" s="117"/>
      <c r="AI321" s="117"/>
      <c r="AJ321" s="117"/>
    </row>
    <row r="322" spans="1:36" ht="24.75" customHeight="1">
      <c r="A322" s="116"/>
      <c r="B322" s="150"/>
      <c r="C322" s="117"/>
      <c r="D322" s="117"/>
      <c r="E322" s="117"/>
      <c r="F322" s="161" t="s">
        <v>2929</v>
      </c>
      <c r="G322" s="118"/>
      <c r="H322" s="117" t="s">
        <v>1252</v>
      </c>
      <c r="I322" s="117"/>
      <c r="J322" s="117"/>
      <c r="K322" s="123" t="s">
        <v>2919</v>
      </c>
      <c r="L322" s="155" t="s">
        <v>279</v>
      </c>
      <c r="M322" s="123"/>
      <c r="N322" s="155" t="s">
        <v>1585</v>
      </c>
      <c r="O322" s="118"/>
      <c r="P322" s="118"/>
      <c r="Q322" s="117"/>
      <c r="R322" s="117" t="s">
        <v>268</v>
      </c>
      <c r="S322" s="117"/>
      <c r="T322" s="117"/>
      <c r="U322" s="117"/>
      <c r="V322" s="123"/>
      <c r="W322" s="117"/>
      <c r="X322" s="118"/>
      <c r="Y322" s="118"/>
      <c r="Z322" s="118"/>
      <c r="AA322" s="118"/>
      <c r="AB322" s="117"/>
      <c r="AC322" s="117"/>
      <c r="AD322" s="117"/>
      <c r="AE322" s="117"/>
      <c r="AF322" s="117"/>
      <c r="AG322" s="117"/>
      <c r="AH322" s="117"/>
      <c r="AI322" s="117"/>
      <c r="AJ322" s="117"/>
    </row>
    <row r="323" spans="1:36" ht="24.75" customHeight="1">
      <c r="A323" s="116"/>
      <c r="B323" s="117" t="s">
        <v>1438</v>
      </c>
      <c r="C323" s="117"/>
      <c r="D323" s="117"/>
      <c r="E323" s="117"/>
      <c r="F323" s="162" t="s">
        <v>2930</v>
      </c>
      <c r="G323" s="118"/>
      <c r="H323" s="117" t="s">
        <v>1252</v>
      </c>
      <c r="I323" s="117"/>
      <c r="J323" s="117" t="s">
        <v>279</v>
      </c>
      <c r="K323" s="123" t="s">
        <v>279</v>
      </c>
      <c r="L323" s="155" t="s">
        <v>279</v>
      </c>
      <c r="M323" s="123" t="s">
        <v>279</v>
      </c>
      <c r="N323" s="155" t="s">
        <v>2931</v>
      </c>
      <c r="O323" s="118" t="s">
        <v>2932</v>
      </c>
      <c r="P323" s="118"/>
      <c r="Q323" s="117"/>
      <c r="R323" s="117"/>
      <c r="S323" s="117"/>
      <c r="T323" s="117"/>
      <c r="U323" s="117"/>
      <c r="V323" s="123" t="s">
        <v>2933</v>
      </c>
      <c r="W323" s="117"/>
      <c r="X323" s="118" t="s">
        <v>2934</v>
      </c>
      <c r="Y323" s="118"/>
      <c r="Z323" s="118" t="s">
        <v>2935</v>
      </c>
      <c r="AA323" s="118" t="s">
        <v>2936</v>
      </c>
      <c r="AB323" s="117"/>
      <c r="AC323" s="117"/>
      <c r="AD323" s="117"/>
      <c r="AE323" s="117"/>
      <c r="AF323" s="117"/>
      <c r="AG323" s="117"/>
      <c r="AH323" s="117"/>
      <c r="AI323" s="117"/>
      <c r="AJ323" s="117"/>
    </row>
    <row r="324" spans="1:36" ht="24.75" customHeight="1">
      <c r="A324" s="116"/>
      <c r="B324" s="117" t="s">
        <v>1438</v>
      </c>
      <c r="C324" s="117"/>
      <c r="D324" s="117"/>
      <c r="E324" s="117"/>
      <c r="F324" s="161" t="s">
        <v>2937</v>
      </c>
      <c r="G324" s="118"/>
      <c r="H324" s="117" t="s">
        <v>1252</v>
      </c>
      <c r="I324" s="117"/>
      <c r="J324" s="117" t="s">
        <v>279</v>
      </c>
      <c r="K324" s="123" t="s">
        <v>279</v>
      </c>
      <c r="L324" s="155" t="s">
        <v>279</v>
      </c>
      <c r="M324" s="123" t="s">
        <v>279</v>
      </c>
      <c r="N324" s="155" t="s">
        <v>2931</v>
      </c>
      <c r="O324" s="118" t="s">
        <v>2938</v>
      </c>
      <c r="P324" s="118" t="s">
        <v>2003</v>
      </c>
      <c r="Q324" s="117"/>
      <c r="R324" s="117"/>
      <c r="S324" s="117"/>
      <c r="T324" s="117"/>
      <c r="U324" s="117"/>
      <c r="V324" s="123" t="s">
        <v>2939</v>
      </c>
      <c r="W324" s="117"/>
      <c r="X324" s="118" t="s">
        <v>2940</v>
      </c>
      <c r="Y324" s="118"/>
      <c r="Z324" s="118" t="s">
        <v>2941</v>
      </c>
      <c r="AA324" s="118" t="s">
        <v>2942</v>
      </c>
      <c r="AB324" s="117"/>
      <c r="AC324" s="117"/>
      <c r="AD324" s="117"/>
      <c r="AE324" s="117"/>
      <c r="AF324" s="117"/>
      <c r="AG324" s="117"/>
      <c r="AH324" s="117"/>
      <c r="AI324" s="117"/>
      <c r="AJ324" s="117"/>
    </row>
    <row r="325" spans="1:36" ht="24.75" customHeight="1">
      <c r="A325" s="116"/>
      <c r="B325" s="117" t="s">
        <v>1438</v>
      </c>
      <c r="C325" s="117"/>
      <c r="D325" s="117"/>
      <c r="E325" s="117" t="s">
        <v>2943</v>
      </c>
      <c r="F325" s="161" t="s">
        <v>303</v>
      </c>
      <c r="G325" s="118"/>
      <c r="H325" s="117" t="s">
        <v>1252</v>
      </c>
      <c r="I325" s="117"/>
      <c r="J325" s="117" t="s">
        <v>279</v>
      </c>
      <c r="K325" s="123" t="s">
        <v>2944</v>
      </c>
      <c r="L325" s="155" t="s">
        <v>2944</v>
      </c>
      <c r="M325" s="123" t="s">
        <v>2944</v>
      </c>
      <c r="N325" s="155" t="s">
        <v>1263</v>
      </c>
      <c r="O325" s="118" t="s">
        <v>2945</v>
      </c>
      <c r="P325" s="118" t="s">
        <v>1289</v>
      </c>
      <c r="Q325" s="117"/>
      <c r="R325" s="117"/>
      <c r="S325" s="117"/>
      <c r="T325" s="117"/>
      <c r="U325" s="117"/>
      <c r="V325" s="123" t="s">
        <v>2946</v>
      </c>
      <c r="W325" s="117"/>
      <c r="X325" s="118" t="s">
        <v>2947</v>
      </c>
      <c r="Y325" s="118"/>
      <c r="Z325" s="118" t="s">
        <v>2948</v>
      </c>
      <c r="AA325" s="118" t="s">
        <v>2949</v>
      </c>
      <c r="AB325" s="117"/>
      <c r="AC325" s="117"/>
      <c r="AD325" s="117"/>
      <c r="AE325" s="117"/>
      <c r="AF325" s="117"/>
      <c r="AG325" s="117"/>
      <c r="AH325" s="117"/>
      <c r="AI325" s="117"/>
      <c r="AJ325" s="117"/>
    </row>
    <row r="326" spans="1:36" ht="24.75" customHeight="1">
      <c r="A326" s="116"/>
      <c r="B326" s="117" t="s">
        <v>2950</v>
      </c>
      <c r="C326" s="117"/>
      <c r="D326" s="117"/>
      <c r="E326" s="117" t="s">
        <v>2951</v>
      </c>
      <c r="F326" s="161" t="s">
        <v>2952</v>
      </c>
      <c r="G326" s="118"/>
      <c r="H326" s="117" t="s">
        <v>1252</v>
      </c>
      <c r="I326" s="117"/>
      <c r="J326" s="117" t="s">
        <v>279</v>
      </c>
      <c r="K326" s="123" t="s">
        <v>2953</v>
      </c>
      <c r="L326" s="155"/>
      <c r="M326" s="123"/>
      <c r="N326" s="155" t="s">
        <v>2931</v>
      </c>
      <c r="O326" s="118" t="s">
        <v>2954</v>
      </c>
      <c r="P326" s="118" t="s">
        <v>1289</v>
      </c>
      <c r="Q326" s="117"/>
      <c r="R326" s="117"/>
      <c r="S326" s="117"/>
      <c r="T326" s="117"/>
      <c r="U326" s="117"/>
      <c r="V326" s="123" t="s">
        <v>2955</v>
      </c>
      <c r="W326" s="117"/>
      <c r="X326" s="118" t="s">
        <v>2956</v>
      </c>
      <c r="Y326" s="118"/>
      <c r="Z326" s="118" t="s">
        <v>2957</v>
      </c>
      <c r="AA326" s="118" t="s">
        <v>2958</v>
      </c>
      <c r="AB326" s="117"/>
      <c r="AC326" s="117"/>
      <c r="AD326" s="117"/>
      <c r="AE326" s="117"/>
      <c r="AF326" s="117"/>
      <c r="AG326" s="117"/>
      <c r="AH326" s="117"/>
      <c r="AI326" s="117"/>
      <c r="AJ326" s="117"/>
    </row>
    <row r="327" spans="1:36" ht="24.75" customHeight="1">
      <c r="A327" s="116"/>
      <c r="B327" s="117" t="s">
        <v>2950</v>
      </c>
      <c r="C327" s="117"/>
      <c r="D327" s="117"/>
      <c r="E327" s="117" t="s">
        <v>2951</v>
      </c>
      <c r="F327" s="161" t="s">
        <v>2959</v>
      </c>
      <c r="G327" s="118"/>
      <c r="H327" s="117" t="s">
        <v>1252</v>
      </c>
      <c r="I327" s="117"/>
      <c r="J327" s="117" t="s">
        <v>279</v>
      </c>
      <c r="K327" s="123" t="s">
        <v>279</v>
      </c>
      <c r="L327" s="155" t="s">
        <v>279</v>
      </c>
      <c r="M327" s="123" t="s">
        <v>279</v>
      </c>
      <c r="N327" s="155" t="s">
        <v>2931</v>
      </c>
      <c r="O327" s="118" t="s">
        <v>2960</v>
      </c>
      <c r="P327" s="118" t="s">
        <v>2961</v>
      </c>
      <c r="Q327" s="117"/>
      <c r="R327" s="117"/>
      <c r="S327" s="117"/>
      <c r="T327" s="117"/>
      <c r="U327" s="117"/>
      <c r="V327" s="123" t="s">
        <v>2962</v>
      </c>
      <c r="W327" s="117"/>
      <c r="X327" s="118" t="s">
        <v>2963</v>
      </c>
      <c r="Y327" s="118"/>
      <c r="Z327" s="118" t="s">
        <v>2964</v>
      </c>
      <c r="AA327" s="118" t="s">
        <v>2965</v>
      </c>
      <c r="AB327" s="117"/>
      <c r="AC327" s="117"/>
      <c r="AD327" s="117"/>
      <c r="AE327" s="117"/>
      <c r="AF327" s="117"/>
      <c r="AG327" s="117"/>
      <c r="AH327" s="117"/>
      <c r="AI327" s="117"/>
      <c r="AJ327" s="117"/>
    </row>
    <row r="328" spans="1:36" ht="24.75" customHeight="1">
      <c r="A328" s="116"/>
      <c r="B328" s="117" t="s">
        <v>1239</v>
      </c>
      <c r="C328" s="117"/>
      <c r="D328" s="117"/>
      <c r="E328" s="117" t="s">
        <v>2951</v>
      </c>
      <c r="F328" s="161" t="s">
        <v>2966</v>
      </c>
      <c r="G328" s="118"/>
      <c r="H328" s="117" t="s">
        <v>1252</v>
      </c>
      <c r="I328" s="117"/>
      <c r="J328" s="117" t="s">
        <v>279</v>
      </c>
      <c r="K328" s="123" t="s">
        <v>279</v>
      </c>
      <c r="L328" s="155" t="s">
        <v>279</v>
      </c>
      <c r="M328" s="123" t="s">
        <v>279</v>
      </c>
      <c r="N328" s="155" t="s">
        <v>2931</v>
      </c>
      <c r="O328" s="118" t="s">
        <v>2967</v>
      </c>
      <c r="P328" s="118" t="s">
        <v>2085</v>
      </c>
      <c r="Q328" s="117"/>
      <c r="R328" s="117"/>
      <c r="S328" s="117"/>
      <c r="T328" s="117"/>
      <c r="U328" s="117"/>
      <c r="V328" s="123" t="s">
        <v>2968</v>
      </c>
      <c r="W328" s="117"/>
      <c r="X328" s="118" t="s">
        <v>2969</v>
      </c>
      <c r="Y328" s="118"/>
      <c r="Z328" s="118" t="s">
        <v>2970</v>
      </c>
      <c r="AA328" s="118" t="s">
        <v>2971</v>
      </c>
      <c r="AB328" s="117"/>
      <c r="AC328" s="117"/>
      <c r="AD328" s="117"/>
      <c r="AE328" s="117"/>
      <c r="AF328" s="117"/>
      <c r="AG328" s="117"/>
      <c r="AH328" s="117"/>
      <c r="AI328" s="117"/>
      <c r="AJ328" s="117"/>
    </row>
    <row r="329" spans="1:36" ht="24.75" customHeight="1">
      <c r="A329" s="116"/>
      <c r="B329" s="117" t="s">
        <v>1438</v>
      </c>
      <c r="C329" s="117"/>
      <c r="D329" s="117"/>
      <c r="E329" s="117" t="s">
        <v>1241</v>
      </c>
      <c r="F329" s="161" t="s">
        <v>2972</v>
      </c>
      <c r="G329" s="118"/>
      <c r="H329" s="117" t="s">
        <v>1252</v>
      </c>
      <c r="I329" s="117"/>
      <c r="J329" s="117"/>
      <c r="K329" s="123"/>
      <c r="L329" s="155"/>
      <c r="M329" s="123"/>
      <c r="N329" s="155"/>
      <c r="O329" s="118" t="s">
        <v>2973</v>
      </c>
      <c r="P329" s="118"/>
      <c r="Q329" s="117"/>
      <c r="R329" s="117"/>
      <c r="S329" s="117"/>
      <c r="T329" s="117"/>
      <c r="U329" s="117"/>
      <c r="V329" s="123"/>
      <c r="W329" s="117"/>
      <c r="X329" s="118"/>
      <c r="Y329" s="118"/>
      <c r="Z329" s="118"/>
      <c r="AA329" s="118"/>
      <c r="AB329" s="117"/>
      <c r="AC329" s="117"/>
      <c r="AD329" s="117"/>
      <c r="AE329" s="117"/>
      <c r="AF329" s="117"/>
      <c r="AG329" s="117"/>
      <c r="AH329" s="117"/>
      <c r="AI329" s="117"/>
      <c r="AJ329" s="117"/>
    </row>
    <row r="330" spans="1:36" ht="24.75" customHeight="1">
      <c r="A330" s="116"/>
      <c r="B330" s="117" t="s">
        <v>1438</v>
      </c>
      <c r="C330" s="117"/>
      <c r="D330" s="117"/>
      <c r="E330" s="117" t="s">
        <v>2974</v>
      </c>
      <c r="F330" s="161" t="s">
        <v>2975</v>
      </c>
      <c r="G330" s="118"/>
      <c r="H330" s="117" t="s">
        <v>1252</v>
      </c>
      <c r="I330" s="117"/>
      <c r="J330" s="117" t="s">
        <v>279</v>
      </c>
      <c r="K330" s="123" t="s">
        <v>2976</v>
      </c>
      <c r="L330" s="155" t="s">
        <v>279</v>
      </c>
      <c r="M330" s="123" t="s">
        <v>279</v>
      </c>
      <c r="N330" s="155" t="s">
        <v>2974</v>
      </c>
      <c r="O330" s="118" t="s">
        <v>2977</v>
      </c>
      <c r="P330" s="118" t="s">
        <v>2978</v>
      </c>
      <c r="Q330" s="117"/>
      <c r="R330" s="117"/>
      <c r="S330" s="117"/>
      <c r="T330" s="117"/>
      <c r="U330" s="117"/>
      <c r="V330" s="123" t="s">
        <v>2979</v>
      </c>
      <c r="W330" s="117"/>
      <c r="X330" s="118" t="s">
        <v>2980</v>
      </c>
      <c r="Y330" s="118"/>
      <c r="Z330" s="118" t="s">
        <v>2981</v>
      </c>
      <c r="AA330" s="118" t="s">
        <v>2982</v>
      </c>
      <c r="AB330" s="117"/>
      <c r="AC330" s="117"/>
      <c r="AD330" s="117"/>
      <c r="AE330" s="117"/>
      <c r="AF330" s="117"/>
      <c r="AG330" s="117"/>
      <c r="AH330" s="117"/>
      <c r="AI330" s="117"/>
      <c r="AJ330" s="117"/>
    </row>
    <row r="331" spans="1:36" ht="24.75" customHeight="1">
      <c r="A331" s="116"/>
      <c r="B331" s="117" t="s">
        <v>1438</v>
      </c>
      <c r="C331" s="117"/>
      <c r="D331" s="117"/>
      <c r="E331" s="117" t="s">
        <v>1241</v>
      </c>
      <c r="F331" s="161" t="s">
        <v>2983</v>
      </c>
      <c r="G331" s="118"/>
      <c r="H331" s="117" t="s">
        <v>1252</v>
      </c>
      <c r="I331" s="117"/>
      <c r="J331" s="117" t="s">
        <v>279</v>
      </c>
      <c r="K331" s="123" t="s">
        <v>279</v>
      </c>
      <c r="L331" s="117" t="s">
        <v>279</v>
      </c>
      <c r="M331" s="123" t="s">
        <v>279</v>
      </c>
      <c r="N331" s="117" t="s">
        <v>2931</v>
      </c>
      <c r="O331" s="118" t="s">
        <v>2984</v>
      </c>
      <c r="P331" s="118" t="s">
        <v>1845</v>
      </c>
      <c r="Q331" s="117"/>
      <c r="R331" s="117"/>
      <c r="S331" s="117"/>
      <c r="T331" s="117"/>
      <c r="U331" s="117"/>
      <c r="V331" s="123"/>
      <c r="W331" s="117"/>
      <c r="X331" s="118" t="s">
        <v>1846</v>
      </c>
      <c r="Y331" s="118"/>
      <c r="Z331" s="118" t="s">
        <v>2985</v>
      </c>
      <c r="AA331" s="118" t="s">
        <v>2986</v>
      </c>
      <c r="AB331" s="117"/>
      <c r="AC331" s="117"/>
      <c r="AD331" s="117"/>
      <c r="AE331" s="117"/>
      <c r="AF331" s="117"/>
      <c r="AG331" s="117"/>
      <c r="AH331" s="117"/>
      <c r="AI331" s="117"/>
      <c r="AJ331" s="117"/>
    </row>
    <row r="332" spans="1:36" ht="24.75" customHeight="1">
      <c r="A332" s="116"/>
      <c r="B332" s="117" t="s">
        <v>1438</v>
      </c>
      <c r="C332" s="117"/>
      <c r="D332" s="117"/>
      <c r="E332" s="117" t="s">
        <v>1241</v>
      </c>
      <c r="F332" s="161" t="s">
        <v>2987</v>
      </c>
      <c r="G332" s="118"/>
      <c r="H332" s="117" t="s">
        <v>1252</v>
      </c>
      <c r="I332" s="117"/>
      <c r="J332" s="117" t="s">
        <v>152</v>
      </c>
      <c r="K332" s="123" t="s">
        <v>2988</v>
      </c>
      <c r="L332" s="117" t="s">
        <v>152</v>
      </c>
      <c r="M332" s="123" t="s">
        <v>152</v>
      </c>
      <c r="N332" s="117" t="s">
        <v>1263</v>
      </c>
      <c r="O332" s="118" t="s">
        <v>2989</v>
      </c>
      <c r="P332" s="118" t="s">
        <v>2990</v>
      </c>
      <c r="Q332" s="117"/>
      <c r="R332" s="117"/>
      <c r="S332" s="117"/>
      <c r="T332" s="117"/>
      <c r="U332" s="117"/>
      <c r="V332" s="123" t="s">
        <v>2991</v>
      </c>
      <c r="W332" s="117"/>
      <c r="X332" s="118" t="s">
        <v>2992</v>
      </c>
      <c r="Y332" s="118"/>
      <c r="Z332" s="118" t="s">
        <v>2993</v>
      </c>
      <c r="AA332" s="118"/>
      <c r="AB332" s="117"/>
      <c r="AC332" s="117"/>
      <c r="AD332" s="117"/>
      <c r="AE332" s="117"/>
      <c r="AF332" s="117"/>
      <c r="AG332" s="117"/>
      <c r="AH332" s="117"/>
      <c r="AI332" s="117"/>
      <c r="AJ332" s="117"/>
    </row>
    <row r="333" spans="1:36" ht="24.75" customHeight="1">
      <c r="A333" s="116"/>
      <c r="B333" s="117" t="s">
        <v>1438</v>
      </c>
      <c r="C333" s="117"/>
      <c r="D333" s="117"/>
      <c r="E333" s="117" t="s">
        <v>1241</v>
      </c>
      <c r="F333" s="161" t="s">
        <v>2994</v>
      </c>
      <c r="G333" s="118"/>
      <c r="H333" s="117" t="s">
        <v>1252</v>
      </c>
      <c r="I333" s="117"/>
      <c r="J333" s="117" t="s">
        <v>299</v>
      </c>
      <c r="K333" s="123" t="s">
        <v>299</v>
      </c>
      <c r="L333" s="117" t="s">
        <v>299</v>
      </c>
      <c r="M333" s="123"/>
      <c r="N333" s="117" t="s">
        <v>1263</v>
      </c>
      <c r="O333" s="118" t="s">
        <v>2995</v>
      </c>
      <c r="P333" s="118" t="s">
        <v>2996</v>
      </c>
      <c r="Q333" s="117"/>
      <c r="R333" s="117"/>
      <c r="S333" s="117"/>
      <c r="T333" s="117"/>
      <c r="U333" s="117"/>
      <c r="V333" s="123"/>
      <c r="W333" s="117"/>
      <c r="X333" s="118" t="s">
        <v>2997</v>
      </c>
      <c r="Y333" s="118"/>
      <c r="Z333" s="118" t="s">
        <v>2998</v>
      </c>
      <c r="AA333" s="118"/>
      <c r="AB333" s="117"/>
      <c r="AC333" s="117"/>
      <c r="AD333" s="117"/>
      <c r="AE333" s="117"/>
      <c r="AF333" s="117"/>
      <c r="AG333" s="117"/>
      <c r="AH333" s="117"/>
      <c r="AI333" s="117"/>
      <c r="AJ333" s="117"/>
    </row>
    <row r="334" spans="1:36" ht="24.75" customHeight="1">
      <c r="A334" s="116"/>
      <c r="B334" s="117" t="s">
        <v>1438</v>
      </c>
      <c r="C334" s="117"/>
      <c r="D334" s="117"/>
      <c r="E334" s="117"/>
      <c r="F334" s="118" t="s">
        <v>2999</v>
      </c>
      <c r="G334" s="118"/>
      <c r="H334" s="117" t="s">
        <v>1252</v>
      </c>
      <c r="I334" s="117"/>
      <c r="J334" s="117" t="s">
        <v>279</v>
      </c>
      <c r="K334" s="123" t="s">
        <v>279</v>
      </c>
      <c r="L334" s="117" t="s">
        <v>279</v>
      </c>
      <c r="M334" s="123" t="s">
        <v>279</v>
      </c>
      <c r="N334" s="117" t="s">
        <v>1263</v>
      </c>
      <c r="O334" s="118"/>
      <c r="P334" s="118"/>
      <c r="Q334" s="117"/>
      <c r="R334" s="117"/>
      <c r="S334" s="117"/>
      <c r="T334" s="117"/>
      <c r="U334" s="117"/>
      <c r="V334" s="123">
        <v>64740800</v>
      </c>
      <c r="W334" s="117"/>
      <c r="X334" s="118" t="s">
        <v>3000</v>
      </c>
      <c r="Y334" s="118"/>
      <c r="Z334" s="118" t="s">
        <v>3001</v>
      </c>
      <c r="AA334" s="118" t="s">
        <v>3002</v>
      </c>
      <c r="AB334" s="117"/>
      <c r="AC334" s="117"/>
      <c r="AD334" s="117"/>
      <c r="AE334" s="117"/>
      <c r="AF334" s="117"/>
      <c r="AG334" s="117"/>
      <c r="AH334" s="117"/>
      <c r="AI334" s="117"/>
      <c r="AJ334" s="117"/>
    </row>
    <row r="335" spans="1:36" ht="24.75" customHeight="1">
      <c r="A335" s="116"/>
      <c r="B335" s="117" t="s">
        <v>1438</v>
      </c>
      <c r="C335" s="117"/>
      <c r="D335" s="117"/>
      <c r="E335" s="117" t="s">
        <v>2951</v>
      </c>
      <c r="F335" s="118" t="s">
        <v>3003</v>
      </c>
      <c r="G335" s="118"/>
      <c r="H335" s="117" t="s">
        <v>1252</v>
      </c>
      <c r="I335" s="117"/>
      <c r="J335" s="117" t="s">
        <v>279</v>
      </c>
      <c r="K335" s="123" t="s">
        <v>279</v>
      </c>
      <c r="L335" s="117" t="s">
        <v>279</v>
      </c>
      <c r="M335" s="123" t="s">
        <v>279</v>
      </c>
      <c r="N335" s="117" t="s">
        <v>1263</v>
      </c>
      <c r="O335" s="118" t="s">
        <v>3004</v>
      </c>
      <c r="P335" s="118" t="s">
        <v>1289</v>
      </c>
      <c r="Q335" s="117"/>
      <c r="R335" s="117"/>
      <c r="S335" s="117"/>
      <c r="T335" s="117"/>
      <c r="U335" s="117"/>
      <c r="V335" s="123">
        <v>65325686</v>
      </c>
      <c r="W335" s="117"/>
      <c r="X335" s="118" t="s">
        <v>3005</v>
      </c>
      <c r="Y335" s="118"/>
      <c r="Z335" s="118" t="s">
        <v>3006</v>
      </c>
      <c r="AA335" s="118" t="s">
        <v>3007</v>
      </c>
      <c r="AB335" s="117"/>
      <c r="AC335" s="117"/>
      <c r="AD335" s="117"/>
      <c r="AE335" s="117"/>
      <c r="AF335" s="117"/>
      <c r="AG335" s="117"/>
      <c r="AH335" s="117"/>
      <c r="AI335" s="117"/>
      <c r="AJ335" s="117"/>
    </row>
    <row r="336" spans="1:36" ht="24.75" customHeight="1">
      <c r="A336" s="116"/>
      <c r="B336" s="117" t="s">
        <v>1438</v>
      </c>
      <c r="C336" s="117"/>
      <c r="D336" s="117"/>
      <c r="E336" s="117" t="s">
        <v>1241</v>
      </c>
      <c r="F336" s="118" t="s">
        <v>3008</v>
      </c>
      <c r="G336" s="118"/>
      <c r="H336" s="117" t="s">
        <v>1252</v>
      </c>
      <c r="I336" s="117"/>
      <c r="J336" s="117" t="s">
        <v>279</v>
      </c>
      <c r="K336" s="123" t="s">
        <v>279</v>
      </c>
      <c r="L336" s="117" t="s">
        <v>279</v>
      </c>
      <c r="M336" s="123" t="s">
        <v>279</v>
      </c>
      <c r="N336" s="117" t="s">
        <v>1263</v>
      </c>
      <c r="O336" s="118"/>
      <c r="P336" s="118"/>
      <c r="Q336" s="117"/>
      <c r="R336" s="117"/>
      <c r="S336" s="117"/>
      <c r="T336" s="117"/>
      <c r="U336" s="117"/>
      <c r="V336" s="123">
        <v>67378777</v>
      </c>
      <c r="W336" s="117"/>
      <c r="X336" s="118" t="s">
        <v>3009</v>
      </c>
      <c r="Y336" s="118"/>
      <c r="Z336" s="118" t="s">
        <v>3010</v>
      </c>
      <c r="AA336" s="118" t="s">
        <v>3011</v>
      </c>
      <c r="AB336" s="117"/>
      <c r="AC336" s="117"/>
      <c r="AD336" s="117"/>
      <c r="AE336" s="117"/>
      <c r="AF336" s="117"/>
      <c r="AG336" s="117"/>
      <c r="AH336" s="117"/>
      <c r="AI336" s="117"/>
      <c r="AJ336" s="117"/>
    </row>
    <row r="337" spans="1:36" ht="24.75" customHeight="1">
      <c r="A337" s="116"/>
      <c r="B337" s="117" t="s">
        <v>1438</v>
      </c>
      <c r="C337" s="117"/>
      <c r="D337" s="117"/>
      <c r="E337" s="117" t="s">
        <v>2951</v>
      </c>
      <c r="F337" s="118" t="s">
        <v>3012</v>
      </c>
      <c r="G337" s="118"/>
      <c r="H337" s="117" t="s">
        <v>1252</v>
      </c>
      <c r="I337" s="117"/>
      <c r="J337" s="117" t="s">
        <v>279</v>
      </c>
      <c r="K337" s="123" t="s">
        <v>279</v>
      </c>
      <c r="L337" s="117" t="s">
        <v>279</v>
      </c>
      <c r="M337" s="123" t="s">
        <v>279</v>
      </c>
      <c r="N337" s="117" t="s">
        <v>2931</v>
      </c>
      <c r="O337" s="118" t="s">
        <v>3013</v>
      </c>
      <c r="P337" s="118" t="s">
        <v>1289</v>
      </c>
      <c r="Q337" s="117"/>
      <c r="R337" s="117"/>
      <c r="S337" s="117"/>
      <c r="T337" s="117"/>
      <c r="U337" s="117"/>
      <c r="V337" s="123">
        <v>98972321</v>
      </c>
      <c r="W337" s="117"/>
      <c r="X337" s="118" t="s">
        <v>3014</v>
      </c>
      <c r="Y337" s="118"/>
      <c r="Z337" s="118" t="s">
        <v>3015</v>
      </c>
      <c r="AA337" s="118" t="s">
        <v>3016</v>
      </c>
      <c r="AB337" s="117"/>
      <c r="AC337" s="117"/>
      <c r="AD337" s="117"/>
      <c r="AE337" s="117"/>
      <c r="AF337" s="117"/>
      <c r="AG337" s="117"/>
      <c r="AH337" s="117"/>
      <c r="AI337" s="117"/>
      <c r="AJ337" s="117"/>
    </row>
    <row r="338" spans="1:36" ht="24.75" customHeight="1">
      <c r="A338" s="116"/>
      <c r="B338" s="117" t="s">
        <v>1438</v>
      </c>
      <c r="C338" s="117"/>
      <c r="D338" s="117"/>
      <c r="E338" s="117"/>
      <c r="F338" s="118" t="s">
        <v>3017</v>
      </c>
      <c r="G338" s="118"/>
      <c r="H338" s="117" t="s">
        <v>1252</v>
      </c>
      <c r="I338" s="117"/>
      <c r="J338" s="117" t="s">
        <v>279</v>
      </c>
      <c r="K338" s="123" t="s">
        <v>279</v>
      </c>
      <c r="L338" s="117" t="s">
        <v>279</v>
      </c>
      <c r="M338" s="123" t="s">
        <v>279</v>
      </c>
      <c r="N338" s="117" t="s">
        <v>2931</v>
      </c>
      <c r="O338" s="118"/>
      <c r="P338" s="118"/>
      <c r="Q338" s="117"/>
      <c r="R338" s="117"/>
      <c r="S338" s="117"/>
      <c r="T338" s="117"/>
      <c r="U338" s="117"/>
      <c r="V338" s="123">
        <v>63340255</v>
      </c>
      <c r="W338" s="117"/>
      <c r="X338" s="118" t="s">
        <v>3018</v>
      </c>
      <c r="Y338" s="118"/>
      <c r="Z338" s="118" t="s">
        <v>3019</v>
      </c>
      <c r="AA338" s="118" t="s">
        <v>3020</v>
      </c>
      <c r="AB338" s="117"/>
      <c r="AC338" s="117"/>
      <c r="AD338" s="117"/>
      <c r="AE338" s="117"/>
      <c r="AF338" s="117"/>
      <c r="AG338" s="117"/>
      <c r="AH338" s="117"/>
      <c r="AI338" s="117"/>
      <c r="AJ338" s="117"/>
    </row>
    <row r="339" spans="1:36" ht="24.75" customHeight="1">
      <c r="A339" s="116"/>
      <c r="B339" s="117" t="s">
        <v>2950</v>
      </c>
      <c r="C339" s="117"/>
      <c r="D339" s="117"/>
      <c r="E339" s="117" t="s">
        <v>2951</v>
      </c>
      <c r="F339" s="118" t="s">
        <v>3021</v>
      </c>
      <c r="G339" s="118"/>
      <c r="H339" s="117" t="s">
        <v>1252</v>
      </c>
      <c r="I339" s="117"/>
      <c r="J339" s="117" t="s">
        <v>279</v>
      </c>
      <c r="K339" s="123" t="s">
        <v>279</v>
      </c>
      <c r="L339" s="117" t="s">
        <v>279</v>
      </c>
      <c r="M339" s="123" t="s">
        <v>279</v>
      </c>
      <c r="N339" s="117" t="s">
        <v>3022</v>
      </c>
      <c r="O339" s="118" t="s">
        <v>3023</v>
      </c>
      <c r="P339" s="118" t="s">
        <v>508</v>
      </c>
      <c r="Q339" s="117"/>
      <c r="R339" s="117"/>
      <c r="S339" s="117"/>
      <c r="T339" s="117"/>
      <c r="U339" s="117"/>
      <c r="V339" s="123">
        <v>82426587</v>
      </c>
      <c r="W339" s="117"/>
      <c r="X339" s="118" t="s">
        <v>3024</v>
      </c>
      <c r="Y339" s="118"/>
      <c r="Z339" s="118" t="s">
        <v>2985</v>
      </c>
      <c r="AA339" s="118" t="s">
        <v>3025</v>
      </c>
      <c r="AB339" s="117"/>
      <c r="AC339" s="117"/>
      <c r="AD339" s="117"/>
      <c r="AE339" s="117"/>
      <c r="AF339" s="117"/>
      <c r="AG339" s="117"/>
      <c r="AH339" s="117"/>
      <c r="AI339" s="117"/>
      <c r="AJ339" s="117"/>
    </row>
    <row r="340" spans="1:36" ht="24.75" customHeight="1">
      <c r="A340" s="116"/>
      <c r="B340" s="117" t="s">
        <v>1438</v>
      </c>
      <c r="C340" s="117"/>
      <c r="D340" s="117"/>
      <c r="E340" s="117" t="s">
        <v>1241</v>
      </c>
      <c r="F340" s="118" t="s">
        <v>3026</v>
      </c>
      <c r="G340" s="118"/>
      <c r="H340" s="117" t="s">
        <v>1252</v>
      </c>
      <c r="I340" s="117"/>
      <c r="J340" s="117" t="s">
        <v>3027</v>
      </c>
      <c r="K340" s="123" t="s">
        <v>3028</v>
      </c>
      <c r="L340" s="117" t="s">
        <v>3028</v>
      </c>
      <c r="M340" s="123" t="s">
        <v>3028</v>
      </c>
      <c r="N340" s="117" t="s">
        <v>1263</v>
      </c>
      <c r="O340" s="118" t="s">
        <v>3029</v>
      </c>
      <c r="P340" s="118" t="s">
        <v>3030</v>
      </c>
      <c r="Q340" s="117"/>
      <c r="R340" s="117"/>
      <c r="S340" s="117"/>
      <c r="T340" s="117"/>
      <c r="U340" s="117"/>
      <c r="V340" s="123" t="s">
        <v>3031</v>
      </c>
      <c r="W340" s="117"/>
      <c r="X340" s="118" t="s">
        <v>3032</v>
      </c>
      <c r="Y340" s="118"/>
      <c r="Z340" s="118" t="s">
        <v>3033</v>
      </c>
      <c r="AA340" s="118"/>
      <c r="AB340" s="117"/>
      <c r="AC340" s="117"/>
      <c r="AD340" s="117"/>
      <c r="AE340" s="117"/>
      <c r="AF340" s="117"/>
      <c r="AG340" s="117"/>
      <c r="AH340" s="117"/>
      <c r="AI340" s="117"/>
      <c r="AJ340" s="117"/>
    </row>
    <row r="341" spans="1:36" ht="24.75" customHeight="1">
      <c r="A341" s="116"/>
      <c r="B341" s="117" t="s">
        <v>1438</v>
      </c>
      <c r="C341" s="117"/>
      <c r="D341" s="117"/>
      <c r="E341" s="117" t="s">
        <v>1241</v>
      </c>
      <c r="F341" s="118" t="s">
        <v>3034</v>
      </c>
      <c r="G341" s="118"/>
      <c r="H341" s="117" t="s">
        <v>1252</v>
      </c>
      <c r="I341" s="117"/>
      <c r="J341" s="117" t="s">
        <v>279</v>
      </c>
      <c r="K341" s="123" t="s">
        <v>279</v>
      </c>
      <c r="L341" s="117" t="s">
        <v>279</v>
      </c>
      <c r="M341" s="123" t="s">
        <v>279</v>
      </c>
      <c r="N341" s="117" t="s">
        <v>1585</v>
      </c>
      <c r="O341" s="118"/>
      <c r="P341" s="118"/>
      <c r="Q341" s="117"/>
      <c r="R341" s="117"/>
      <c r="S341" s="117"/>
      <c r="T341" s="117"/>
      <c r="U341" s="117"/>
      <c r="V341" s="123">
        <v>89626608</v>
      </c>
      <c r="W341" s="117"/>
      <c r="X341" s="118" t="s">
        <v>3035</v>
      </c>
      <c r="Y341" s="118"/>
      <c r="Z341" s="118" t="s">
        <v>3036</v>
      </c>
      <c r="AA341" s="118"/>
      <c r="AB341" s="117"/>
      <c r="AC341" s="117"/>
      <c r="AD341" s="117"/>
      <c r="AE341" s="117"/>
      <c r="AF341" s="117"/>
      <c r="AG341" s="117"/>
      <c r="AH341" s="117"/>
      <c r="AI341" s="117"/>
      <c r="AJ341" s="117"/>
    </row>
    <row r="342" spans="1:36" ht="24.75" customHeight="1">
      <c r="A342" s="116"/>
      <c r="B342" s="117" t="s">
        <v>1438</v>
      </c>
      <c r="C342" s="117"/>
      <c r="D342" s="117"/>
      <c r="E342" s="117" t="s">
        <v>1241</v>
      </c>
      <c r="F342" s="118" t="s">
        <v>3037</v>
      </c>
      <c r="G342" s="118"/>
      <c r="H342" s="117" t="s">
        <v>1252</v>
      </c>
      <c r="I342" s="117"/>
      <c r="J342" s="117" t="s">
        <v>279</v>
      </c>
      <c r="K342" s="123" t="s">
        <v>279</v>
      </c>
      <c r="L342" s="117" t="s">
        <v>279</v>
      </c>
      <c r="M342" s="123" t="s">
        <v>279</v>
      </c>
      <c r="N342" s="117" t="s">
        <v>1585</v>
      </c>
      <c r="O342" s="118"/>
      <c r="P342" s="118"/>
      <c r="Q342" s="117"/>
      <c r="R342" s="117"/>
      <c r="S342" s="117"/>
      <c r="T342" s="117"/>
      <c r="U342" s="117"/>
      <c r="V342" s="123">
        <v>69897200</v>
      </c>
      <c r="W342" s="117"/>
      <c r="X342" s="118" t="s">
        <v>3038</v>
      </c>
      <c r="Y342" s="118"/>
      <c r="Z342" s="118" t="s">
        <v>3039</v>
      </c>
      <c r="AA342" s="118" t="s">
        <v>3040</v>
      </c>
      <c r="AB342" s="117"/>
      <c r="AC342" s="117"/>
      <c r="AD342" s="117"/>
      <c r="AE342" s="117"/>
      <c r="AF342" s="117"/>
      <c r="AG342" s="117"/>
      <c r="AH342" s="117"/>
      <c r="AI342" s="117"/>
      <c r="AJ342" s="117"/>
    </row>
    <row r="343" spans="1:36" ht="24.75" customHeight="1">
      <c r="A343" s="116"/>
      <c r="B343" s="117" t="s">
        <v>1438</v>
      </c>
      <c r="C343" s="117"/>
      <c r="D343" s="117"/>
      <c r="E343" s="117"/>
      <c r="F343" s="118" t="s">
        <v>3041</v>
      </c>
      <c r="G343" s="118"/>
      <c r="H343" s="117" t="s">
        <v>1252</v>
      </c>
      <c r="I343" s="117"/>
      <c r="J343" s="117" t="s">
        <v>279</v>
      </c>
      <c r="K343" s="123" t="s">
        <v>279</v>
      </c>
      <c r="L343" s="117" t="s">
        <v>279</v>
      </c>
      <c r="M343" s="123" t="s">
        <v>279</v>
      </c>
      <c r="N343" s="117" t="s">
        <v>2576</v>
      </c>
      <c r="O343" s="118"/>
      <c r="P343" s="118"/>
      <c r="Q343" s="117"/>
      <c r="R343" s="117"/>
      <c r="S343" s="117"/>
      <c r="T343" s="117"/>
      <c r="U343" s="117"/>
      <c r="V343" s="123">
        <v>65934488</v>
      </c>
      <c r="W343" s="117"/>
      <c r="X343" s="118" t="s">
        <v>3042</v>
      </c>
      <c r="Y343" s="118"/>
      <c r="Z343" s="118" t="s">
        <v>3043</v>
      </c>
      <c r="AA343" s="118" t="s">
        <v>3044</v>
      </c>
      <c r="AB343" s="117"/>
      <c r="AC343" s="117"/>
      <c r="AD343" s="117"/>
      <c r="AE343" s="117"/>
      <c r="AF343" s="117"/>
      <c r="AG343" s="117"/>
      <c r="AH343" s="117"/>
      <c r="AI343" s="117"/>
      <c r="AJ343" s="117"/>
    </row>
    <row r="344" spans="1:36" ht="24.75" customHeight="1">
      <c r="A344" s="116"/>
      <c r="B344" s="117" t="s">
        <v>1438</v>
      </c>
      <c r="C344" s="117"/>
      <c r="D344" s="117"/>
      <c r="E344" s="117"/>
      <c r="F344" s="118" t="s">
        <v>3045</v>
      </c>
      <c r="G344" s="118"/>
      <c r="H344" s="117" t="s">
        <v>1252</v>
      </c>
      <c r="I344" s="117"/>
      <c r="J344" s="117" t="s">
        <v>279</v>
      </c>
      <c r="K344" s="123" t="s">
        <v>279</v>
      </c>
      <c r="L344" s="117" t="s">
        <v>279</v>
      </c>
      <c r="M344" s="123" t="s">
        <v>279</v>
      </c>
      <c r="N344" s="117" t="s">
        <v>1263</v>
      </c>
      <c r="O344" s="118"/>
      <c r="P344" s="118"/>
      <c r="Q344" s="117"/>
      <c r="R344" s="117"/>
      <c r="S344" s="117"/>
      <c r="T344" s="117"/>
      <c r="U344" s="117"/>
      <c r="V344" s="123">
        <v>65073900</v>
      </c>
      <c r="W344" s="117"/>
      <c r="X344" s="118" t="s">
        <v>3046</v>
      </c>
      <c r="Y344" s="118"/>
      <c r="Z344" s="118" t="s">
        <v>3047</v>
      </c>
      <c r="AA344" s="118" t="s">
        <v>3048</v>
      </c>
      <c r="AB344" s="117"/>
      <c r="AC344" s="117"/>
      <c r="AD344" s="117"/>
      <c r="AE344" s="117"/>
      <c r="AF344" s="117"/>
      <c r="AG344" s="117"/>
      <c r="AH344" s="117"/>
      <c r="AI344" s="117"/>
      <c r="AJ344" s="117"/>
    </row>
    <row r="345" spans="1:36" ht="24.75" customHeight="1">
      <c r="A345" s="116"/>
      <c r="B345" s="117" t="s">
        <v>1438</v>
      </c>
      <c r="C345" s="117"/>
      <c r="D345" s="117"/>
      <c r="E345" s="117" t="s">
        <v>1241</v>
      </c>
      <c r="F345" s="118" t="s">
        <v>3049</v>
      </c>
      <c r="G345" s="118"/>
      <c r="H345" s="117" t="s">
        <v>1252</v>
      </c>
      <c r="I345" s="117"/>
      <c r="J345" s="117"/>
      <c r="K345" s="123"/>
      <c r="L345" s="117"/>
      <c r="M345" s="123"/>
      <c r="N345" s="117" t="s">
        <v>3050</v>
      </c>
      <c r="O345" s="118" t="s">
        <v>3051</v>
      </c>
      <c r="P345" s="118" t="s">
        <v>3052</v>
      </c>
      <c r="Q345" s="117"/>
      <c r="R345" s="117"/>
      <c r="S345" s="117"/>
      <c r="T345" s="117"/>
      <c r="U345" s="117"/>
      <c r="V345" s="123"/>
      <c r="W345" s="117"/>
      <c r="X345" s="118" t="s">
        <v>3053</v>
      </c>
      <c r="Y345" s="118"/>
      <c r="Z345" s="118" t="s">
        <v>3054</v>
      </c>
      <c r="AA345" s="118"/>
      <c r="AB345" s="117"/>
      <c r="AC345" s="117"/>
      <c r="AD345" s="117"/>
      <c r="AE345" s="117"/>
      <c r="AF345" s="117"/>
      <c r="AG345" s="117"/>
      <c r="AH345" s="117"/>
      <c r="AI345" s="117"/>
      <c r="AJ345" s="117"/>
    </row>
    <row r="346" spans="1:36" ht="24.75" customHeight="1">
      <c r="A346" s="116"/>
      <c r="B346" s="117" t="s">
        <v>1438</v>
      </c>
      <c r="C346" s="117"/>
      <c r="D346" s="117"/>
      <c r="E346" s="117" t="s">
        <v>1241</v>
      </c>
      <c r="F346" s="118" t="s">
        <v>3055</v>
      </c>
      <c r="G346" s="118"/>
      <c r="H346" s="117" t="s">
        <v>1252</v>
      </c>
      <c r="I346" s="117"/>
      <c r="J346" s="117" t="s">
        <v>279</v>
      </c>
      <c r="K346" s="123" t="s">
        <v>3056</v>
      </c>
      <c r="L346" s="117" t="s">
        <v>279</v>
      </c>
      <c r="M346" s="123" t="s">
        <v>279</v>
      </c>
      <c r="N346" s="117" t="s">
        <v>1585</v>
      </c>
      <c r="O346" s="118" t="s">
        <v>3057</v>
      </c>
      <c r="P346" s="118"/>
      <c r="Q346" s="117"/>
      <c r="R346" s="117"/>
      <c r="S346" s="117"/>
      <c r="T346" s="117"/>
      <c r="U346" s="117"/>
      <c r="V346" s="123" t="s">
        <v>3058</v>
      </c>
      <c r="W346" s="117"/>
      <c r="X346" s="118" t="s">
        <v>3059</v>
      </c>
      <c r="Y346" s="118"/>
      <c r="Z346" s="118" t="s">
        <v>3039</v>
      </c>
      <c r="AA346" s="118"/>
      <c r="AB346" s="117"/>
      <c r="AC346" s="117"/>
      <c r="AD346" s="117"/>
      <c r="AE346" s="117"/>
      <c r="AF346" s="117"/>
      <c r="AG346" s="117"/>
      <c r="AH346" s="117"/>
      <c r="AI346" s="117"/>
      <c r="AJ346" s="117"/>
    </row>
    <row r="347" spans="1:36" ht="24.75" customHeight="1">
      <c r="A347" s="116"/>
      <c r="B347" s="117" t="s">
        <v>1438</v>
      </c>
      <c r="C347" s="117"/>
      <c r="D347" s="117"/>
      <c r="E347" s="117" t="s">
        <v>3060</v>
      </c>
      <c r="F347" s="118" t="s">
        <v>3061</v>
      </c>
      <c r="G347" s="118"/>
      <c r="H347" s="117" t="s">
        <v>1252</v>
      </c>
      <c r="I347" s="117"/>
      <c r="J347" s="117" t="s">
        <v>279</v>
      </c>
      <c r="K347" s="123" t="s">
        <v>279</v>
      </c>
      <c r="L347" s="117" t="s">
        <v>279</v>
      </c>
      <c r="M347" s="123" t="s">
        <v>279</v>
      </c>
      <c r="N347" s="117" t="s">
        <v>2931</v>
      </c>
      <c r="O347" s="118"/>
      <c r="P347" s="118"/>
      <c r="Q347" s="117"/>
      <c r="R347" s="117"/>
      <c r="S347" s="117"/>
      <c r="T347" s="117"/>
      <c r="U347" s="117"/>
      <c r="V347" s="123">
        <v>63232886</v>
      </c>
      <c r="W347" s="117"/>
      <c r="X347" s="118" t="s">
        <v>3062</v>
      </c>
      <c r="Y347" s="118"/>
      <c r="Z347" s="118" t="s">
        <v>3063</v>
      </c>
      <c r="AA347" s="118" t="s">
        <v>3064</v>
      </c>
      <c r="AB347" s="117"/>
      <c r="AC347" s="117"/>
      <c r="AD347" s="117"/>
      <c r="AE347" s="117"/>
      <c r="AF347" s="117"/>
      <c r="AG347" s="117"/>
      <c r="AH347" s="117"/>
      <c r="AI347" s="117"/>
      <c r="AJ347" s="117"/>
    </row>
    <row r="348" spans="1:36" ht="24.75" customHeight="1">
      <c r="A348" s="116"/>
      <c r="B348" s="117" t="s">
        <v>1438</v>
      </c>
      <c r="C348" s="117"/>
      <c r="D348" s="117"/>
      <c r="E348" s="117" t="s">
        <v>2951</v>
      </c>
      <c r="F348" s="118" t="s">
        <v>3065</v>
      </c>
      <c r="G348" s="118"/>
      <c r="H348" s="117" t="s">
        <v>1252</v>
      </c>
      <c r="I348" s="117"/>
      <c r="J348" s="117" t="s">
        <v>279</v>
      </c>
      <c r="K348" s="123" t="s">
        <v>279</v>
      </c>
      <c r="L348" s="117" t="s">
        <v>279</v>
      </c>
      <c r="M348" s="123" t="s">
        <v>279</v>
      </c>
      <c r="N348" s="117" t="s">
        <v>3066</v>
      </c>
      <c r="O348" s="118" t="s">
        <v>3067</v>
      </c>
      <c r="P348" s="118" t="s">
        <v>508</v>
      </c>
      <c r="Q348" s="117"/>
      <c r="R348" s="117"/>
      <c r="S348" s="117"/>
      <c r="T348" s="117"/>
      <c r="U348" s="117"/>
      <c r="V348" s="123">
        <v>88052528</v>
      </c>
      <c r="W348" s="117"/>
      <c r="X348" s="118" t="s">
        <v>3068</v>
      </c>
      <c r="Y348" s="118"/>
      <c r="Z348" s="118" t="s">
        <v>3069</v>
      </c>
      <c r="AA348" s="118" t="s">
        <v>3070</v>
      </c>
      <c r="AB348" s="117"/>
      <c r="AC348" s="117"/>
      <c r="AD348" s="117"/>
      <c r="AE348" s="117"/>
      <c r="AF348" s="117"/>
      <c r="AG348" s="117"/>
      <c r="AH348" s="117"/>
      <c r="AI348" s="117"/>
      <c r="AJ348" s="117"/>
    </row>
    <row r="349" spans="1:36" ht="24.75" customHeight="1">
      <c r="A349" s="116"/>
      <c r="B349" s="117" t="s">
        <v>1438</v>
      </c>
      <c r="C349" s="117"/>
      <c r="D349" s="117"/>
      <c r="E349" s="117" t="s">
        <v>2951</v>
      </c>
      <c r="F349" s="118" t="s">
        <v>3071</v>
      </c>
      <c r="G349" s="118"/>
      <c r="H349" s="117" t="s">
        <v>1252</v>
      </c>
      <c r="I349" s="117"/>
      <c r="J349" s="117" t="s">
        <v>1946</v>
      </c>
      <c r="K349" s="123" t="s">
        <v>1946</v>
      </c>
      <c r="L349" s="117" t="s">
        <v>1946</v>
      </c>
      <c r="M349" s="123" t="s">
        <v>3072</v>
      </c>
      <c r="N349" s="117" t="s">
        <v>1263</v>
      </c>
      <c r="O349" s="118"/>
      <c r="P349" s="118"/>
      <c r="Q349" s="117"/>
      <c r="R349" s="117"/>
      <c r="S349" s="117"/>
      <c r="T349" s="117"/>
      <c r="U349" s="117"/>
      <c r="V349" s="123"/>
      <c r="W349" s="117"/>
      <c r="X349" s="118"/>
      <c r="Y349" s="118"/>
      <c r="Z349" s="118" t="s">
        <v>3015</v>
      </c>
      <c r="AA349" s="118"/>
      <c r="AB349" s="117"/>
      <c r="AC349" s="117"/>
      <c r="AD349" s="117"/>
      <c r="AE349" s="117"/>
      <c r="AF349" s="117"/>
      <c r="AG349" s="117"/>
      <c r="AH349" s="117"/>
      <c r="AI349" s="117"/>
      <c r="AJ349" s="117"/>
    </row>
    <row r="350" spans="1:36" ht="24.75" customHeight="1">
      <c r="A350" s="116"/>
      <c r="B350" s="117" t="s">
        <v>1438</v>
      </c>
      <c r="C350" s="117"/>
      <c r="D350" s="117"/>
      <c r="E350" s="117"/>
      <c r="F350" s="118" t="s">
        <v>3073</v>
      </c>
      <c r="G350" s="118"/>
      <c r="H350" s="117" t="s">
        <v>1252</v>
      </c>
      <c r="I350" s="117"/>
      <c r="J350" s="117" t="s">
        <v>279</v>
      </c>
      <c r="K350" s="123" t="s">
        <v>2147</v>
      </c>
      <c r="L350" s="117" t="s">
        <v>279</v>
      </c>
      <c r="M350" s="123" t="s">
        <v>279</v>
      </c>
      <c r="N350" s="117"/>
      <c r="O350" s="118"/>
      <c r="P350" s="118"/>
      <c r="Q350" s="117"/>
      <c r="R350" s="117"/>
      <c r="S350" s="117"/>
      <c r="T350" s="117"/>
      <c r="U350" s="117"/>
      <c r="V350" s="123">
        <v>60383939</v>
      </c>
      <c r="W350" s="117"/>
      <c r="X350" s="118" t="s">
        <v>3074</v>
      </c>
      <c r="Y350" s="118"/>
      <c r="Z350" s="118" t="s">
        <v>3075</v>
      </c>
      <c r="AA350" s="118" t="s">
        <v>3076</v>
      </c>
      <c r="AB350" s="117"/>
      <c r="AC350" s="117"/>
      <c r="AD350" s="117"/>
      <c r="AE350" s="117"/>
      <c r="AF350" s="117"/>
      <c r="AG350" s="117"/>
      <c r="AH350" s="117"/>
      <c r="AI350" s="117"/>
      <c r="AJ350" s="117"/>
    </row>
    <row r="351" spans="1:36" ht="24.75" customHeight="1">
      <c r="A351" s="116"/>
      <c r="B351" s="117" t="s">
        <v>1438</v>
      </c>
      <c r="C351" s="117"/>
      <c r="D351" s="117"/>
      <c r="E351" s="117"/>
      <c r="F351" s="118" t="s">
        <v>3077</v>
      </c>
      <c r="G351" s="118"/>
      <c r="H351" s="117" t="s">
        <v>1252</v>
      </c>
      <c r="I351" s="117"/>
      <c r="J351" s="117" t="s">
        <v>279</v>
      </c>
      <c r="K351" s="123" t="s">
        <v>2147</v>
      </c>
      <c r="L351" s="117" t="s">
        <v>279</v>
      </c>
      <c r="M351" s="123" t="s">
        <v>279</v>
      </c>
      <c r="N351" s="117"/>
      <c r="O351" s="118"/>
      <c r="P351" s="118"/>
      <c r="Q351" s="117"/>
      <c r="R351" s="117"/>
      <c r="S351" s="117"/>
      <c r="T351" s="117"/>
      <c r="U351" s="117"/>
      <c r="V351" s="123">
        <v>63461959</v>
      </c>
      <c r="W351" s="117"/>
      <c r="X351" s="118" t="s">
        <v>3078</v>
      </c>
      <c r="Y351" s="118"/>
      <c r="Z351" s="118" t="s">
        <v>3079</v>
      </c>
      <c r="AA351" s="118" t="s">
        <v>3080</v>
      </c>
      <c r="AB351" s="117"/>
      <c r="AC351" s="117"/>
      <c r="AD351" s="117"/>
      <c r="AE351" s="117"/>
      <c r="AF351" s="117"/>
      <c r="AG351" s="117"/>
      <c r="AH351" s="117"/>
      <c r="AI351" s="117"/>
      <c r="AJ351" s="117"/>
    </row>
    <row r="352" spans="1:36" ht="24.75" customHeight="1">
      <c r="A352" s="116"/>
      <c r="B352" s="117" t="s">
        <v>1438</v>
      </c>
      <c r="C352" s="117"/>
      <c r="D352" s="117"/>
      <c r="E352" s="117"/>
      <c r="F352" s="118" t="s">
        <v>3081</v>
      </c>
      <c r="G352" s="118"/>
      <c r="H352" s="117" t="s">
        <v>1252</v>
      </c>
      <c r="I352" s="117"/>
      <c r="J352" s="117" t="s">
        <v>279</v>
      </c>
      <c r="K352" s="123" t="s">
        <v>2147</v>
      </c>
      <c r="L352" s="117" t="s">
        <v>279</v>
      </c>
      <c r="M352" s="123" t="s">
        <v>279</v>
      </c>
      <c r="N352" s="117"/>
      <c r="O352" s="118"/>
      <c r="P352" s="118"/>
      <c r="Q352" s="117"/>
      <c r="R352" s="117"/>
      <c r="S352" s="117"/>
      <c r="T352" s="117"/>
      <c r="U352" s="117"/>
      <c r="V352" s="123">
        <v>63461959</v>
      </c>
      <c r="W352" s="117"/>
      <c r="X352" s="118" t="s">
        <v>3078</v>
      </c>
      <c r="Y352" s="118"/>
      <c r="Z352" s="118" t="s">
        <v>3082</v>
      </c>
      <c r="AA352" s="118" t="s">
        <v>3083</v>
      </c>
      <c r="AB352" s="117"/>
      <c r="AC352" s="117"/>
      <c r="AD352" s="117"/>
      <c r="AE352" s="117"/>
      <c r="AF352" s="117"/>
      <c r="AG352" s="117"/>
      <c r="AH352" s="117"/>
      <c r="AI352" s="117"/>
      <c r="AJ352" s="117"/>
    </row>
    <row r="353" spans="1:36" ht="24.75" customHeight="1">
      <c r="A353" s="116"/>
      <c r="B353" s="117" t="s">
        <v>1438</v>
      </c>
      <c r="C353" s="117"/>
      <c r="D353" s="117"/>
      <c r="E353" s="117"/>
      <c r="F353" s="118" t="s">
        <v>3084</v>
      </c>
      <c r="G353" s="118"/>
      <c r="H353" s="117" t="s">
        <v>1252</v>
      </c>
      <c r="I353" s="117"/>
      <c r="J353" s="117" t="s">
        <v>279</v>
      </c>
      <c r="K353" s="123" t="s">
        <v>2147</v>
      </c>
      <c r="L353" s="117" t="s">
        <v>279</v>
      </c>
      <c r="M353" s="123" t="s">
        <v>279</v>
      </c>
      <c r="N353" s="117"/>
      <c r="O353" s="118"/>
      <c r="P353" s="118"/>
      <c r="Q353" s="117"/>
      <c r="R353" s="117"/>
      <c r="S353" s="117"/>
      <c r="T353" s="117"/>
      <c r="U353" s="117"/>
      <c r="V353" s="123">
        <v>63368111</v>
      </c>
      <c r="W353" s="117"/>
      <c r="X353" s="118" t="s">
        <v>3085</v>
      </c>
      <c r="Y353" s="118"/>
      <c r="Z353" s="118" t="s">
        <v>3086</v>
      </c>
      <c r="AA353" s="118" t="s">
        <v>3087</v>
      </c>
      <c r="AB353" s="117"/>
      <c r="AC353" s="117"/>
      <c r="AD353" s="117"/>
      <c r="AE353" s="117"/>
      <c r="AF353" s="117"/>
      <c r="AG353" s="117"/>
      <c r="AH353" s="117"/>
      <c r="AI353" s="117"/>
      <c r="AJ353" s="117"/>
    </row>
    <row r="354" spans="1:36" ht="24.75" customHeight="1">
      <c r="A354" s="116"/>
      <c r="B354" s="117" t="s">
        <v>1438</v>
      </c>
      <c r="C354" s="117"/>
      <c r="D354" s="117"/>
      <c r="E354" s="117"/>
      <c r="F354" s="118" t="s">
        <v>3088</v>
      </c>
      <c r="G354" s="118"/>
      <c r="H354" s="117" t="s">
        <v>1252</v>
      </c>
      <c r="I354" s="117"/>
      <c r="J354" s="117" t="s">
        <v>279</v>
      </c>
      <c r="K354" s="123" t="s">
        <v>2147</v>
      </c>
      <c r="L354" s="117" t="s">
        <v>279</v>
      </c>
      <c r="M354" s="123" t="s">
        <v>279</v>
      </c>
      <c r="N354" s="117"/>
      <c r="O354" s="118"/>
      <c r="P354" s="118"/>
      <c r="Q354" s="117"/>
      <c r="R354" s="117"/>
      <c r="S354" s="117"/>
      <c r="T354" s="117"/>
      <c r="U354" s="117"/>
      <c r="V354" s="123">
        <v>67237001</v>
      </c>
      <c r="W354" s="117"/>
      <c r="X354" s="118" t="s">
        <v>3089</v>
      </c>
      <c r="Y354" s="118"/>
      <c r="Z354" s="118" t="s">
        <v>3090</v>
      </c>
      <c r="AA354" s="118" t="s">
        <v>3091</v>
      </c>
      <c r="AB354" s="117"/>
      <c r="AC354" s="117"/>
      <c r="AD354" s="117"/>
      <c r="AE354" s="117"/>
      <c r="AF354" s="117"/>
      <c r="AG354" s="117"/>
      <c r="AH354" s="117"/>
      <c r="AI354" s="117"/>
      <c r="AJ354" s="117"/>
    </row>
    <row r="355" spans="1:36" ht="24.75" customHeight="1">
      <c r="A355" s="116"/>
      <c r="B355" s="117" t="s">
        <v>1438</v>
      </c>
      <c r="C355" s="117"/>
      <c r="D355" s="117"/>
      <c r="E355" s="117"/>
      <c r="F355" s="118" t="s">
        <v>3092</v>
      </c>
      <c r="G355" s="118"/>
      <c r="H355" s="117" t="s">
        <v>1252</v>
      </c>
      <c r="I355" s="117"/>
      <c r="J355" s="117" t="s">
        <v>279</v>
      </c>
      <c r="K355" s="123" t="s">
        <v>2147</v>
      </c>
      <c r="L355" s="117" t="s">
        <v>279</v>
      </c>
      <c r="M355" s="123" t="s">
        <v>279</v>
      </c>
      <c r="N355" s="117"/>
      <c r="O355" s="118"/>
      <c r="P355" s="118"/>
      <c r="Q355" s="117"/>
      <c r="R355" s="117"/>
      <c r="S355" s="117"/>
      <c r="T355" s="117"/>
      <c r="U355" s="117"/>
      <c r="V355" s="123">
        <v>67220800</v>
      </c>
      <c r="W355" s="117"/>
      <c r="X355" s="118" t="s">
        <v>3093</v>
      </c>
      <c r="Y355" s="118"/>
      <c r="Z355" s="118" t="s">
        <v>3094</v>
      </c>
      <c r="AA355" s="118" t="s">
        <v>3095</v>
      </c>
      <c r="AB355" s="117"/>
      <c r="AC355" s="117"/>
      <c r="AD355" s="117"/>
      <c r="AE355" s="117"/>
      <c r="AF355" s="117"/>
      <c r="AG355" s="117"/>
      <c r="AH355" s="117"/>
      <c r="AI355" s="117"/>
      <c r="AJ355" s="117"/>
    </row>
    <row r="356" spans="1:36" ht="24.75" customHeight="1">
      <c r="A356" s="116"/>
      <c r="B356" s="117" t="s">
        <v>1438</v>
      </c>
      <c r="C356" s="117"/>
      <c r="D356" s="117"/>
      <c r="E356" s="117"/>
      <c r="F356" s="118" t="s">
        <v>3096</v>
      </c>
      <c r="G356" s="118"/>
      <c r="H356" s="117" t="s">
        <v>1252</v>
      </c>
      <c r="I356" s="117"/>
      <c r="J356" s="117" t="s">
        <v>279</v>
      </c>
      <c r="K356" s="123" t="s">
        <v>2147</v>
      </c>
      <c r="L356" s="117" t="s">
        <v>279</v>
      </c>
      <c r="M356" s="123" t="s">
        <v>279</v>
      </c>
      <c r="N356" s="117"/>
      <c r="O356" s="118"/>
      <c r="P356" s="118"/>
      <c r="Q356" s="117"/>
      <c r="R356" s="117"/>
      <c r="S356" s="117"/>
      <c r="T356" s="117"/>
      <c r="U356" s="117"/>
      <c r="V356" s="123">
        <v>62286388</v>
      </c>
      <c r="W356" s="117"/>
      <c r="X356" s="118" t="s">
        <v>3097</v>
      </c>
      <c r="Y356" s="118"/>
      <c r="Z356" s="118" t="s">
        <v>3098</v>
      </c>
      <c r="AA356" s="118" t="s">
        <v>3099</v>
      </c>
      <c r="AB356" s="117"/>
      <c r="AC356" s="117"/>
      <c r="AD356" s="117"/>
      <c r="AE356" s="117"/>
      <c r="AF356" s="117"/>
      <c r="AG356" s="117"/>
      <c r="AH356" s="117"/>
      <c r="AI356" s="117"/>
      <c r="AJ356" s="117"/>
    </row>
    <row r="357" spans="1:36" ht="24.75" customHeight="1">
      <c r="A357" s="116"/>
      <c r="B357" s="117" t="s">
        <v>1438</v>
      </c>
      <c r="C357" s="117"/>
      <c r="D357" s="117"/>
      <c r="E357" s="117"/>
      <c r="F357" s="118" t="s">
        <v>3100</v>
      </c>
      <c r="G357" s="118"/>
      <c r="H357" s="117" t="s">
        <v>1252</v>
      </c>
      <c r="I357" s="117"/>
      <c r="J357" s="117" t="s">
        <v>279</v>
      </c>
      <c r="K357" s="123" t="s">
        <v>2147</v>
      </c>
      <c r="L357" s="117" t="s">
        <v>279</v>
      </c>
      <c r="M357" s="123" t="s">
        <v>279</v>
      </c>
      <c r="N357" s="117"/>
      <c r="O357" s="118"/>
      <c r="P357" s="118"/>
      <c r="Q357" s="117"/>
      <c r="R357" s="117"/>
      <c r="S357" s="117"/>
      <c r="T357" s="117"/>
      <c r="U357" s="117"/>
      <c r="V357" s="123">
        <v>63338898</v>
      </c>
      <c r="W357" s="117"/>
      <c r="X357" s="118" t="s">
        <v>3101</v>
      </c>
      <c r="Y357" s="118"/>
      <c r="Z357" s="118" t="s">
        <v>3102</v>
      </c>
      <c r="AA357" s="118" t="s">
        <v>3103</v>
      </c>
      <c r="AB357" s="117"/>
      <c r="AC357" s="117"/>
      <c r="AD357" s="117"/>
      <c r="AE357" s="117"/>
      <c r="AF357" s="117"/>
      <c r="AG357" s="117"/>
      <c r="AH357" s="117"/>
      <c r="AI357" s="117"/>
      <c r="AJ357" s="117"/>
    </row>
    <row r="358" spans="1:36" ht="24.75" customHeight="1">
      <c r="A358" s="116"/>
      <c r="B358" s="117" t="s">
        <v>1438</v>
      </c>
      <c r="C358" s="117"/>
      <c r="D358" s="117"/>
      <c r="E358" s="117"/>
      <c r="F358" s="118" t="s">
        <v>3104</v>
      </c>
      <c r="G358" s="118"/>
      <c r="H358" s="117" t="s">
        <v>1252</v>
      </c>
      <c r="I358" s="117"/>
      <c r="J358" s="117" t="s">
        <v>279</v>
      </c>
      <c r="K358" s="123" t="s">
        <v>2147</v>
      </c>
      <c r="L358" s="117" t="s">
        <v>279</v>
      </c>
      <c r="M358" s="123" t="s">
        <v>279</v>
      </c>
      <c r="N358" s="117"/>
      <c r="O358" s="118"/>
      <c r="P358" s="118"/>
      <c r="Q358" s="117"/>
      <c r="R358" s="117"/>
      <c r="S358" s="117"/>
      <c r="T358" s="117"/>
      <c r="U358" s="117"/>
      <c r="V358" s="123">
        <v>68451000</v>
      </c>
      <c r="W358" s="117"/>
      <c r="X358" s="118" t="s">
        <v>3105</v>
      </c>
      <c r="Y358" s="118"/>
      <c r="Z358" s="118" t="s">
        <v>3106</v>
      </c>
      <c r="AA358" s="118" t="s">
        <v>3107</v>
      </c>
      <c r="AB358" s="117"/>
      <c r="AC358" s="117"/>
      <c r="AD358" s="117"/>
      <c r="AE358" s="117"/>
      <c r="AF358" s="117"/>
      <c r="AG358" s="117"/>
      <c r="AH358" s="117"/>
      <c r="AI358" s="117"/>
      <c r="AJ358" s="117"/>
    </row>
    <row r="359" spans="1:36" ht="24.75" customHeight="1">
      <c r="A359" s="116"/>
      <c r="B359" s="117" t="s">
        <v>1438</v>
      </c>
      <c r="C359" s="117"/>
      <c r="D359" s="117"/>
      <c r="E359" s="117"/>
      <c r="F359" s="118" t="s">
        <v>3108</v>
      </c>
      <c r="G359" s="118"/>
      <c r="H359" s="117" t="s">
        <v>1252</v>
      </c>
      <c r="I359" s="117"/>
      <c r="J359" s="117" t="s">
        <v>279</v>
      </c>
      <c r="K359" s="123" t="s">
        <v>2147</v>
      </c>
      <c r="L359" s="117" t="s">
        <v>279</v>
      </c>
      <c r="M359" s="123" t="s">
        <v>279</v>
      </c>
      <c r="N359" s="117"/>
      <c r="O359" s="118"/>
      <c r="P359" s="118"/>
      <c r="Q359" s="117"/>
      <c r="R359" s="117"/>
      <c r="S359" s="117"/>
      <c r="T359" s="117"/>
      <c r="U359" s="117"/>
      <c r="V359" s="123">
        <v>68668000</v>
      </c>
      <c r="W359" s="117"/>
      <c r="X359" s="118" t="s">
        <v>3109</v>
      </c>
      <c r="Y359" s="118"/>
      <c r="Z359" s="118" t="s">
        <v>3110</v>
      </c>
      <c r="AA359" s="118" t="s">
        <v>3111</v>
      </c>
      <c r="AB359" s="117"/>
      <c r="AC359" s="117"/>
      <c r="AD359" s="117"/>
      <c r="AE359" s="117"/>
      <c r="AF359" s="117"/>
      <c r="AG359" s="117"/>
      <c r="AH359" s="117"/>
      <c r="AI359" s="117"/>
      <c r="AJ359" s="117"/>
    </row>
    <row r="360" spans="1:36" ht="24.75" customHeight="1">
      <c r="A360" s="116"/>
      <c r="B360" s="117" t="s">
        <v>2950</v>
      </c>
      <c r="C360" s="117"/>
      <c r="D360" s="117"/>
      <c r="E360" s="117"/>
      <c r="F360" s="118" t="s">
        <v>3112</v>
      </c>
      <c r="G360" s="118"/>
      <c r="H360" s="117" t="s">
        <v>1252</v>
      </c>
      <c r="I360" s="117"/>
      <c r="J360" s="117" t="s">
        <v>279</v>
      </c>
      <c r="K360" s="123" t="s">
        <v>2147</v>
      </c>
      <c r="L360" s="117" t="s">
        <v>279</v>
      </c>
      <c r="M360" s="123" t="s">
        <v>279</v>
      </c>
      <c r="N360" s="117"/>
      <c r="O360" s="118"/>
      <c r="P360" s="118"/>
      <c r="Q360" s="117"/>
      <c r="R360" s="117"/>
      <c r="S360" s="117"/>
      <c r="T360" s="117"/>
      <c r="U360" s="117"/>
      <c r="V360" s="123">
        <v>63388333</v>
      </c>
      <c r="W360" s="117"/>
      <c r="X360" s="118" t="s">
        <v>3113</v>
      </c>
      <c r="Y360" s="118"/>
      <c r="Z360" s="118" t="s">
        <v>3114</v>
      </c>
      <c r="AA360" s="118" t="s">
        <v>3115</v>
      </c>
      <c r="AB360" s="117"/>
      <c r="AC360" s="117"/>
      <c r="AD360" s="117"/>
      <c r="AE360" s="117"/>
      <c r="AF360" s="117"/>
      <c r="AG360" s="117"/>
      <c r="AH360" s="117"/>
      <c r="AI360" s="117"/>
      <c r="AJ360" s="117"/>
    </row>
    <row r="361" spans="1:36" ht="24.75" customHeight="1">
      <c r="A361" s="116"/>
      <c r="B361" s="117" t="s">
        <v>1438</v>
      </c>
      <c r="C361" s="117"/>
      <c r="D361" s="117"/>
      <c r="E361" s="117"/>
      <c r="F361" s="118" t="s">
        <v>3116</v>
      </c>
      <c r="G361" s="118"/>
      <c r="H361" s="117" t="s">
        <v>1252</v>
      </c>
      <c r="I361" s="117"/>
      <c r="J361" s="117" t="s">
        <v>279</v>
      </c>
      <c r="K361" s="123" t="s">
        <v>2147</v>
      </c>
      <c r="L361" s="117" t="s">
        <v>279</v>
      </c>
      <c r="M361" s="123" t="s">
        <v>279</v>
      </c>
      <c r="N361" s="117"/>
      <c r="O361" s="118" t="s">
        <v>3117</v>
      </c>
      <c r="P361" s="118" t="s">
        <v>3118</v>
      </c>
      <c r="Q361" s="117"/>
      <c r="R361" s="117"/>
      <c r="S361" s="117"/>
      <c r="T361" s="117"/>
      <c r="U361" s="117"/>
      <c r="V361" s="123">
        <v>69339833</v>
      </c>
      <c r="W361" s="117"/>
      <c r="X361" s="118" t="s">
        <v>3119</v>
      </c>
      <c r="Y361" s="118"/>
      <c r="Z361" s="118" t="s">
        <v>3120</v>
      </c>
      <c r="AA361" s="118" t="s">
        <v>3121</v>
      </c>
      <c r="AB361" s="117"/>
      <c r="AC361" s="117"/>
      <c r="AD361" s="117"/>
      <c r="AE361" s="117"/>
      <c r="AF361" s="117"/>
      <c r="AG361" s="117"/>
      <c r="AH361" s="117"/>
      <c r="AI361" s="117"/>
      <c r="AJ361" s="117"/>
    </row>
    <row r="362" spans="1:36" ht="24.75" customHeight="1">
      <c r="A362" s="116"/>
      <c r="B362" s="117" t="s">
        <v>526</v>
      </c>
      <c r="C362" s="117"/>
      <c r="D362" s="117"/>
      <c r="E362" s="117"/>
      <c r="F362" s="118" t="s">
        <v>3122</v>
      </c>
      <c r="G362" s="118"/>
      <c r="H362" s="117" t="s">
        <v>1252</v>
      </c>
      <c r="I362" s="117"/>
      <c r="J362" s="117" t="s">
        <v>279</v>
      </c>
      <c r="K362" s="123" t="s">
        <v>2147</v>
      </c>
      <c r="L362" s="117" t="s">
        <v>279</v>
      </c>
      <c r="M362" s="123" t="s">
        <v>279</v>
      </c>
      <c r="N362" s="117"/>
      <c r="O362" s="118"/>
      <c r="P362" s="118"/>
      <c r="Q362" s="117"/>
      <c r="R362" s="117"/>
      <c r="S362" s="117"/>
      <c r="T362" s="117"/>
      <c r="U362" s="117"/>
      <c r="V362" s="123">
        <v>63372288</v>
      </c>
      <c r="W362" s="117"/>
      <c r="X362" s="118" t="s">
        <v>3123</v>
      </c>
      <c r="Y362" s="118"/>
      <c r="Z362" s="118" t="s">
        <v>3124</v>
      </c>
      <c r="AA362" s="118" t="s">
        <v>3125</v>
      </c>
      <c r="AB362" s="117"/>
      <c r="AC362" s="117"/>
      <c r="AD362" s="117"/>
      <c r="AE362" s="117"/>
      <c r="AF362" s="117"/>
      <c r="AG362" s="117"/>
      <c r="AH362" s="117"/>
      <c r="AI362" s="117"/>
      <c r="AJ362" s="117"/>
    </row>
    <row r="363" spans="1:36" ht="24.75" customHeight="1">
      <c r="A363" s="116"/>
      <c r="B363" s="117" t="s">
        <v>2950</v>
      </c>
      <c r="C363" s="117"/>
      <c r="D363" s="117"/>
      <c r="E363" s="117"/>
      <c r="F363" s="118" t="s">
        <v>3126</v>
      </c>
      <c r="G363" s="118"/>
      <c r="H363" s="117" t="s">
        <v>1252</v>
      </c>
      <c r="I363" s="117"/>
      <c r="J363" s="117" t="s">
        <v>279</v>
      </c>
      <c r="K363" s="123" t="s">
        <v>2147</v>
      </c>
      <c r="L363" s="117" t="s">
        <v>279</v>
      </c>
      <c r="M363" s="123" t="s">
        <v>279</v>
      </c>
      <c r="N363" s="117"/>
      <c r="O363" s="118" t="s">
        <v>3127</v>
      </c>
      <c r="P363" s="118" t="s">
        <v>3128</v>
      </c>
      <c r="Q363" s="117"/>
      <c r="R363" s="117"/>
      <c r="S363" s="117"/>
      <c r="T363" s="117"/>
      <c r="U363" s="117"/>
      <c r="V363" s="123">
        <v>96884265</v>
      </c>
      <c r="W363" s="117"/>
      <c r="X363" s="118" t="s">
        <v>3129</v>
      </c>
      <c r="Y363" s="118"/>
      <c r="Z363" s="118" t="s">
        <v>3130</v>
      </c>
      <c r="AA363" s="118" t="s">
        <v>3131</v>
      </c>
      <c r="AB363" s="117"/>
      <c r="AC363" s="117"/>
      <c r="AD363" s="117"/>
      <c r="AE363" s="117"/>
      <c r="AF363" s="117"/>
      <c r="AG363" s="117"/>
      <c r="AH363" s="117"/>
      <c r="AI363" s="117"/>
      <c r="AJ363" s="117"/>
    </row>
    <row r="364" spans="1:36" ht="24.75" customHeight="1">
      <c r="A364" s="116"/>
      <c r="B364" s="117" t="s">
        <v>1438</v>
      </c>
      <c r="C364" s="117"/>
      <c r="D364" s="117"/>
      <c r="E364" s="117"/>
      <c r="F364" s="118" t="s">
        <v>3132</v>
      </c>
      <c r="G364" s="118"/>
      <c r="H364" s="117" t="s">
        <v>1252</v>
      </c>
      <c r="I364" s="117"/>
      <c r="J364" s="117" t="s">
        <v>279</v>
      </c>
      <c r="K364" s="123" t="s">
        <v>2147</v>
      </c>
      <c r="L364" s="117" t="s">
        <v>279</v>
      </c>
      <c r="M364" s="123" t="s">
        <v>279</v>
      </c>
      <c r="N364" s="117"/>
      <c r="O364" s="118" t="s">
        <v>3133</v>
      </c>
      <c r="P364" s="118" t="s">
        <v>3134</v>
      </c>
      <c r="Q364" s="117"/>
      <c r="R364" s="117"/>
      <c r="S364" s="117"/>
      <c r="T364" s="117"/>
      <c r="U364" s="117"/>
      <c r="V364" s="123">
        <v>96584131</v>
      </c>
      <c r="W364" s="117"/>
      <c r="X364" s="118" t="s">
        <v>3135</v>
      </c>
      <c r="Y364" s="118"/>
      <c r="Z364" s="118" t="s">
        <v>3136</v>
      </c>
      <c r="AA364" s="118" t="s">
        <v>3137</v>
      </c>
      <c r="AB364" s="117"/>
      <c r="AC364" s="117"/>
      <c r="AD364" s="117"/>
      <c r="AE364" s="117"/>
      <c r="AF364" s="117"/>
      <c r="AG364" s="117"/>
      <c r="AH364" s="117"/>
      <c r="AI364" s="117"/>
      <c r="AJ364" s="117"/>
    </row>
    <row r="365" spans="1:36" ht="24.75" customHeight="1">
      <c r="A365" s="116"/>
      <c r="B365" s="117" t="s">
        <v>1239</v>
      </c>
      <c r="C365" s="117"/>
      <c r="D365" s="117"/>
      <c r="E365" s="117"/>
      <c r="F365" s="118" t="s">
        <v>3138</v>
      </c>
      <c r="G365" s="118"/>
      <c r="H365" s="117" t="s">
        <v>1252</v>
      </c>
      <c r="I365" s="117"/>
      <c r="J365" s="117" t="s">
        <v>279</v>
      </c>
      <c r="K365" s="123" t="s">
        <v>2147</v>
      </c>
      <c r="L365" s="117" t="s">
        <v>279</v>
      </c>
      <c r="M365" s="123" t="s">
        <v>279</v>
      </c>
      <c r="N365" s="117"/>
      <c r="O365" s="118" t="s">
        <v>3139</v>
      </c>
      <c r="P365" s="118"/>
      <c r="Q365" s="117"/>
      <c r="R365" s="117"/>
      <c r="S365" s="117"/>
      <c r="T365" s="117"/>
      <c r="U365" s="117"/>
      <c r="V365" s="123">
        <v>63630101</v>
      </c>
      <c r="W365" s="117"/>
      <c r="X365" s="118" t="s">
        <v>3140</v>
      </c>
      <c r="Y365" s="118"/>
      <c r="Z365" s="118" t="s">
        <v>3141</v>
      </c>
      <c r="AA365" s="118" t="s">
        <v>3142</v>
      </c>
      <c r="AB365" s="117"/>
      <c r="AC365" s="117"/>
      <c r="AD365" s="117"/>
      <c r="AE365" s="117"/>
      <c r="AF365" s="117"/>
      <c r="AG365" s="117"/>
      <c r="AH365" s="117"/>
      <c r="AI365" s="117"/>
      <c r="AJ365" s="117"/>
    </row>
    <row r="366" spans="1:36" ht="24.75" customHeight="1">
      <c r="A366" s="116"/>
      <c r="B366" s="117" t="s">
        <v>1438</v>
      </c>
      <c r="C366" s="117"/>
      <c r="D366" s="117"/>
      <c r="E366" s="117"/>
      <c r="F366" s="118" t="s">
        <v>3143</v>
      </c>
      <c r="G366" s="118"/>
      <c r="H366" s="117" t="s">
        <v>1252</v>
      </c>
      <c r="I366" s="117"/>
      <c r="J366" s="117" t="s">
        <v>279</v>
      </c>
      <c r="K366" s="123" t="s">
        <v>2147</v>
      </c>
      <c r="L366" s="117" t="s">
        <v>279</v>
      </c>
      <c r="M366" s="123" t="s">
        <v>279</v>
      </c>
      <c r="N366" s="117"/>
      <c r="O366" s="118"/>
      <c r="P366" s="118"/>
      <c r="Q366" s="117"/>
      <c r="R366" s="117"/>
      <c r="S366" s="117"/>
      <c r="T366" s="117"/>
      <c r="U366" s="117"/>
      <c r="V366" s="123">
        <v>67338388</v>
      </c>
      <c r="W366" s="117"/>
      <c r="X366" s="118" t="s">
        <v>3144</v>
      </c>
      <c r="Y366" s="118"/>
      <c r="Z366" s="118" t="s">
        <v>3145</v>
      </c>
      <c r="AA366" s="118" t="s">
        <v>3146</v>
      </c>
      <c r="AB366" s="117"/>
      <c r="AC366" s="117"/>
      <c r="AD366" s="117"/>
      <c r="AE366" s="117"/>
      <c r="AF366" s="117"/>
      <c r="AG366" s="117"/>
      <c r="AH366" s="117"/>
      <c r="AI366" s="117"/>
      <c r="AJ366" s="117"/>
    </row>
    <row r="367" spans="1:36" ht="24.75" customHeight="1">
      <c r="A367" s="116"/>
      <c r="B367" s="117" t="s">
        <v>1438</v>
      </c>
      <c r="C367" s="117"/>
      <c r="D367" s="117"/>
      <c r="E367" s="117"/>
      <c r="F367" s="118" t="s">
        <v>3147</v>
      </c>
      <c r="G367" s="118"/>
      <c r="H367" s="117" t="s">
        <v>1252</v>
      </c>
      <c r="I367" s="117"/>
      <c r="J367" s="117" t="s">
        <v>279</v>
      </c>
      <c r="K367" s="123" t="s">
        <v>2147</v>
      </c>
      <c r="L367" s="117" t="s">
        <v>279</v>
      </c>
      <c r="M367" s="123" t="s">
        <v>279</v>
      </c>
      <c r="N367" s="117"/>
      <c r="O367" s="118"/>
      <c r="P367" s="118"/>
      <c r="Q367" s="117"/>
      <c r="R367" s="117"/>
      <c r="S367" s="117"/>
      <c r="T367" s="117"/>
      <c r="U367" s="117"/>
      <c r="V367" s="123">
        <v>67088888</v>
      </c>
      <c r="W367" s="117"/>
      <c r="X367" s="118" t="s">
        <v>3148</v>
      </c>
      <c r="Y367" s="118"/>
      <c r="Z367" s="118" t="s">
        <v>3149</v>
      </c>
      <c r="AA367" s="118" t="s">
        <v>3150</v>
      </c>
      <c r="AB367" s="117"/>
      <c r="AC367" s="117"/>
      <c r="AD367" s="117"/>
      <c r="AE367" s="117"/>
      <c r="AF367" s="117"/>
      <c r="AG367" s="117"/>
      <c r="AH367" s="117"/>
      <c r="AI367" s="117"/>
      <c r="AJ367" s="117"/>
    </row>
    <row r="368" spans="1:36" ht="24.75" customHeight="1">
      <c r="A368" s="116"/>
      <c r="B368" s="117" t="s">
        <v>1438</v>
      </c>
      <c r="C368" s="117"/>
      <c r="D368" s="117"/>
      <c r="E368" s="117"/>
      <c r="F368" s="118" t="s">
        <v>3151</v>
      </c>
      <c r="G368" s="118"/>
      <c r="H368" s="117" t="s">
        <v>1252</v>
      </c>
      <c r="I368" s="117"/>
      <c r="J368" s="117" t="s">
        <v>279</v>
      </c>
      <c r="K368" s="123" t="s">
        <v>2147</v>
      </c>
      <c r="L368" s="117" t="s">
        <v>279</v>
      </c>
      <c r="M368" s="123" t="s">
        <v>279</v>
      </c>
      <c r="N368" s="117"/>
      <c r="O368" s="118" t="s">
        <v>3152</v>
      </c>
      <c r="P368" s="118" t="s">
        <v>3153</v>
      </c>
      <c r="Q368" s="117"/>
      <c r="R368" s="117"/>
      <c r="S368" s="117"/>
      <c r="T368" s="117"/>
      <c r="U368" s="117"/>
      <c r="V368" s="123">
        <v>68126900</v>
      </c>
      <c r="W368" s="117"/>
      <c r="X368" s="118" t="s">
        <v>3154</v>
      </c>
      <c r="Y368" s="118"/>
      <c r="Z368" s="118" t="s">
        <v>3155</v>
      </c>
      <c r="AA368" s="118" t="s">
        <v>3156</v>
      </c>
      <c r="AB368" s="117"/>
      <c r="AC368" s="117"/>
      <c r="AD368" s="117"/>
      <c r="AE368" s="117"/>
      <c r="AF368" s="117"/>
      <c r="AG368" s="117"/>
      <c r="AH368" s="117"/>
      <c r="AI368" s="117"/>
      <c r="AJ368" s="117"/>
    </row>
    <row r="369" spans="1:36" ht="24.75" customHeight="1">
      <c r="A369" s="116"/>
      <c r="B369" s="117" t="s">
        <v>1438</v>
      </c>
      <c r="C369" s="117"/>
      <c r="D369" s="117"/>
      <c r="E369" s="117"/>
      <c r="F369" s="118" t="s">
        <v>3157</v>
      </c>
      <c r="G369" s="118"/>
      <c r="H369" s="117" t="s">
        <v>1252</v>
      </c>
      <c r="I369" s="117"/>
      <c r="J369" s="117" t="s">
        <v>279</v>
      </c>
      <c r="K369" s="123" t="s">
        <v>2147</v>
      </c>
      <c r="L369" s="117" t="s">
        <v>279</v>
      </c>
      <c r="M369" s="123" t="s">
        <v>279</v>
      </c>
      <c r="N369" s="117"/>
      <c r="O369" s="118" t="s">
        <v>3158</v>
      </c>
      <c r="P369" s="118" t="s">
        <v>3153</v>
      </c>
      <c r="Q369" s="117"/>
      <c r="R369" s="117"/>
      <c r="S369" s="117"/>
      <c r="T369" s="117"/>
      <c r="U369" s="117"/>
      <c r="V369" s="123">
        <v>63393939</v>
      </c>
      <c r="W369" s="117"/>
      <c r="X369" s="118" t="s">
        <v>3159</v>
      </c>
      <c r="Y369" s="118"/>
      <c r="Z369" s="118" t="s">
        <v>3160</v>
      </c>
      <c r="AA369" s="118" t="s">
        <v>3161</v>
      </c>
      <c r="AB369" s="117"/>
      <c r="AC369" s="117"/>
      <c r="AD369" s="117"/>
      <c r="AE369" s="117"/>
      <c r="AF369" s="117"/>
      <c r="AG369" s="117"/>
      <c r="AH369" s="117"/>
      <c r="AI369" s="117"/>
      <c r="AJ369" s="117"/>
    </row>
    <row r="370" spans="1:36" ht="24.75" customHeight="1">
      <c r="A370" s="116"/>
      <c r="B370" s="117" t="s">
        <v>1438</v>
      </c>
      <c r="C370" s="117"/>
      <c r="D370" s="117"/>
      <c r="E370" s="117"/>
      <c r="F370" s="118" t="s">
        <v>3162</v>
      </c>
      <c r="G370" s="118"/>
      <c r="H370" s="117" t="s">
        <v>1252</v>
      </c>
      <c r="I370" s="117"/>
      <c r="J370" s="117" t="s">
        <v>279</v>
      </c>
      <c r="K370" s="123" t="s">
        <v>2147</v>
      </c>
      <c r="L370" s="117" t="s">
        <v>279</v>
      </c>
      <c r="M370" s="123" t="s">
        <v>279</v>
      </c>
      <c r="N370" s="117"/>
      <c r="O370" s="118" t="s">
        <v>3163</v>
      </c>
      <c r="P370" s="118" t="s">
        <v>3153</v>
      </c>
      <c r="Q370" s="117"/>
      <c r="R370" s="117"/>
      <c r="S370" s="117"/>
      <c r="T370" s="117"/>
      <c r="U370" s="117"/>
      <c r="V370" s="123">
        <v>66328888</v>
      </c>
      <c r="W370" s="117"/>
      <c r="X370" s="118" t="s">
        <v>3164</v>
      </c>
      <c r="Y370" s="118"/>
      <c r="Z370" s="118" t="s">
        <v>3165</v>
      </c>
      <c r="AA370" s="118" t="s">
        <v>3166</v>
      </c>
      <c r="AB370" s="117"/>
      <c r="AC370" s="117"/>
      <c r="AD370" s="117"/>
      <c r="AE370" s="117"/>
      <c r="AF370" s="117"/>
      <c r="AG370" s="117"/>
      <c r="AH370" s="117"/>
      <c r="AI370" s="117"/>
      <c r="AJ370" s="117"/>
    </row>
    <row r="371" spans="1:36" ht="24.75" customHeight="1">
      <c r="A371" s="116"/>
      <c r="B371" s="117" t="s">
        <v>1438</v>
      </c>
      <c r="C371" s="117"/>
      <c r="D371" s="117"/>
      <c r="E371" s="117"/>
      <c r="F371" s="118" t="s">
        <v>3167</v>
      </c>
      <c r="G371" s="118"/>
      <c r="H371" s="117" t="s">
        <v>1252</v>
      </c>
      <c r="I371" s="117"/>
      <c r="J371" s="117" t="s">
        <v>279</v>
      </c>
      <c r="K371" s="123" t="s">
        <v>2147</v>
      </c>
      <c r="L371" s="117" t="s">
        <v>279</v>
      </c>
      <c r="M371" s="123" t="s">
        <v>279</v>
      </c>
      <c r="N371" s="117"/>
      <c r="O371" s="118" t="s">
        <v>3168</v>
      </c>
      <c r="P371" s="118" t="s">
        <v>3128</v>
      </c>
      <c r="Q371" s="117"/>
      <c r="R371" s="117"/>
      <c r="S371" s="117"/>
      <c r="T371" s="117"/>
      <c r="U371" s="117"/>
      <c r="V371" s="123">
        <v>68098888</v>
      </c>
      <c r="W371" s="117"/>
      <c r="X371" s="118" t="s">
        <v>3169</v>
      </c>
      <c r="Y371" s="118"/>
      <c r="Z371" s="118" t="s">
        <v>3170</v>
      </c>
      <c r="AA371" s="118" t="s">
        <v>3171</v>
      </c>
      <c r="AB371" s="117"/>
      <c r="AC371" s="117"/>
      <c r="AD371" s="117"/>
      <c r="AE371" s="117"/>
      <c r="AF371" s="117"/>
      <c r="AG371" s="117"/>
      <c r="AH371" s="117"/>
      <c r="AI371" s="117"/>
      <c r="AJ371" s="117"/>
    </row>
    <row r="372" spans="1:36" ht="24.75" customHeight="1">
      <c r="A372" s="116"/>
      <c r="B372" s="117" t="s">
        <v>1438</v>
      </c>
      <c r="C372" s="117"/>
      <c r="D372" s="117"/>
      <c r="E372" s="117"/>
      <c r="F372" s="118" t="s">
        <v>3172</v>
      </c>
      <c r="G372" s="118"/>
      <c r="H372" s="117" t="s">
        <v>1252</v>
      </c>
      <c r="I372" s="117"/>
      <c r="J372" s="117" t="s">
        <v>279</v>
      </c>
      <c r="K372" s="123" t="s">
        <v>2147</v>
      </c>
      <c r="L372" s="117" t="s">
        <v>279</v>
      </c>
      <c r="M372" s="123" t="s">
        <v>279</v>
      </c>
      <c r="N372" s="117"/>
      <c r="O372" s="118" t="s">
        <v>3173</v>
      </c>
      <c r="P372" s="118" t="s">
        <v>3174</v>
      </c>
      <c r="Q372" s="117"/>
      <c r="R372" s="117"/>
      <c r="S372" s="117"/>
      <c r="T372" s="117"/>
      <c r="U372" s="117"/>
      <c r="V372" s="123">
        <v>83669081</v>
      </c>
      <c r="W372" s="117"/>
      <c r="X372" s="118"/>
      <c r="Y372" s="118"/>
      <c r="Z372" s="118" t="s">
        <v>3175</v>
      </c>
      <c r="AA372" s="118"/>
      <c r="AB372" s="117"/>
      <c r="AC372" s="117"/>
      <c r="AD372" s="117"/>
      <c r="AE372" s="117"/>
      <c r="AF372" s="117"/>
      <c r="AG372" s="117"/>
      <c r="AH372" s="117"/>
      <c r="AI372" s="117"/>
      <c r="AJ372" s="117"/>
    </row>
    <row r="373" spans="1:36" ht="24.75" customHeight="1">
      <c r="A373" s="116"/>
      <c r="B373" s="117" t="s">
        <v>1438</v>
      </c>
      <c r="C373" s="117"/>
      <c r="D373" s="117"/>
      <c r="E373" s="117"/>
      <c r="F373" s="118" t="s">
        <v>3176</v>
      </c>
      <c r="G373" s="118"/>
      <c r="H373" s="117" t="s">
        <v>1252</v>
      </c>
      <c r="I373" s="117"/>
      <c r="J373" s="117" t="s">
        <v>279</v>
      </c>
      <c r="K373" s="123" t="s">
        <v>2147</v>
      </c>
      <c r="L373" s="117" t="s">
        <v>279</v>
      </c>
      <c r="M373" s="123" t="s">
        <v>279</v>
      </c>
      <c r="N373" s="117"/>
      <c r="O373" s="118" t="s">
        <v>3177</v>
      </c>
      <c r="P373" s="118" t="s">
        <v>3174</v>
      </c>
      <c r="Q373" s="117"/>
      <c r="R373" s="117"/>
      <c r="S373" s="117"/>
      <c r="T373" s="117"/>
      <c r="U373" s="117"/>
      <c r="V373" s="123">
        <v>82887176</v>
      </c>
      <c r="W373" s="117"/>
      <c r="X373" s="118" t="s">
        <v>3178</v>
      </c>
      <c r="Y373" s="118"/>
      <c r="Z373" s="118" t="s">
        <v>3179</v>
      </c>
      <c r="AA373" s="118" t="s">
        <v>3180</v>
      </c>
      <c r="AB373" s="117"/>
      <c r="AC373" s="117"/>
      <c r="AD373" s="117"/>
      <c r="AE373" s="117"/>
      <c r="AF373" s="117"/>
      <c r="AG373" s="117"/>
      <c r="AH373" s="117"/>
      <c r="AI373" s="117"/>
      <c r="AJ373" s="117"/>
    </row>
    <row r="374" spans="1:36" ht="24.75" customHeight="1">
      <c r="A374" s="116"/>
      <c r="B374" s="117" t="s">
        <v>1438</v>
      </c>
      <c r="C374" s="117"/>
      <c r="D374" s="117"/>
      <c r="E374" s="117"/>
      <c r="F374" s="118" t="s">
        <v>3181</v>
      </c>
      <c r="G374" s="118"/>
      <c r="H374" s="117" t="s">
        <v>1252</v>
      </c>
      <c r="I374" s="117"/>
      <c r="J374" s="117" t="s">
        <v>1946</v>
      </c>
      <c r="K374" s="123" t="s">
        <v>2147</v>
      </c>
      <c r="L374" s="117" t="s">
        <v>1946</v>
      </c>
      <c r="M374" s="123" t="s">
        <v>3182</v>
      </c>
      <c r="N374" s="117"/>
      <c r="O374" s="118"/>
      <c r="P374" s="118"/>
      <c r="Q374" s="117"/>
      <c r="R374" s="117"/>
      <c r="S374" s="117"/>
      <c r="T374" s="117"/>
      <c r="U374" s="117"/>
      <c r="V374" s="123" t="s">
        <v>3183</v>
      </c>
      <c r="W374" s="117"/>
      <c r="X374" s="118" t="s">
        <v>3184</v>
      </c>
      <c r="Y374" s="118"/>
      <c r="Z374" s="118" t="s">
        <v>3185</v>
      </c>
      <c r="AA374" s="118" t="s">
        <v>3186</v>
      </c>
      <c r="AB374" s="117"/>
      <c r="AC374" s="117"/>
      <c r="AD374" s="117"/>
      <c r="AE374" s="117"/>
      <c r="AF374" s="117"/>
      <c r="AG374" s="117"/>
      <c r="AH374" s="117"/>
      <c r="AI374" s="117"/>
      <c r="AJ374" s="117"/>
    </row>
    <row r="375" spans="1:36" ht="24.75" customHeight="1">
      <c r="A375" s="116"/>
      <c r="B375" s="117" t="s">
        <v>1438</v>
      </c>
      <c r="C375" s="117"/>
      <c r="D375" s="117"/>
      <c r="E375" s="117"/>
      <c r="F375" s="118" t="s">
        <v>3187</v>
      </c>
      <c r="G375" s="118"/>
      <c r="H375" s="117" t="s">
        <v>1252</v>
      </c>
      <c r="I375" s="117"/>
      <c r="J375" s="117" t="s">
        <v>1946</v>
      </c>
      <c r="K375" s="123" t="s">
        <v>2147</v>
      </c>
      <c r="L375" s="117" t="s">
        <v>1946</v>
      </c>
      <c r="M375" s="123" t="s">
        <v>3182</v>
      </c>
      <c r="N375" s="117"/>
      <c r="O375" s="118"/>
      <c r="P375" s="118"/>
      <c r="Q375" s="117"/>
      <c r="R375" s="117"/>
      <c r="S375" s="117"/>
      <c r="T375" s="117"/>
      <c r="U375" s="117"/>
      <c r="V375" s="123" t="s">
        <v>3188</v>
      </c>
      <c r="W375" s="117"/>
      <c r="X375" s="118" t="s">
        <v>3189</v>
      </c>
      <c r="Y375" s="118"/>
      <c r="Z375" s="118" t="s">
        <v>3190</v>
      </c>
      <c r="AA375" s="118" t="s">
        <v>3191</v>
      </c>
      <c r="AB375" s="117"/>
      <c r="AC375" s="117"/>
      <c r="AD375" s="117"/>
      <c r="AE375" s="117"/>
      <c r="AF375" s="117"/>
      <c r="AG375" s="117"/>
      <c r="AH375" s="117"/>
      <c r="AI375" s="117"/>
      <c r="AJ375" s="117"/>
    </row>
    <row r="376" spans="1:36" ht="24.75" customHeight="1">
      <c r="A376" s="116"/>
      <c r="B376" s="117" t="s">
        <v>1438</v>
      </c>
      <c r="C376" s="117"/>
      <c r="D376" s="117"/>
      <c r="E376" s="117"/>
      <c r="F376" s="118" t="s">
        <v>3192</v>
      </c>
      <c r="G376" s="118"/>
      <c r="H376" s="117" t="s">
        <v>1252</v>
      </c>
      <c r="I376" s="117"/>
      <c r="J376" s="117" t="s">
        <v>1946</v>
      </c>
      <c r="K376" s="123" t="s">
        <v>2147</v>
      </c>
      <c r="L376" s="117" t="s">
        <v>1946</v>
      </c>
      <c r="M376" s="123" t="s">
        <v>3193</v>
      </c>
      <c r="N376" s="117"/>
      <c r="O376" s="118"/>
      <c r="P376" s="118"/>
      <c r="Q376" s="117"/>
      <c r="R376" s="117"/>
      <c r="S376" s="117"/>
      <c r="T376" s="117"/>
      <c r="U376" s="117"/>
      <c r="V376" s="123" t="s">
        <v>3194</v>
      </c>
      <c r="W376" s="117"/>
      <c r="X376" s="118" t="s">
        <v>3195</v>
      </c>
      <c r="Y376" s="118"/>
      <c r="Z376" s="118" t="s">
        <v>3196</v>
      </c>
      <c r="AA376" s="118" t="s">
        <v>3197</v>
      </c>
      <c r="AB376" s="117"/>
      <c r="AC376" s="117"/>
      <c r="AD376" s="117"/>
      <c r="AE376" s="117"/>
      <c r="AF376" s="117"/>
      <c r="AG376" s="117"/>
      <c r="AH376" s="117"/>
      <c r="AI376" s="117"/>
      <c r="AJ376" s="117"/>
    </row>
    <row r="377" spans="1:36" ht="24.75" customHeight="1">
      <c r="A377" s="116"/>
      <c r="B377" s="117" t="s">
        <v>1438</v>
      </c>
      <c r="C377" s="117"/>
      <c r="D377" s="117"/>
      <c r="E377" s="117"/>
      <c r="F377" s="118" t="s">
        <v>3198</v>
      </c>
      <c r="G377" s="118"/>
      <c r="H377" s="117" t="s">
        <v>1252</v>
      </c>
      <c r="I377" s="117"/>
      <c r="J377" s="117" t="s">
        <v>1946</v>
      </c>
      <c r="K377" s="123" t="s">
        <v>2147</v>
      </c>
      <c r="L377" s="117" t="s">
        <v>1946</v>
      </c>
      <c r="M377" s="123" t="s">
        <v>3199</v>
      </c>
      <c r="N377" s="117"/>
      <c r="O377" s="118"/>
      <c r="P377" s="118"/>
      <c r="Q377" s="117"/>
      <c r="R377" s="117"/>
      <c r="S377" s="117"/>
      <c r="T377" s="117"/>
      <c r="U377" s="117"/>
      <c r="V377" s="123" t="s">
        <v>3200</v>
      </c>
      <c r="W377" s="117"/>
      <c r="X377" s="118" t="s">
        <v>3201</v>
      </c>
      <c r="Y377" s="118"/>
      <c r="Z377" s="118" t="s">
        <v>3202</v>
      </c>
      <c r="AA377" s="118" t="s">
        <v>3203</v>
      </c>
      <c r="AB377" s="117"/>
      <c r="AC377" s="117"/>
      <c r="AD377" s="117"/>
      <c r="AE377" s="117"/>
      <c r="AF377" s="117"/>
      <c r="AG377" s="117"/>
      <c r="AH377" s="117"/>
      <c r="AI377" s="117"/>
      <c r="AJ377" s="117"/>
    </row>
    <row r="378" spans="1:36" ht="24.75" customHeight="1">
      <c r="A378" s="116"/>
      <c r="B378" s="117" t="s">
        <v>2950</v>
      </c>
      <c r="C378" s="117"/>
      <c r="D378" s="117"/>
      <c r="E378" s="117"/>
      <c r="F378" s="118" t="s">
        <v>3204</v>
      </c>
      <c r="G378" s="118"/>
      <c r="H378" s="117" t="s">
        <v>1252</v>
      </c>
      <c r="I378" s="117"/>
      <c r="J378" s="117" t="s">
        <v>1946</v>
      </c>
      <c r="K378" s="123" t="s">
        <v>2147</v>
      </c>
      <c r="L378" s="117" t="s">
        <v>1946</v>
      </c>
      <c r="M378" s="123" t="s">
        <v>3205</v>
      </c>
      <c r="N378" s="117"/>
      <c r="O378" s="118" t="s">
        <v>3206</v>
      </c>
      <c r="P378" s="118" t="s">
        <v>3134</v>
      </c>
      <c r="Q378" s="117"/>
      <c r="R378" s="117"/>
      <c r="S378" s="117"/>
      <c r="T378" s="117"/>
      <c r="U378" s="117"/>
      <c r="V378" s="123" t="s">
        <v>3207</v>
      </c>
      <c r="W378" s="117"/>
      <c r="X378" s="118" t="s">
        <v>3208</v>
      </c>
      <c r="Y378" s="118"/>
      <c r="Z378" s="118" t="s">
        <v>3209</v>
      </c>
      <c r="AA378" s="118" t="s">
        <v>3210</v>
      </c>
      <c r="AB378" s="117"/>
      <c r="AC378" s="117"/>
      <c r="AD378" s="117"/>
      <c r="AE378" s="117"/>
      <c r="AF378" s="117"/>
      <c r="AG378" s="117"/>
      <c r="AH378" s="117"/>
      <c r="AI378" s="117"/>
      <c r="AJ378" s="117"/>
    </row>
    <row r="379" spans="1:36" ht="24.75" customHeight="1">
      <c r="A379" s="116"/>
      <c r="B379" s="117" t="s">
        <v>1438</v>
      </c>
      <c r="C379" s="117"/>
      <c r="D379" s="117"/>
      <c r="E379" s="117"/>
      <c r="F379" s="118" t="s">
        <v>3211</v>
      </c>
      <c r="G379" s="118"/>
      <c r="H379" s="117" t="s">
        <v>1252</v>
      </c>
      <c r="I379" s="117"/>
      <c r="J379" s="117" t="s">
        <v>1946</v>
      </c>
      <c r="K379" s="123" t="s">
        <v>2147</v>
      </c>
      <c r="L379" s="117" t="s">
        <v>1946</v>
      </c>
      <c r="M379" s="123" t="s">
        <v>3212</v>
      </c>
      <c r="N379" s="117"/>
      <c r="O379" s="118"/>
      <c r="P379" s="118"/>
      <c r="Q379" s="117"/>
      <c r="R379" s="117"/>
      <c r="S379" s="117"/>
      <c r="T379" s="117"/>
      <c r="U379" s="117"/>
      <c r="V379" s="123" t="s">
        <v>3213</v>
      </c>
      <c r="W379" s="117"/>
      <c r="X379" s="118" t="s">
        <v>3214</v>
      </c>
      <c r="Y379" s="118"/>
      <c r="Z379" s="118" t="s">
        <v>3215</v>
      </c>
      <c r="AA379" s="118" t="s">
        <v>3216</v>
      </c>
      <c r="AB379" s="117"/>
      <c r="AC379" s="117"/>
      <c r="AD379" s="117"/>
      <c r="AE379" s="117"/>
      <c r="AF379" s="117"/>
      <c r="AG379" s="117"/>
      <c r="AH379" s="117"/>
      <c r="AI379" s="117"/>
      <c r="AJ379" s="117"/>
    </row>
    <row r="380" spans="1:36" ht="24.75" customHeight="1">
      <c r="A380" s="116"/>
      <c r="B380" s="117" t="s">
        <v>1438</v>
      </c>
      <c r="C380" s="117"/>
      <c r="D380" s="117"/>
      <c r="E380" s="117"/>
      <c r="F380" s="118" t="s">
        <v>3217</v>
      </c>
      <c r="G380" s="118"/>
      <c r="H380" s="117" t="s">
        <v>1252</v>
      </c>
      <c r="I380" s="117"/>
      <c r="J380" s="117" t="s">
        <v>1946</v>
      </c>
      <c r="K380" s="123" t="s">
        <v>2147</v>
      </c>
      <c r="L380" s="117" t="s">
        <v>1946</v>
      </c>
      <c r="M380" s="123" t="s">
        <v>3218</v>
      </c>
      <c r="N380" s="117"/>
      <c r="O380" s="118"/>
      <c r="P380" s="118"/>
      <c r="Q380" s="117"/>
      <c r="R380" s="117"/>
      <c r="S380" s="117"/>
      <c r="T380" s="117"/>
      <c r="U380" s="117"/>
      <c r="V380" s="123" t="s">
        <v>3219</v>
      </c>
      <c r="W380" s="117"/>
      <c r="X380" s="118" t="s">
        <v>3220</v>
      </c>
      <c r="Y380" s="118"/>
      <c r="Z380" s="118" t="s">
        <v>3221</v>
      </c>
      <c r="AA380" s="118" t="s">
        <v>3222</v>
      </c>
      <c r="AB380" s="117"/>
      <c r="AC380" s="117"/>
      <c r="AD380" s="117"/>
      <c r="AE380" s="117"/>
      <c r="AF380" s="117"/>
      <c r="AG380" s="117"/>
      <c r="AH380" s="117"/>
      <c r="AI380" s="117"/>
      <c r="AJ380" s="117"/>
    </row>
    <row r="381" spans="1:36" ht="24.75" customHeight="1">
      <c r="A381" s="116"/>
      <c r="B381" s="117" t="s">
        <v>1438</v>
      </c>
      <c r="C381" s="117"/>
      <c r="D381" s="117"/>
      <c r="E381" s="117"/>
      <c r="F381" s="118" t="s">
        <v>3223</v>
      </c>
      <c r="G381" s="118"/>
      <c r="H381" s="117" t="s">
        <v>1252</v>
      </c>
      <c r="I381" s="117"/>
      <c r="J381" s="117" t="s">
        <v>1946</v>
      </c>
      <c r="K381" s="123" t="s">
        <v>2147</v>
      </c>
      <c r="L381" s="117" t="s">
        <v>1946</v>
      </c>
      <c r="M381" s="123" t="s">
        <v>3224</v>
      </c>
      <c r="N381" s="117"/>
      <c r="O381" s="118"/>
      <c r="P381" s="118"/>
      <c r="Q381" s="117"/>
      <c r="R381" s="117"/>
      <c r="S381" s="117"/>
      <c r="T381" s="117"/>
      <c r="U381" s="117"/>
      <c r="V381" s="123" t="s">
        <v>3225</v>
      </c>
      <c r="W381" s="117"/>
      <c r="X381" s="118" t="s">
        <v>3226</v>
      </c>
      <c r="Y381" s="118"/>
      <c r="Z381" s="118" t="s">
        <v>3227</v>
      </c>
      <c r="AA381" s="118" t="s">
        <v>3228</v>
      </c>
      <c r="AB381" s="117"/>
      <c r="AC381" s="117"/>
      <c r="AD381" s="117"/>
      <c r="AE381" s="117"/>
      <c r="AF381" s="117"/>
      <c r="AG381" s="117"/>
      <c r="AH381" s="117"/>
      <c r="AI381" s="117"/>
      <c r="AJ381" s="117"/>
    </row>
    <row r="382" spans="1:36" ht="24.75" customHeight="1">
      <c r="A382" s="116"/>
      <c r="B382" s="117" t="s">
        <v>1438</v>
      </c>
      <c r="C382" s="117"/>
      <c r="D382" s="117"/>
      <c r="E382" s="117"/>
      <c r="F382" s="118" t="s">
        <v>3229</v>
      </c>
      <c r="G382" s="118"/>
      <c r="H382" s="117" t="s">
        <v>1252</v>
      </c>
      <c r="I382" s="117"/>
      <c r="J382" s="117" t="s">
        <v>1946</v>
      </c>
      <c r="K382" s="123" t="s">
        <v>2147</v>
      </c>
      <c r="L382" s="117" t="s">
        <v>1946</v>
      </c>
      <c r="M382" s="123" t="s">
        <v>3230</v>
      </c>
      <c r="N382" s="117"/>
      <c r="O382" s="118"/>
      <c r="P382" s="118"/>
      <c r="Q382" s="117"/>
      <c r="R382" s="117"/>
      <c r="S382" s="117"/>
      <c r="T382" s="117"/>
      <c r="U382" s="117"/>
      <c r="V382" s="123" t="s">
        <v>3231</v>
      </c>
      <c r="W382" s="117"/>
      <c r="X382" s="118" t="s">
        <v>3232</v>
      </c>
      <c r="Y382" s="118"/>
      <c r="Z382" s="118" t="s">
        <v>3233</v>
      </c>
      <c r="AA382" s="118" t="s">
        <v>3234</v>
      </c>
      <c r="AB382" s="117"/>
      <c r="AC382" s="117"/>
      <c r="AD382" s="117"/>
      <c r="AE382" s="117"/>
      <c r="AF382" s="117"/>
      <c r="AG382" s="117"/>
      <c r="AH382" s="117"/>
      <c r="AI382" s="117"/>
      <c r="AJ382" s="117"/>
    </row>
    <row r="383" spans="1:36" ht="24.75" customHeight="1">
      <c r="A383" s="116"/>
      <c r="B383" s="117" t="s">
        <v>1438</v>
      </c>
      <c r="C383" s="117"/>
      <c r="D383" s="117"/>
      <c r="E383" s="117"/>
      <c r="F383" s="118" t="s">
        <v>3235</v>
      </c>
      <c r="G383" s="118"/>
      <c r="H383" s="117" t="s">
        <v>1252</v>
      </c>
      <c r="I383" s="117"/>
      <c r="J383" s="117" t="s">
        <v>1946</v>
      </c>
      <c r="K383" s="123" t="s">
        <v>2147</v>
      </c>
      <c r="L383" s="117" t="s">
        <v>1946</v>
      </c>
      <c r="M383" s="123" t="s">
        <v>3236</v>
      </c>
      <c r="N383" s="117"/>
      <c r="O383" s="118"/>
      <c r="P383" s="118"/>
      <c r="Q383" s="117"/>
      <c r="R383" s="117"/>
      <c r="S383" s="117"/>
      <c r="T383" s="117"/>
      <c r="U383" s="117"/>
      <c r="V383" s="123" t="s">
        <v>3237</v>
      </c>
      <c r="W383" s="117"/>
      <c r="X383" s="118" t="s">
        <v>3238</v>
      </c>
      <c r="Y383" s="118"/>
      <c r="Z383" s="118" t="s">
        <v>3239</v>
      </c>
      <c r="AA383" s="118" t="s">
        <v>3240</v>
      </c>
      <c r="AB383" s="117"/>
      <c r="AC383" s="117"/>
      <c r="AD383" s="117"/>
      <c r="AE383" s="117"/>
      <c r="AF383" s="117"/>
      <c r="AG383" s="117"/>
      <c r="AH383" s="117"/>
      <c r="AI383" s="117"/>
      <c r="AJ383" s="117"/>
    </row>
    <row r="384" spans="1:36" ht="24.75" customHeight="1">
      <c r="A384" s="116"/>
      <c r="B384" s="117" t="s">
        <v>1438</v>
      </c>
      <c r="C384" s="117"/>
      <c r="D384" s="117"/>
      <c r="E384" s="117"/>
      <c r="F384" s="118" t="s">
        <v>3241</v>
      </c>
      <c r="G384" s="118"/>
      <c r="H384" s="117" t="s">
        <v>1252</v>
      </c>
      <c r="I384" s="117"/>
      <c r="J384" s="117" t="s">
        <v>1946</v>
      </c>
      <c r="K384" s="123" t="s">
        <v>2147</v>
      </c>
      <c r="L384" s="117" t="s">
        <v>1946</v>
      </c>
      <c r="M384" s="123" t="s">
        <v>3230</v>
      </c>
      <c r="N384" s="117"/>
      <c r="O384" s="118"/>
      <c r="P384" s="118"/>
      <c r="Q384" s="117"/>
      <c r="R384" s="117"/>
      <c r="S384" s="117"/>
      <c r="T384" s="117"/>
      <c r="U384" s="117"/>
      <c r="V384" s="123" t="s">
        <v>3242</v>
      </c>
      <c r="W384" s="117"/>
      <c r="X384" s="118" t="s">
        <v>3243</v>
      </c>
      <c r="Y384" s="118"/>
      <c r="Z384" s="118" t="s">
        <v>3244</v>
      </c>
      <c r="AA384" s="118" t="s">
        <v>3245</v>
      </c>
      <c r="AB384" s="117"/>
      <c r="AC384" s="117"/>
      <c r="AD384" s="117"/>
      <c r="AE384" s="117"/>
      <c r="AF384" s="117"/>
      <c r="AG384" s="117"/>
      <c r="AH384" s="117"/>
      <c r="AI384" s="117"/>
      <c r="AJ384" s="117"/>
    </row>
    <row r="385" spans="6:26" ht="24.75" customHeight="1">
      <c r="F385" s="3"/>
      <c r="G385" s="3"/>
      <c r="O385" s="3"/>
      <c r="P385" s="3"/>
      <c r="X385" s="3"/>
      <c r="Y385" s="3"/>
      <c r="Z385" s="3"/>
    </row>
    <row r="386" spans="6:26" ht="24.75" customHeight="1">
      <c r="F386" s="3"/>
      <c r="G386" s="3"/>
      <c r="O386" s="3"/>
      <c r="P386" s="3"/>
      <c r="X386" s="3"/>
      <c r="Y386" s="3"/>
      <c r="Z386" s="3"/>
    </row>
    <row r="387" spans="6:26" ht="24.75" customHeight="1">
      <c r="F387" s="3"/>
      <c r="G387" s="3"/>
      <c r="O387" s="3"/>
      <c r="P387" s="3"/>
      <c r="X387" s="3"/>
      <c r="Y387" s="3"/>
      <c r="Z387" s="3"/>
    </row>
    <row r="388" spans="6:26" ht="24.75" customHeight="1">
      <c r="F388" s="3"/>
      <c r="G388" s="3"/>
      <c r="O388" s="3"/>
      <c r="P388" s="3"/>
      <c r="X388" s="3"/>
      <c r="Y388" s="3"/>
      <c r="Z388" s="3"/>
    </row>
    <row r="389" spans="6:26" ht="24.75" customHeight="1">
      <c r="F389" s="3"/>
      <c r="G389" s="3"/>
      <c r="O389" s="3"/>
      <c r="P389" s="3"/>
      <c r="X389" s="3"/>
      <c r="Y389" s="3"/>
      <c r="Z389" s="3"/>
    </row>
    <row r="390" spans="6:26" ht="24.75" customHeight="1">
      <c r="F390" s="3"/>
      <c r="G390" s="3"/>
      <c r="O390" s="3"/>
      <c r="P390" s="3"/>
      <c r="X390" s="3"/>
      <c r="Y390" s="3"/>
      <c r="Z390" s="3"/>
    </row>
    <row r="391" spans="6:26" ht="24.75" customHeight="1">
      <c r="F391" s="3"/>
      <c r="G391" s="3"/>
      <c r="O391" s="3"/>
      <c r="P391" s="3"/>
      <c r="X391" s="3"/>
      <c r="Y391" s="3"/>
      <c r="Z391" s="3"/>
    </row>
    <row r="392" spans="6:26" ht="24.75" customHeight="1">
      <c r="F392" s="3"/>
      <c r="G392" s="3"/>
      <c r="O392" s="3"/>
      <c r="P392" s="3"/>
      <c r="X392" s="3"/>
      <c r="Y392" s="3"/>
      <c r="Z392" s="3"/>
    </row>
    <row r="393" spans="6:26" ht="24.75" customHeight="1">
      <c r="F393" s="3"/>
      <c r="G393" s="3"/>
      <c r="O393" s="3"/>
      <c r="P393" s="3"/>
      <c r="X393" s="3"/>
      <c r="Y393" s="3"/>
      <c r="Z393" s="3"/>
    </row>
    <row r="394" spans="6:26" ht="24.75" customHeight="1">
      <c r="F394" s="3"/>
      <c r="G394" s="3"/>
      <c r="O394" s="3"/>
      <c r="P394" s="3"/>
      <c r="X394" s="3"/>
      <c r="Y394" s="3"/>
      <c r="Z394" s="3"/>
    </row>
    <row r="395" spans="6:26" ht="24.75" customHeight="1">
      <c r="F395" s="3"/>
      <c r="G395" s="3"/>
      <c r="O395" s="3"/>
      <c r="P395" s="3"/>
      <c r="X395" s="3"/>
      <c r="Y395" s="3"/>
      <c r="Z395" s="3"/>
    </row>
    <row r="396" spans="6:26" ht="24.75" customHeight="1">
      <c r="F396" s="3"/>
      <c r="G396" s="3"/>
      <c r="O396" s="3"/>
      <c r="P396" s="3"/>
      <c r="X396" s="3"/>
      <c r="Y396" s="3"/>
      <c r="Z396" s="3"/>
    </row>
    <row r="397" spans="6:26" ht="24.75" customHeight="1">
      <c r="F397" s="3"/>
      <c r="G397" s="3"/>
      <c r="O397" s="3"/>
      <c r="P397" s="3"/>
      <c r="X397" s="3"/>
      <c r="Y397" s="3"/>
      <c r="Z397" s="3"/>
    </row>
    <row r="398" spans="6:26" ht="24.75" customHeight="1">
      <c r="F398" s="3"/>
      <c r="G398" s="3"/>
      <c r="O398" s="3"/>
      <c r="P398" s="3"/>
      <c r="X398" s="3"/>
      <c r="Y398" s="3"/>
      <c r="Z398" s="3"/>
    </row>
    <row r="399" spans="6:26" ht="24.75" customHeight="1">
      <c r="F399" s="3"/>
      <c r="G399" s="3"/>
      <c r="O399" s="3"/>
      <c r="P399" s="3"/>
      <c r="X399" s="3"/>
      <c r="Y399" s="3"/>
      <c r="Z399" s="3"/>
    </row>
    <row r="400" spans="6:26" ht="24.75" customHeight="1">
      <c r="F400" s="3"/>
      <c r="G400" s="3"/>
      <c r="O400" s="3"/>
      <c r="P400" s="3"/>
      <c r="X400" s="3"/>
      <c r="Y400" s="3"/>
      <c r="Z400" s="3"/>
    </row>
    <row r="401" spans="6:26" ht="24.75" customHeight="1">
      <c r="F401" s="3"/>
      <c r="G401" s="3"/>
      <c r="O401" s="3"/>
      <c r="P401" s="3"/>
      <c r="X401" s="3"/>
      <c r="Y401" s="3"/>
      <c r="Z401" s="3"/>
    </row>
    <row r="402" spans="6:26" ht="24.75" customHeight="1">
      <c r="F402" s="3"/>
      <c r="G402" s="3"/>
      <c r="O402" s="3"/>
      <c r="P402" s="3"/>
      <c r="X402" s="3"/>
      <c r="Y402" s="3"/>
      <c r="Z402" s="3"/>
    </row>
    <row r="403" spans="6:26" ht="24.75" customHeight="1">
      <c r="F403" s="3"/>
      <c r="G403" s="3"/>
      <c r="O403" s="3"/>
      <c r="P403" s="3"/>
      <c r="X403" s="3"/>
      <c r="Y403" s="3"/>
      <c r="Z403" s="3"/>
    </row>
    <row r="404" spans="6:26" ht="24.75" customHeight="1">
      <c r="F404" s="3"/>
      <c r="G404" s="3"/>
      <c r="O404" s="3"/>
      <c r="P404" s="3"/>
      <c r="X404" s="3"/>
      <c r="Y404" s="3"/>
      <c r="Z404" s="3"/>
    </row>
    <row r="405" spans="6:26" ht="24.75" customHeight="1">
      <c r="F405" s="3"/>
      <c r="G405" s="3"/>
      <c r="O405" s="3"/>
      <c r="P405" s="3"/>
      <c r="X405" s="3"/>
      <c r="Y405" s="3"/>
      <c r="Z405" s="3"/>
    </row>
    <row r="406" spans="6:26" ht="24.75" customHeight="1">
      <c r="F406" s="3"/>
      <c r="G406" s="3"/>
      <c r="O406" s="3"/>
      <c r="P406" s="3"/>
      <c r="X406" s="3"/>
      <c r="Y406" s="3"/>
      <c r="Z406" s="3"/>
    </row>
    <row r="407" spans="6:26" ht="24.75" customHeight="1">
      <c r="F407" s="3"/>
      <c r="G407" s="3"/>
      <c r="O407" s="3"/>
      <c r="P407" s="3"/>
      <c r="X407" s="3"/>
      <c r="Y407" s="3"/>
      <c r="Z407" s="3"/>
    </row>
    <row r="408" spans="6:26" ht="24.75" customHeight="1">
      <c r="F408" s="3"/>
      <c r="G408" s="3"/>
      <c r="O408" s="3"/>
      <c r="P408" s="3"/>
      <c r="X408" s="3"/>
      <c r="Y408" s="3"/>
      <c r="Z408" s="3"/>
    </row>
    <row r="409" spans="6:26" ht="24.75" customHeight="1">
      <c r="F409" s="3"/>
      <c r="G409" s="3"/>
      <c r="O409" s="3"/>
      <c r="P409" s="3"/>
      <c r="X409" s="3"/>
      <c r="Y409" s="3"/>
      <c r="Z409" s="3"/>
    </row>
    <row r="410" spans="6:26" ht="24.75" customHeight="1">
      <c r="F410" s="3"/>
      <c r="G410" s="3"/>
      <c r="O410" s="3"/>
      <c r="P410" s="3"/>
      <c r="X410" s="3"/>
      <c r="Y410" s="3"/>
      <c r="Z410" s="3"/>
    </row>
    <row r="411" spans="6:26" ht="24.75" customHeight="1">
      <c r="F411" s="3"/>
      <c r="G411" s="3"/>
      <c r="O411" s="3"/>
      <c r="P411" s="3"/>
      <c r="X411" s="3"/>
      <c r="Y411" s="3"/>
      <c r="Z411" s="3"/>
    </row>
    <row r="412" spans="6:26" ht="24.75" customHeight="1">
      <c r="F412" s="3"/>
      <c r="G412" s="3"/>
      <c r="O412" s="3"/>
      <c r="P412" s="3"/>
      <c r="X412" s="3"/>
      <c r="Y412" s="3"/>
      <c r="Z412" s="3"/>
    </row>
    <row r="413" spans="6:26" ht="24.75" customHeight="1">
      <c r="F413" s="3"/>
      <c r="G413" s="3"/>
      <c r="O413" s="3"/>
      <c r="P413" s="3"/>
      <c r="X413" s="3"/>
      <c r="Y413" s="3"/>
      <c r="Z413" s="3"/>
    </row>
    <row r="414" spans="6:26" ht="24.75" customHeight="1">
      <c r="F414" s="3"/>
      <c r="G414" s="3"/>
      <c r="O414" s="3"/>
      <c r="P414" s="3"/>
      <c r="X414" s="3"/>
      <c r="Y414" s="3"/>
      <c r="Z414" s="3"/>
    </row>
    <row r="415" spans="6:26" ht="24.75" customHeight="1">
      <c r="F415" s="3"/>
      <c r="G415" s="3"/>
      <c r="O415" s="3"/>
      <c r="P415" s="3"/>
      <c r="X415" s="3"/>
      <c r="Y415" s="3"/>
      <c r="Z415" s="3"/>
    </row>
    <row r="416" spans="6:26" ht="24.75" customHeight="1">
      <c r="F416" s="3"/>
      <c r="G416" s="3"/>
      <c r="O416" s="3"/>
      <c r="P416" s="3"/>
      <c r="X416" s="3"/>
      <c r="Y416" s="3"/>
      <c r="Z416" s="3"/>
    </row>
    <row r="417" spans="6:26" ht="24.75" customHeight="1">
      <c r="F417" s="3"/>
      <c r="G417" s="3"/>
      <c r="O417" s="3"/>
      <c r="P417" s="3"/>
      <c r="X417" s="3"/>
      <c r="Y417" s="3"/>
      <c r="Z417" s="3"/>
    </row>
    <row r="418" spans="6:26" ht="24.75" customHeight="1">
      <c r="F418" s="3"/>
      <c r="G418" s="3"/>
      <c r="O418" s="3"/>
      <c r="P418" s="3"/>
      <c r="X418" s="3"/>
      <c r="Y418" s="3"/>
      <c r="Z418" s="3"/>
    </row>
    <row r="419" spans="6:26" ht="24.75" customHeight="1">
      <c r="F419" s="3"/>
      <c r="G419" s="3"/>
      <c r="O419" s="3"/>
      <c r="P419" s="3"/>
      <c r="X419" s="3"/>
      <c r="Y419" s="3"/>
      <c r="Z419" s="3"/>
    </row>
    <row r="420" spans="6:26" ht="24.75" customHeight="1">
      <c r="F420" s="3"/>
      <c r="G420" s="3"/>
      <c r="O420" s="3"/>
      <c r="P420" s="3"/>
      <c r="X420" s="3"/>
      <c r="Y420" s="3"/>
      <c r="Z420" s="3"/>
    </row>
    <row r="421" spans="6:26" ht="24.75" customHeight="1">
      <c r="F421" s="3"/>
      <c r="G421" s="3"/>
      <c r="O421" s="3"/>
      <c r="P421" s="3"/>
      <c r="X421" s="3"/>
      <c r="Y421" s="3"/>
      <c r="Z421" s="3"/>
    </row>
    <row r="422" spans="6:26" ht="24.75" customHeight="1">
      <c r="F422" s="3"/>
      <c r="G422" s="3"/>
      <c r="O422" s="3"/>
      <c r="P422" s="3"/>
      <c r="X422" s="3"/>
      <c r="Y422" s="3"/>
      <c r="Z422" s="3"/>
    </row>
    <row r="423" spans="6:26" ht="24.75" customHeight="1">
      <c r="F423" s="3"/>
      <c r="G423" s="3"/>
      <c r="O423" s="3"/>
      <c r="P423" s="3"/>
      <c r="X423" s="3"/>
      <c r="Y423" s="3"/>
      <c r="Z423" s="3"/>
    </row>
    <row r="424" spans="6:26" ht="24.75" customHeight="1">
      <c r="F424" s="3"/>
      <c r="G424" s="3"/>
      <c r="O424" s="3"/>
      <c r="P424" s="3"/>
      <c r="X424" s="3"/>
      <c r="Y424" s="3"/>
      <c r="Z424" s="3"/>
    </row>
    <row r="425" spans="6:26" ht="24.75" customHeight="1">
      <c r="F425" s="3"/>
      <c r="G425" s="3"/>
      <c r="O425" s="3"/>
      <c r="P425" s="3"/>
      <c r="X425" s="3"/>
      <c r="Y425" s="3"/>
      <c r="Z425" s="3"/>
    </row>
    <row r="426" spans="6:26" ht="24.75" customHeight="1">
      <c r="F426" s="3"/>
      <c r="G426" s="3"/>
      <c r="O426" s="3"/>
      <c r="P426" s="3"/>
      <c r="X426" s="3"/>
      <c r="Y426" s="3"/>
      <c r="Z426" s="3"/>
    </row>
    <row r="427" spans="6:26" ht="24.75" customHeight="1">
      <c r="F427" s="3"/>
      <c r="G427" s="3"/>
      <c r="O427" s="3"/>
      <c r="P427" s="3"/>
      <c r="X427" s="3"/>
      <c r="Y427" s="3"/>
      <c r="Z427" s="3"/>
    </row>
    <row r="428" spans="6:26" ht="24.75" customHeight="1">
      <c r="F428" s="3"/>
      <c r="G428" s="3"/>
      <c r="O428" s="3"/>
      <c r="P428" s="3"/>
      <c r="X428" s="3"/>
      <c r="Y428" s="3"/>
      <c r="Z428" s="3"/>
    </row>
    <row r="429" spans="6:26" ht="24.75" customHeight="1">
      <c r="F429" s="3"/>
      <c r="G429" s="3"/>
      <c r="O429" s="3"/>
      <c r="P429" s="3"/>
      <c r="X429" s="3"/>
      <c r="Y429" s="3"/>
      <c r="Z429" s="3"/>
    </row>
    <row r="430" spans="6:26" ht="24.75" customHeight="1">
      <c r="F430" s="3"/>
      <c r="G430" s="3"/>
      <c r="O430" s="3"/>
      <c r="P430" s="3"/>
      <c r="X430" s="3"/>
      <c r="Y430" s="3"/>
      <c r="Z430" s="3"/>
    </row>
    <row r="431" spans="6:26" ht="24.75" customHeight="1">
      <c r="F431" s="3"/>
      <c r="G431" s="3"/>
      <c r="O431" s="3"/>
      <c r="P431" s="3"/>
      <c r="X431" s="3"/>
      <c r="Y431" s="3"/>
      <c r="Z431" s="3"/>
    </row>
    <row r="432" spans="6:26" ht="24.75" customHeight="1">
      <c r="F432" s="3"/>
      <c r="G432" s="3"/>
      <c r="O432" s="3"/>
      <c r="P432" s="3"/>
      <c r="X432" s="3"/>
      <c r="Y432" s="3"/>
      <c r="Z432" s="3"/>
    </row>
    <row r="433" spans="6:26" ht="24.75" customHeight="1">
      <c r="F433" s="3"/>
      <c r="G433" s="3"/>
      <c r="O433" s="3"/>
      <c r="P433" s="3"/>
      <c r="X433" s="3"/>
      <c r="Y433" s="3"/>
      <c r="Z433" s="3"/>
    </row>
    <row r="434" spans="6:26" ht="24.75" customHeight="1">
      <c r="F434" s="3"/>
      <c r="G434" s="3"/>
      <c r="O434" s="3"/>
      <c r="P434" s="3"/>
      <c r="X434" s="3"/>
      <c r="Y434" s="3"/>
      <c r="Z434" s="3"/>
    </row>
    <row r="435" spans="6:26" ht="24.75" customHeight="1">
      <c r="F435" s="3"/>
      <c r="G435" s="3"/>
      <c r="O435" s="3"/>
      <c r="P435" s="3"/>
      <c r="X435" s="3"/>
      <c r="Y435" s="3"/>
      <c r="Z435" s="3"/>
    </row>
    <row r="436" spans="6:26" ht="24.75" customHeight="1">
      <c r="F436" s="3"/>
      <c r="G436" s="3"/>
      <c r="O436" s="3"/>
      <c r="P436" s="3"/>
      <c r="X436" s="3"/>
      <c r="Y436" s="3"/>
      <c r="Z436" s="3"/>
    </row>
    <row r="437" spans="6:26" ht="24.75" customHeight="1">
      <c r="F437" s="3"/>
      <c r="G437" s="3"/>
      <c r="O437" s="3"/>
      <c r="P437" s="3"/>
      <c r="X437" s="3"/>
      <c r="Y437" s="3"/>
      <c r="Z437" s="3"/>
    </row>
    <row r="438" spans="6:26" ht="24.75" customHeight="1">
      <c r="F438" s="3"/>
      <c r="G438" s="3"/>
      <c r="O438" s="3"/>
      <c r="P438" s="3"/>
      <c r="X438" s="3"/>
      <c r="Y438" s="3"/>
      <c r="Z438" s="3"/>
    </row>
    <row r="439" spans="6:26" ht="24.75" customHeight="1">
      <c r="F439" s="3"/>
      <c r="G439" s="3"/>
      <c r="O439" s="3"/>
      <c r="P439" s="3"/>
      <c r="X439" s="3"/>
      <c r="Y439" s="3"/>
      <c r="Z439" s="3"/>
    </row>
    <row r="440" spans="6:26" ht="24.75" customHeight="1">
      <c r="F440" s="3"/>
      <c r="G440" s="3"/>
      <c r="O440" s="3"/>
      <c r="P440" s="3"/>
      <c r="X440" s="3"/>
      <c r="Y440" s="3"/>
      <c r="Z440" s="3"/>
    </row>
    <row r="441" spans="6:26" ht="24.75" customHeight="1">
      <c r="F441" s="3"/>
      <c r="G441" s="3"/>
      <c r="O441" s="3"/>
      <c r="P441" s="3"/>
      <c r="X441" s="3"/>
      <c r="Y441" s="3"/>
      <c r="Z441" s="3"/>
    </row>
    <row r="442" spans="6:26" ht="24.75" customHeight="1">
      <c r="F442" s="3"/>
      <c r="G442" s="3"/>
      <c r="O442" s="3"/>
      <c r="P442" s="3"/>
      <c r="X442" s="3"/>
      <c r="Y442" s="3"/>
      <c r="Z442" s="3"/>
    </row>
    <row r="443" spans="6:26" ht="24.75" customHeight="1">
      <c r="F443" s="3"/>
      <c r="G443" s="3"/>
      <c r="O443" s="3"/>
      <c r="P443" s="3"/>
      <c r="X443" s="3"/>
      <c r="Y443" s="3"/>
      <c r="Z443" s="3"/>
    </row>
    <row r="444" spans="6:26" ht="24.75" customHeight="1">
      <c r="F444" s="3"/>
      <c r="G444" s="3"/>
      <c r="O444" s="3"/>
      <c r="P444" s="3"/>
      <c r="X444" s="3"/>
      <c r="Y444" s="3"/>
      <c r="Z444" s="3"/>
    </row>
    <row r="445" spans="6:26" ht="24.75" customHeight="1">
      <c r="F445" s="3"/>
      <c r="G445" s="3"/>
      <c r="O445" s="3"/>
      <c r="P445" s="3"/>
      <c r="X445" s="3"/>
      <c r="Y445" s="3"/>
      <c r="Z445" s="3"/>
    </row>
    <row r="446" spans="6:26" ht="24.75" customHeight="1">
      <c r="F446" s="3"/>
      <c r="G446" s="3"/>
      <c r="O446" s="3"/>
      <c r="P446" s="3"/>
      <c r="X446" s="3"/>
      <c r="Y446" s="3"/>
      <c r="Z446" s="3"/>
    </row>
    <row r="447" spans="6:26" ht="24.75" customHeight="1">
      <c r="F447" s="3"/>
      <c r="G447" s="3"/>
      <c r="O447" s="3"/>
      <c r="P447" s="3"/>
      <c r="X447" s="3"/>
      <c r="Y447" s="3"/>
      <c r="Z447" s="3"/>
    </row>
    <row r="448" spans="6:26" ht="24.75" customHeight="1">
      <c r="F448" s="3"/>
      <c r="G448" s="3"/>
      <c r="O448" s="3"/>
      <c r="P448" s="3"/>
      <c r="X448" s="3"/>
      <c r="Y448" s="3"/>
      <c r="Z448" s="3"/>
    </row>
    <row r="449" spans="6:26" ht="24.75" customHeight="1">
      <c r="F449" s="3"/>
      <c r="G449" s="3"/>
      <c r="O449" s="3"/>
      <c r="P449" s="3"/>
      <c r="X449" s="3"/>
      <c r="Y449" s="3"/>
      <c r="Z449" s="3"/>
    </row>
    <row r="450" spans="6:26" ht="24.75" customHeight="1">
      <c r="F450" s="3"/>
      <c r="G450" s="3"/>
      <c r="O450" s="3"/>
      <c r="P450" s="3"/>
      <c r="X450" s="3"/>
      <c r="Y450" s="3"/>
      <c r="Z450" s="3"/>
    </row>
    <row r="451" spans="6:26" ht="24.75" customHeight="1">
      <c r="F451" s="3"/>
      <c r="G451" s="3"/>
      <c r="O451" s="3"/>
      <c r="P451" s="3"/>
      <c r="X451" s="3"/>
      <c r="Y451" s="3"/>
      <c r="Z451" s="3"/>
    </row>
    <row r="452" spans="6:26" ht="24.75" customHeight="1">
      <c r="F452" s="3"/>
      <c r="G452" s="3"/>
      <c r="O452" s="3"/>
      <c r="P452" s="3"/>
      <c r="X452" s="3"/>
      <c r="Y452" s="3"/>
      <c r="Z452" s="3"/>
    </row>
    <row r="453" spans="6:26" ht="24.75" customHeight="1">
      <c r="F453" s="3"/>
      <c r="G453" s="3"/>
      <c r="O453" s="3"/>
      <c r="P453" s="3"/>
      <c r="X453" s="3"/>
      <c r="Y453" s="3"/>
      <c r="Z453" s="3"/>
    </row>
    <row r="454" spans="6:26" ht="24.75" customHeight="1">
      <c r="F454" s="3"/>
      <c r="G454" s="3"/>
      <c r="O454" s="3"/>
      <c r="P454" s="3"/>
      <c r="X454" s="3"/>
      <c r="Y454" s="3"/>
      <c r="Z454" s="3"/>
    </row>
    <row r="455" spans="6:26" ht="24.75" customHeight="1">
      <c r="F455" s="3"/>
      <c r="G455" s="3"/>
      <c r="O455" s="3"/>
      <c r="P455" s="3"/>
      <c r="X455" s="3"/>
      <c r="Y455" s="3"/>
      <c r="Z455" s="3"/>
    </row>
    <row r="456" spans="6:26" ht="24.75" customHeight="1">
      <c r="F456" s="3"/>
      <c r="G456" s="3"/>
      <c r="O456" s="3"/>
      <c r="P456" s="3"/>
      <c r="X456" s="3"/>
      <c r="Y456" s="3"/>
      <c r="Z456" s="3"/>
    </row>
    <row r="457" spans="6:26" ht="24.75" customHeight="1">
      <c r="F457" s="3"/>
      <c r="G457" s="3"/>
      <c r="O457" s="3"/>
      <c r="P457" s="3"/>
      <c r="X457" s="3"/>
      <c r="Y457" s="3"/>
      <c r="Z457" s="3"/>
    </row>
  </sheetData>
  <autoFilter ref="A2:AJ384" xr:uid="{5EBD2986-9C8D-4EFF-8A90-608CB03349F4}"/>
  <mergeCells count="1">
    <mergeCell ref="AB1:AJ1"/>
  </mergeCells>
  <phoneticPr fontId="3" type="noConversion"/>
  <conditionalFormatting sqref="B3:B457">
    <cfRule type="expression" dxfId="69" priority="251">
      <formula>$B3="New"</formula>
    </cfRule>
    <cfRule type="expression" dxfId="68" priority="252">
      <formula>$B3="NDA"</formula>
    </cfRule>
    <cfRule type="expression" dxfId="67" priority="253">
      <formula>$B3="Contract"</formula>
    </cfRule>
    <cfRule type="expression" dxfId="66" priority="254">
      <formula>$B3="Certificate"</formula>
    </cfRule>
    <cfRule type="expression" dxfId="65" priority="255">
      <formula>$B3="Pending LIVE"</formula>
    </cfRule>
    <cfRule type="expression" dxfId="64" priority="256">
      <formula>$B3="Active"</formula>
    </cfRule>
    <cfRule type="expression" dxfId="63" priority="257">
      <formula>$B3="On Hold"</formula>
    </cfRule>
    <cfRule type="expression" dxfId="62" priority="258">
      <formula>$B3="Pipeline"</formula>
    </cfRule>
  </conditionalFormatting>
  <conditionalFormatting sqref="F3:F205">
    <cfRule type="duplicateValues" dxfId="61" priority="250"/>
  </conditionalFormatting>
  <conditionalFormatting sqref="F277:F280">
    <cfRule type="duplicateValues" dxfId="60" priority="3"/>
  </conditionalFormatting>
  <conditionalFormatting sqref="F281:F304 F251:F274 F306:F1048576 F1:F249">
    <cfRule type="duplicateValues" dxfId="59" priority="70"/>
  </conditionalFormatting>
  <conditionalFormatting sqref="G32">
    <cfRule type="duplicateValues" dxfId="58" priority="41"/>
    <cfRule type="duplicateValues" dxfId="57" priority="42"/>
  </conditionalFormatting>
  <conditionalFormatting sqref="G38">
    <cfRule type="duplicateValues" dxfId="56" priority="45"/>
    <cfRule type="duplicateValues" dxfId="55" priority="46"/>
  </conditionalFormatting>
  <conditionalFormatting sqref="G43">
    <cfRule type="duplicateValues" dxfId="54" priority="43"/>
    <cfRule type="duplicateValues" dxfId="53" priority="44"/>
  </conditionalFormatting>
  <conditionalFormatting sqref="G65">
    <cfRule type="duplicateValues" dxfId="52" priority="71"/>
  </conditionalFormatting>
  <conditionalFormatting sqref="G66">
    <cfRule type="duplicateValues" dxfId="51" priority="63"/>
    <cfRule type="duplicateValues" dxfId="50" priority="64"/>
  </conditionalFormatting>
  <conditionalFormatting sqref="G90">
    <cfRule type="duplicateValues" dxfId="49" priority="61"/>
    <cfRule type="duplicateValues" dxfId="48" priority="62"/>
  </conditionalFormatting>
  <conditionalFormatting sqref="G91">
    <cfRule type="duplicateValues" dxfId="47" priority="59"/>
    <cfRule type="duplicateValues" dxfId="46" priority="60"/>
  </conditionalFormatting>
  <conditionalFormatting sqref="G93">
    <cfRule type="duplicateValues" dxfId="45" priority="57"/>
    <cfRule type="duplicateValues" dxfId="44" priority="58"/>
  </conditionalFormatting>
  <conditionalFormatting sqref="G94">
    <cfRule type="duplicateValues" dxfId="43" priority="55"/>
    <cfRule type="duplicateValues" dxfId="42" priority="56"/>
  </conditionalFormatting>
  <conditionalFormatting sqref="G106">
    <cfRule type="duplicateValues" dxfId="41" priority="4"/>
    <cfRule type="duplicateValues" dxfId="40" priority="5"/>
  </conditionalFormatting>
  <conditionalFormatting sqref="G126:G129">
    <cfRule type="duplicateValues" dxfId="39" priority="13"/>
    <cfRule type="duplicateValues" dxfId="38" priority="14"/>
  </conditionalFormatting>
  <conditionalFormatting sqref="G131">
    <cfRule type="duplicateValues" dxfId="37" priority="11"/>
    <cfRule type="duplicateValues" dxfId="36" priority="12"/>
  </conditionalFormatting>
  <conditionalFormatting sqref="G132">
    <cfRule type="duplicateValues" dxfId="35" priority="9"/>
    <cfRule type="duplicateValues" dxfId="34" priority="10"/>
  </conditionalFormatting>
  <conditionalFormatting sqref="G133">
    <cfRule type="duplicateValues" dxfId="33" priority="7"/>
    <cfRule type="duplicateValues" dxfId="32" priority="8"/>
  </conditionalFormatting>
  <conditionalFormatting sqref="G140">
    <cfRule type="duplicateValues" dxfId="31" priority="47"/>
    <cfRule type="duplicateValues" dxfId="30" priority="48"/>
  </conditionalFormatting>
  <conditionalFormatting sqref="G163">
    <cfRule type="duplicateValues" dxfId="29" priority="39"/>
    <cfRule type="duplicateValues" dxfId="28" priority="40"/>
  </conditionalFormatting>
  <conditionalFormatting sqref="G165">
    <cfRule type="duplicateValues" dxfId="27" priority="37"/>
    <cfRule type="duplicateValues" dxfId="26" priority="38"/>
  </conditionalFormatting>
  <conditionalFormatting sqref="G166">
    <cfRule type="duplicateValues" dxfId="25" priority="35"/>
    <cfRule type="duplicateValues" dxfId="24" priority="36"/>
  </conditionalFormatting>
  <conditionalFormatting sqref="G167">
    <cfRule type="duplicateValues" dxfId="23" priority="33"/>
    <cfRule type="duplicateValues" dxfId="22" priority="34"/>
  </conditionalFormatting>
  <conditionalFormatting sqref="G175">
    <cfRule type="duplicateValues" dxfId="21" priority="49"/>
    <cfRule type="duplicateValues" dxfId="20" priority="50"/>
  </conditionalFormatting>
  <conditionalFormatting sqref="G188">
    <cfRule type="duplicateValues" dxfId="19" priority="53"/>
    <cfRule type="duplicateValues" dxfId="18" priority="54"/>
  </conditionalFormatting>
  <conditionalFormatting sqref="G189">
    <cfRule type="duplicateValues" dxfId="17" priority="51"/>
    <cfRule type="duplicateValues" dxfId="16" priority="52"/>
  </conditionalFormatting>
  <conditionalFormatting sqref="G215">
    <cfRule type="duplicateValues" dxfId="15" priority="6"/>
  </conditionalFormatting>
  <conditionalFormatting sqref="G243">
    <cfRule type="duplicateValues" dxfId="14" priority="65"/>
  </conditionalFormatting>
  <conditionalFormatting sqref="G244">
    <cfRule type="duplicateValues" dxfId="13" priority="69"/>
  </conditionalFormatting>
  <conditionalFormatting sqref="G246">
    <cfRule type="duplicateValues" dxfId="12" priority="68"/>
  </conditionalFormatting>
  <conditionalFormatting sqref="G247">
    <cfRule type="duplicateValues" dxfId="11" priority="67"/>
  </conditionalFormatting>
  <conditionalFormatting sqref="G248">
    <cfRule type="duplicateValues" dxfId="10" priority="66"/>
  </conditionalFormatting>
  <conditionalFormatting sqref="G269">
    <cfRule type="duplicateValues" dxfId="9" priority="1"/>
  </conditionalFormatting>
  <conditionalFormatting sqref="G273">
    <cfRule type="duplicateValues" dxfId="8" priority="22"/>
  </conditionalFormatting>
  <conditionalFormatting sqref="G274">
    <cfRule type="duplicateValues" dxfId="7" priority="21"/>
  </conditionalFormatting>
  <conditionalFormatting sqref="G277:G280">
    <cfRule type="duplicateValues" dxfId="6" priority="2"/>
  </conditionalFormatting>
  <conditionalFormatting sqref="G281">
    <cfRule type="duplicateValues" dxfId="5" priority="20"/>
  </conditionalFormatting>
  <conditionalFormatting sqref="G301">
    <cfRule type="duplicateValues" dxfId="4" priority="19"/>
  </conditionalFormatting>
  <conditionalFormatting sqref="G302">
    <cfRule type="duplicateValues" dxfId="3" priority="18"/>
  </conditionalFormatting>
  <conditionalFormatting sqref="G303">
    <cfRule type="duplicateValues" dxfId="2" priority="17"/>
  </conditionalFormatting>
  <conditionalFormatting sqref="G304">
    <cfRule type="duplicateValues" dxfId="1" priority="16"/>
  </conditionalFormatting>
  <conditionalFormatting sqref="G313">
    <cfRule type="duplicateValues" dxfId="0" priority="15"/>
  </conditionalFormatting>
  <dataValidations count="3">
    <dataValidation type="list" allowBlank="1" showInputMessage="1" showErrorMessage="1" errorTitle="잘못된 입력" error="Tier 1, Tier 2, Tier 3 중 하나를 선택해주세요." promptTitle="Tier 선택" prompt="Tier 1 / Tier 2 / Tier 3 중 선택하세요" sqref="C299:C300 C3:C270" xr:uid="{6BDEDCBE-F62F-4170-B364-6191B7CC1A0B}">
      <formula1>"Tier 1,Tier 2,Tier 3"</formula1>
    </dataValidation>
    <dataValidation type="list" allowBlank="1" showInputMessage="1" showErrorMessage="1" sqref="B385:B457" xr:uid="{9BCC0B59-A57E-4AA8-84EE-105DE6DFB3A2}">
      <formula1>"New,NDA,Contract,Certificate,Pending LIVE,Active,On Hold,Pipeline"</formula1>
    </dataValidation>
    <dataValidation type="list" allowBlank="1" showInputMessage="1" showErrorMessage="1" sqref="B3:B384" xr:uid="{635E4B0F-F6B3-4C55-9911-7273A9677486}">
      <formula1>"New,NDA,Contract,Certificate,Pending LIVE,Active,On Hold,Pipeline,Terminated,Dropped"</formula1>
    </dataValidation>
  </dataValidations>
  <hyperlinks>
    <hyperlink ref="X74" r:id="rId1" xr:uid="{A7074449-5A56-433B-94F2-9874C88DF979}"/>
    <hyperlink ref="X49" r:id="rId2" xr:uid="{B463A3BC-90A4-4776-9192-CF27552D5B21}"/>
    <hyperlink ref="X50" r:id="rId3" xr:uid="{4DFF1C54-7E44-4382-B07E-A6371A939B61}"/>
    <hyperlink ref="X51" r:id="rId4" xr:uid="{8EB33383-1E8B-415A-A124-4CE4C81D4D26}"/>
    <hyperlink ref="X52" r:id="rId5" xr:uid="{95982F9D-B403-4CD7-B4CB-98D346A6D777}"/>
    <hyperlink ref="X53" r:id="rId6" xr:uid="{2FB26E04-66CF-4CBC-ADBE-628566FAF4AE}"/>
    <hyperlink ref="X54" r:id="rId7" xr:uid="{F9B31CAF-7DDB-42A9-B8BF-B7C18EB7E20E}"/>
    <hyperlink ref="X56" r:id="rId8" xr:uid="{1DC19C59-2C64-4C80-872D-31A6597B3605}"/>
    <hyperlink ref="X57" r:id="rId9" xr:uid="{2F0C148B-61E5-4762-9A54-5619FA1142B4}"/>
    <hyperlink ref="X72" r:id="rId10" xr:uid="{F05EC44A-C886-407A-96E5-4B7EB684E0E6}"/>
    <hyperlink ref="X79" r:id="rId11" display="hrc@hrclink.com.tw/eunice@hrclink.com.tw" xr:uid="{4367425F-9287-48E3-86FA-59CA1C1ABDAA}"/>
    <hyperlink ref="X5" r:id="rId12" xr:uid="{3BB1DF1E-F25C-48D8-B9F8-A29F86D3F084}"/>
    <hyperlink ref="X6" r:id="rId13" xr:uid="{5FA28228-0DED-48A6-9348-AF032EAB3994}"/>
    <hyperlink ref="X7" r:id="rId14" xr:uid="{6126F4DA-8E28-416D-8C7D-7194F4AABC12}"/>
    <hyperlink ref="X21" r:id="rId15" xr:uid="{8542FC48-9C0E-4931-9D51-AE60095CDBEF}"/>
    <hyperlink ref="X9" r:id="rId16" display="iris.nam@ly.com" xr:uid="{EA90C05E-FE99-437F-A018-A88ECF4D23F3}"/>
    <hyperlink ref="X78" r:id="rId17" xr:uid="{829D8F3D-B232-4DB0-B23C-3524388DCEDC}"/>
    <hyperlink ref="X76" r:id="rId18" xr:uid="{4B0F9A9C-0133-480A-A50C-FD0E0F0C7AEA}"/>
    <hyperlink ref="F61" r:id="rId19" xr:uid="{058336A6-F73D-458C-A4EC-4D49114C2923}"/>
    <hyperlink ref="Z46" r:id="rId20" xr:uid="{50C15E8B-AC7A-4672-8CCE-CE154E009C77}"/>
    <hyperlink ref="X77" r:id="rId21" xr:uid="{08DE019F-189E-49B0-AC82-40190826854A}"/>
    <hyperlink ref="F74" r:id="rId22" xr:uid="{D2CA549A-1B70-48F7-97F9-62142B4E3E35}"/>
    <hyperlink ref="F77" r:id="rId23" xr:uid="{1B7575A1-7CEB-431C-AD1D-7EE911E98F34}"/>
    <hyperlink ref="F49" r:id="rId24" xr:uid="{B79CBF3A-6D38-4147-8E87-172ADA8A7C52}"/>
    <hyperlink ref="F50" r:id="rId25" xr:uid="{1E617BD7-B9FE-4E14-B73C-86A2E116BB5F}"/>
    <hyperlink ref="F51" r:id="rId26" xr:uid="{8C69A6F8-C40F-4EB7-A2B6-3A06339F51FD}"/>
    <hyperlink ref="F57" r:id="rId27" xr:uid="{5D6DF356-0C5D-42F1-B60C-91C98B85327E}"/>
    <hyperlink ref="F78" r:id="rId28" xr:uid="{65A3B91D-FD1C-42BA-B167-0966FCF55BF0}"/>
    <hyperlink ref="F46" r:id="rId29" xr:uid="{96FA6BD5-05A3-4DA9-B9EA-36283EE1FDE5}"/>
    <hyperlink ref="F69" r:id="rId30" xr:uid="{D228BE46-D971-4A99-A89D-153489E97F38}"/>
    <hyperlink ref="F64" r:id="rId31" xr:uid="{F20F196A-BA89-4724-B54B-9025DBDA58F2}"/>
    <hyperlink ref="F27" r:id="rId32" xr:uid="{4F2EB90A-43C2-47DF-ABEA-6BE6FDAFD4C2}"/>
    <hyperlink ref="F5" r:id="rId33" xr:uid="{1232CF65-4A8A-4991-87EE-CC0B454FBDFA}"/>
    <hyperlink ref="F6" r:id="rId34" xr:uid="{3BE7DF7F-1C75-45E3-AB88-1B2107D43027}"/>
    <hyperlink ref="F7" r:id="rId35" xr:uid="{E4E91D9D-D746-4EB4-B19D-25773A6B17EF}"/>
    <hyperlink ref="F16" r:id="rId36" xr:uid="{AAFC8E26-0AF4-409E-B86F-032DBB69CD11}"/>
    <hyperlink ref="Z90" r:id="rId37" xr:uid="{9DE5D0AA-AFBB-4F82-AFBD-22591EEB2B73}"/>
    <hyperlink ref="Z91" r:id="rId38" xr:uid="{2C5F7F76-93AA-4B92-A42D-FEB8835900A2}"/>
    <hyperlink ref="Z92" r:id="rId39" xr:uid="{3F3494E0-B69E-44D1-B15E-87DB646C288F}"/>
    <hyperlink ref="Z94" r:id="rId40" xr:uid="{73EAC607-47F7-4E97-90AC-2E7F145E4BAF}"/>
    <hyperlink ref="Z5" r:id="rId41" xr:uid="{841882C6-01A8-4CF8-A581-05F3959F9389}"/>
    <hyperlink ref="Z10" r:id="rId42" xr:uid="{773024FC-B7DC-4CD0-BCF1-B2A0725CF5B0}"/>
    <hyperlink ref="Z12" r:id="rId43" xr:uid="{5B735112-DF19-4118-B3B4-55EF67C7393E}"/>
    <hyperlink ref="X14" r:id="rId44" xr:uid="{BC3847C9-68E2-4E95-99AC-F1A38FF1CC2A}"/>
    <hyperlink ref="Z13" r:id="rId45" xr:uid="{73F964F5-5177-4B2C-B398-4C1A7FD0E48A}"/>
    <hyperlink ref="X80" r:id="rId46" display="globalhotel-9@cnbooking.net" xr:uid="{CA3B36A3-6CC9-4359-8134-FDDF9A1E38A9}"/>
    <hyperlink ref="Z75" r:id="rId47" xr:uid="{2FF65419-3F66-4AFE-BEB3-FD4B764E665E}"/>
    <hyperlink ref="X61" r:id="rId48" xr:uid="{4A66B67D-40C1-4023-A7D1-5F0242B6AD92}"/>
    <hyperlink ref="X64" r:id="rId49" xr:uid="{C1454AE9-D69E-4884-9844-622AF3C77185}"/>
    <hyperlink ref="Z69" r:id="rId50" xr:uid="{36BD447C-B001-49E3-956D-E013E74C5073}"/>
    <hyperlink ref="X69" r:id="rId51" xr:uid="{B76628FF-3B46-4F50-9018-277B48942E2D}"/>
    <hyperlink ref="X73" r:id="rId52" xr:uid="{288DB9D7-D2C5-4678-BD54-553948792DBD}"/>
    <hyperlink ref="X71" r:id="rId53" xr:uid="{CE8930CE-3B81-4058-A026-3DC3B8FD43F2}"/>
    <hyperlink ref="X16" r:id="rId54" xr:uid="{E62A9CD9-1E56-4DC8-AF43-8C565121DAB0}"/>
    <hyperlink ref="X95" r:id="rId55" xr:uid="{BE1256B7-883C-4BBA-93F7-78573299C4E7}"/>
    <hyperlink ref="F8" r:id="rId56" xr:uid="{BBB53DA3-79A4-4868-ADA2-89A8BFE0CD3D}"/>
    <hyperlink ref="F10" r:id="rId57" xr:uid="{EFE6B4A2-62E9-4251-BADD-08CB8E318DD3}"/>
    <hyperlink ref="F12" r:id="rId58" xr:uid="{B51F9176-6715-4998-AF25-DBE1EBED3402}"/>
    <hyperlink ref="F13" r:id="rId59" xr:uid="{ED760156-4069-4CED-9B7C-234422079C56}"/>
    <hyperlink ref="F21" r:id="rId60" xr:uid="{8EC3FEE6-8AA9-458F-9977-AB64BD5D28C4}"/>
    <hyperlink ref="F52" r:id="rId61" xr:uid="{5A6C57C4-F470-43CC-AE45-E246F0E9B0DA}"/>
    <hyperlink ref="F56" r:id="rId62" xr:uid="{97FCB164-BEEE-4F24-9897-39B0BBB33A01}"/>
    <hyperlink ref="F75" r:id="rId63" xr:uid="{8B77ED3A-B5E6-4403-BD72-23E3BFAE3D30}"/>
    <hyperlink ref="F76" r:id="rId64" xr:uid="{A2E6A913-54B2-4E2F-87CE-4285735E0B61}"/>
    <hyperlink ref="F80" r:id="rId65" xr:uid="{20F050D4-C6F3-4C8F-9D9F-594148A47AD6}"/>
    <hyperlink ref="F95" r:id="rId66" xr:uid="{E255B6C5-64E9-42C3-95BF-C567BF3CF2B6}"/>
    <hyperlink ref="X13" r:id="rId67" xr:uid="{BDB94E01-B746-40F1-84B2-CA6AED4FFD6E}"/>
    <hyperlink ref="X96" r:id="rId68" xr:uid="{A6DB105F-46CC-48CC-A59E-168FCDF29042}"/>
    <hyperlink ref="Z96" r:id="rId69" xr:uid="{C738CEC0-26A6-4A23-9F24-802C1E9DC830}"/>
    <hyperlink ref="F96" r:id="rId70" xr:uid="{CC07C5C4-9743-4A1F-B991-ABE5D6D8096D}"/>
    <hyperlink ref="X104" r:id="rId71" xr:uid="{D442750D-AFD1-47E4-842C-713680B25062}"/>
    <hyperlink ref="X105" r:id="rId72" xr:uid="{5CAF8BD9-0684-44D2-A95B-48B7A277A37B}"/>
    <hyperlink ref="X107" r:id="rId73" xr:uid="{7D9E5FCA-CBD0-4237-AFFE-E06166606161}"/>
    <hyperlink ref="Z107" r:id="rId74" xr:uid="{E1D1556F-EAAB-486A-B938-186E1FF3A74A}"/>
    <hyperlink ref="X106" r:id="rId75" xr:uid="{7D1A937C-DC16-4A3B-A17F-3DD5DB11315D}"/>
    <hyperlink ref="X108" r:id="rId76" xr:uid="{D866D62C-9473-4B14-B11E-AB643739D993}"/>
    <hyperlink ref="X112" r:id="rId77" xr:uid="{6888CA19-55BF-4179-B25A-B98199D6D37A}"/>
    <hyperlink ref="X113" r:id="rId78" xr:uid="{1499794E-B48B-4602-9EAD-8E5A97A14228}"/>
    <hyperlink ref="X114" r:id="rId79" xr:uid="{08519B79-A92D-4CA7-A2ED-2089AE04E96E}"/>
    <hyperlink ref="F114" r:id="rId80" xr:uid="{222589C2-84FB-40F7-9A06-8BEA30E75486}"/>
    <hyperlink ref="F113" r:id="rId81" xr:uid="{21414BFD-8F90-414E-9384-45D976A30C77}"/>
    <hyperlink ref="F112" r:id="rId82" xr:uid="{1E8F9816-4643-4016-8A6C-3F5932267EEE}"/>
    <hyperlink ref="X110" r:id="rId83" xr:uid="{EF3DE01D-4C1A-4A96-BC66-BBFEF05A7CF7}"/>
    <hyperlink ref="X115" r:id="rId84" xr:uid="{827E09C0-A6B4-4436-B21B-79F11E80D146}"/>
    <hyperlink ref="X117" r:id="rId85" xr:uid="{D5429FDB-4E17-4DAE-B670-E4B0A3638649}"/>
    <hyperlink ref="X98" r:id="rId86" xr:uid="{0172B9A8-4CB9-47B6-8508-FBAA3DA1540C}"/>
    <hyperlink ref="X89" r:id="rId87" xr:uid="{F71A37F2-95BB-4084-AD50-B9E1D2976112}"/>
    <hyperlink ref="X102" r:id="rId88" xr:uid="{61A5B4FB-DD11-4A1B-8437-0C4FA356CCD0}"/>
    <hyperlink ref="F117" r:id="rId89" xr:uid="{91A2CFC2-7A73-40CE-93E9-245E7254B839}"/>
    <hyperlink ref="Z103" r:id="rId90" xr:uid="{061F5250-E1D1-425B-B20E-24110F6ECC39}"/>
    <hyperlink ref="X103" r:id="rId91" xr:uid="{95799497-3750-4651-9C23-B7E037411074}"/>
    <hyperlink ref="X109" r:id="rId92" xr:uid="{5274E68F-A4E2-4222-9D46-3C074758D6DC}"/>
    <hyperlink ref="X116" r:id="rId93" xr:uid="{01566AFD-2306-4941-9314-9A791DDFB4DB}"/>
    <hyperlink ref="F73" r:id="rId94" xr:uid="{68964948-8278-480D-94FA-134D050511E9}"/>
    <hyperlink ref="X119" r:id="rId95" xr:uid="{C0FCA1CC-8C9B-446A-8522-C9CC0438E6E0}"/>
    <hyperlink ref="X120" r:id="rId96" xr:uid="{1948D19C-D7E1-4F1B-9ED0-A647F2ECE09D}"/>
    <hyperlink ref="X122" r:id="rId97" xr:uid="{CC8F0D40-5BE3-4CF6-A6AA-4B2263DC6D95}"/>
    <hyperlink ref="X127" r:id="rId98" xr:uid="{981F48CA-5130-45B2-8CAE-54A6ED64796C}"/>
    <hyperlink ref="X132" r:id="rId99" xr:uid="{FC18D096-A8A9-46CE-8404-7935D7A48B66}"/>
    <hyperlink ref="X128" r:id="rId100" xr:uid="{C8B08FDA-1D48-4ED6-82B4-235FFFEB221C}"/>
    <hyperlink ref="X130" r:id="rId101" xr:uid="{F2133F21-1D07-4FCD-AF43-8EE35249F716}"/>
    <hyperlink ref="X129" r:id="rId102" xr:uid="{67391945-2249-48BD-BC1D-7E76CD193726}"/>
    <hyperlink ref="X131" r:id="rId103" xr:uid="{558048AD-939C-4AB4-9BF2-39831A059C37}"/>
    <hyperlink ref="X62" r:id="rId104" xr:uid="{7ADF0F27-C30B-43A5-BA79-76691F43BCA9}"/>
    <hyperlink ref="X8" r:id="rId105" xr:uid="{947CE44E-AF34-43B1-BAF9-896A0E4B9F03}"/>
    <hyperlink ref="X207" r:id="rId106" xr:uid="{4A0DF620-CE75-4E90-BB72-29CC144C4E81}"/>
    <hyperlink ref="Z207" r:id="rId107" xr:uid="{43AF931A-A7EB-4656-856E-664058F47218}"/>
    <hyperlink ref="X65" r:id="rId108" xr:uid="{E30652AE-450D-4149-AE29-8489B61F5082}"/>
    <hyperlink ref="Z65" r:id="rId109" xr:uid="{A4CEADA9-BDB6-4A3C-B9E7-FF26B3CCA5C8}"/>
    <hyperlink ref="X208" r:id="rId110" xr:uid="{747E9C63-E8DC-4E4C-B7C8-91FE108D6150}"/>
    <hyperlink ref="X206" r:id="rId111" xr:uid="{43F43003-DEDD-460C-8AC1-AD397E046CBE}"/>
    <hyperlink ref="Z206" r:id="rId112" xr:uid="{4AEF4D75-07D3-4B78-BC0C-7657C4FA265C}"/>
    <hyperlink ref="X97" r:id="rId113" xr:uid="{01FD72D0-1D5C-416C-8B10-02A6F23DFD47}"/>
    <hyperlink ref="X118" r:id="rId114" xr:uid="{D2794FFC-2A84-4E5E-BDA6-CFFAFE1B3687}"/>
    <hyperlink ref="Y103" r:id="rId115" xr:uid="{674F08EC-5666-47F8-9DCF-CD89A4E16204}"/>
    <hyperlink ref="Y118" r:id="rId116" xr:uid="{572C7745-157A-402A-B823-E7F596D82719}"/>
    <hyperlink ref="Y101" r:id="rId117" xr:uid="{AC261557-1614-4259-A019-7BF4084E875B}"/>
    <hyperlink ref="X209" r:id="rId118" xr:uid="{DC1F80D4-738A-4AE6-8A4C-1E2595CCE7FA}"/>
    <hyperlink ref="X210" r:id="rId119" xr:uid="{25BBFC61-D564-46C0-A3EC-7A4F160B4F7C}"/>
    <hyperlink ref="X211" r:id="rId120" xr:uid="{CF6C0F3E-9D6E-453D-BF95-A995AACC6620}"/>
    <hyperlink ref="X212" r:id="rId121" display="'fd@hdbooking.com'" xr:uid="{9833C6CE-2DD5-4434-9738-39850B7C223A}"/>
    <hyperlink ref="Z210" r:id="rId122" location="/login" xr:uid="{F6578A8E-2DA3-48B9-8E4E-BDE8E5299379}"/>
    <hyperlink ref="Z211" r:id="rId123" xr:uid="{15468626-5316-498D-BC72-6B2B8671F49A}"/>
    <hyperlink ref="Z209" r:id="rId124" xr:uid="{3F15FC54-EBE3-473F-B0B5-2E6CD1332699}"/>
    <hyperlink ref="Z213" r:id="rId125" xr:uid="{B1B8D3FC-DA44-44D0-B70B-8DB885C697C6}"/>
    <hyperlink ref="Z212" r:id="rId126" xr:uid="{5C1AFC07-4D77-4334-A3EB-D1AFF00C8CF2}"/>
    <hyperlink ref="X214" r:id="rId127" xr:uid="{8E097365-CA48-41DB-8828-EBEC23D86498}"/>
    <hyperlink ref="Z214" r:id="rId128" xr:uid="{D69450DD-D149-4697-829D-B44B76703DF6}"/>
    <hyperlink ref="X101" r:id="rId129" xr:uid="{9F6EAD6F-BF4E-4084-9DD5-12FA29B96A86}"/>
    <hyperlink ref="Y98" r:id="rId130" xr:uid="{70A98081-C0B7-4D19-90AF-6629CBB5F756}"/>
    <hyperlink ref="X221" r:id="rId131" xr:uid="{7BE18CF7-7EB0-45B8-A6B9-07335B402FC9}"/>
    <hyperlink ref="X225" r:id="rId132" xr:uid="{D15135A9-95A4-4324-8EE3-C62F443257B9}"/>
    <hyperlink ref="Z93" r:id="rId133" xr:uid="{60F912DB-3591-41A7-BA74-D51D137D068C}"/>
    <hyperlink ref="X12" r:id="rId134" xr:uid="{F83D87BC-5CFF-485F-939E-8BD857AC5FC0}"/>
    <hyperlink ref="X227" r:id="rId135" xr:uid="{FB312B3A-933C-4605-9868-A86D8A35D42F}"/>
    <hyperlink ref="X228" r:id="rId136" xr:uid="{36D366FD-209C-4602-AD0A-54C97B55053A}"/>
    <hyperlink ref="X229" r:id="rId137" xr:uid="{FC0A920B-4F8B-46FD-BC7F-4406745166AB}"/>
    <hyperlink ref="Z230" r:id="rId138" xr:uid="{AC6B6DDD-F42C-4C54-8C76-3B0E870A6D4E}"/>
    <hyperlink ref="X230" r:id="rId139" xr:uid="{55B74832-595B-480B-B220-A6E179C5BB55}"/>
    <hyperlink ref="X236" r:id="rId140" xr:uid="{1A46863D-B91A-499B-9ED8-F01AB306A9FF}"/>
    <hyperlink ref="Y236" r:id="rId141" xr:uid="{AC5F9155-F0F6-4791-9077-67098FF400DD}"/>
    <hyperlink ref="Y238" r:id="rId142" xr:uid="{7BBD7F7E-53F6-456C-8A6D-955FA9B05FA1}"/>
    <hyperlink ref="X241" r:id="rId143" xr:uid="{705F7F2D-D39C-40EE-B65B-E3AA5478E66A}"/>
    <hyperlink ref="X242" r:id="rId144" xr:uid="{071D1285-A2CF-40E6-A31D-B3C171BF1167}"/>
    <hyperlink ref="X240" r:id="rId145" xr:uid="{D7B46E13-7412-45C9-BF06-B5D18230B06A}"/>
    <hyperlink ref="Y240" r:id="rId146" xr:uid="{37191136-B1A5-4D2A-8C94-C0D44C2799BF}"/>
    <hyperlink ref="X244" r:id="rId147" xr:uid="{55127A07-8346-4A69-81F3-74E329C736DA}"/>
    <hyperlink ref="Y244" r:id="rId148" xr:uid="{DB4DC112-0642-454D-979F-7747758ACD91}"/>
    <hyperlink ref="Z244" r:id="rId149" xr:uid="{B47B326F-3492-40CE-A5F0-F1F34067DA57}"/>
    <hyperlink ref="X245" r:id="rId150" xr:uid="{7C282E92-8747-4681-A0DD-39D5BCE4C9F2}"/>
    <hyperlink ref="X246" r:id="rId151" xr:uid="{D858FBD1-65B2-451E-B502-A72C7DB44E35}"/>
    <hyperlink ref="Y246" r:id="rId152" xr:uid="{E5B72726-C6BE-409B-A601-1E7E149D07B0}"/>
    <hyperlink ref="Z246" r:id="rId153" xr:uid="{A88C49B6-FBDE-4966-AB9A-C31986C18076}"/>
    <hyperlink ref="X247" r:id="rId154" xr:uid="{6F3B578E-F29C-4A9E-8E62-EFFB6AD99A5D}"/>
    <hyperlink ref="Z247" r:id="rId155" xr:uid="{8212C974-73BD-4806-9FDD-ABB0FBEDFCA7}"/>
    <hyperlink ref="X248" r:id="rId156" xr:uid="{B8154A50-6B53-4957-B7B9-C702CFBDC0B1}"/>
    <hyperlink ref="Z248" r:id="rId157" xr:uid="{042D4AA0-60EF-48B1-BA51-315E01FC034B}"/>
    <hyperlink ref="X249" r:id="rId158" xr:uid="{A828D076-C5C2-47F8-9A19-5E58272DFC2D}"/>
    <hyperlink ref="Z249" r:id="rId159" xr:uid="{8BFD0192-1B85-4844-BA35-482B5BEEE767}"/>
    <hyperlink ref="Z243" r:id="rId160" xr:uid="{C7901B9B-C807-4B96-AB11-A254292009F6}"/>
    <hyperlink ref="X243" r:id="rId161" xr:uid="{72A619B5-B1AE-4963-8FD6-18110E14976E}"/>
    <hyperlink ref="Y243" r:id="rId162" xr:uid="{2CFABD37-EE0A-4A3F-8F4C-0ED558AA4A84}"/>
    <hyperlink ref="X22" r:id="rId163" xr:uid="{F8D451E2-DC10-4075-ABCF-D14F1C8FE6BB}"/>
    <hyperlink ref="Z22" r:id="rId164" xr:uid="{7C14A43A-9297-4E74-A880-5B08FB8090D6}"/>
    <hyperlink ref="Y116" r:id="rId165" xr:uid="{D7567D6D-4249-45E5-A9D3-F5B18E624986}"/>
    <hyperlink ref="X161" r:id="rId166" xr:uid="{BEC733E5-B835-4170-9320-C1B27A947E0E}"/>
    <hyperlink ref="Y161" r:id="rId167" xr:uid="{F63D10BD-F59F-4308-9FA9-696527B3273F}"/>
    <hyperlink ref="Z161" r:id="rId168" xr:uid="{A865EF46-265B-4101-9CF5-D0E08D7E0A10}"/>
    <hyperlink ref="X237" r:id="rId169" xr:uid="{BECCFDC6-52B7-41B5-A5EF-F7B204BAC5DC}"/>
    <hyperlink ref="Y237" r:id="rId170" xr:uid="{2CAEE33D-6D49-413B-8F2E-28A4DC304034}"/>
    <hyperlink ref="Y241" r:id="rId171" xr:uid="{F016DD35-57B3-4273-AEE4-69123702689D}"/>
    <hyperlink ref="X250" r:id="rId172" xr:uid="{E122972E-A0ED-43BA-B0A6-F286F5F30F56}"/>
    <hyperlink ref="Z251" r:id="rId173" xr:uid="{C6AAD881-E165-401D-BBC6-AA66E7182698}"/>
    <hyperlink ref="X252" r:id="rId174" xr:uid="{A89CA787-3189-4A23-BAC2-4802F915DF32}"/>
    <hyperlink ref="X142" r:id="rId175" xr:uid="{0337417A-FA66-494D-97EE-30FEC1C782B3}"/>
    <hyperlink ref="X141" r:id="rId176" xr:uid="{75A5D853-8195-4085-BE77-4A75CF43A426}"/>
    <hyperlink ref="Z104" r:id="rId177" xr:uid="{99CE0B08-C644-46DE-B2D3-ACA9FF1B7015}"/>
    <hyperlink ref="Y97" r:id="rId178" xr:uid="{6F65A034-2ABF-45D5-8D11-73F2ACE2AB47}"/>
    <hyperlink ref="Y99" r:id="rId179" xr:uid="{44CA8F7E-A9C7-4DBA-8162-D5C9725253FC}"/>
    <hyperlink ref="Y239" r:id="rId180" xr:uid="{4C930679-7D4E-4748-863F-476476560178}"/>
    <hyperlink ref="X239" r:id="rId181" xr:uid="{43B60905-869A-4311-B03B-10002BF7A6C7}"/>
    <hyperlink ref="Y208" r:id="rId182" xr:uid="{65D8F454-0A93-4B4F-B7D4-AD8D4B6F963A}"/>
    <hyperlink ref="Z208" r:id="rId183" xr:uid="{4766205B-95EA-4431-91F2-D74C67506E0E}"/>
    <hyperlink ref="X139" r:id="rId184" xr:uid="{5191C6B6-4B92-4EC6-ADA1-DDCB8387A368}"/>
    <hyperlink ref="X138" r:id="rId185" xr:uid="{B342CBF1-9EB5-4D36-91EE-91945DBEB493}"/>
    <hyperlink ref="Y138" r:id="rId186" xr:uid="{164F7861-1F50-40EC-AC71-C7639892BDA9}"/>
    <hyperlink ref="X188" r:id="rId187" xr:uid="{04139D80-AEA6-40BB-A6C9-F7802748C10B}"/>
    <hyperlink ref="X256" r:id="rId188" xr:uid="{69014F8A-9FEA-415E-B549-38096F539060}"/>
    <hyperlink ref="Z256" r:id="rId189" xr:uid="{869CCF94-60F6-4D2E-AAB9-33A5A156865B}"/>
    <hyperlink ref="X58" r:id="rId190" xr:uid="{0BFE51A9-9EAB-462D-874C-74B3C65DB226}"/>
    <hyperlink ref="X255" r:id="rId191" xr:uid="{A3109F40-6D30-4393-BA44-7D54D1761491}"/>
    <hyperlink ref="X213" r:id="rId192" display="'xiaohui.ye@fangcang.com'" xr:uid="{F79EDB37-ACDA-4785-AA63-DC23018D4973}"/>
    <hyperlink ref="X125" r:id="rId193" xr:uid="{037C3ED5-7C3A-4482-9D24-6592E9672BD0}"/>
    <hyperlink ref="Z257" r:id="rId194" xr:uid="{704A6500-DF85-49A1-879D-9AE1EBD0FC3A}"/>
    <hyperlink ref="Z258" r:id="rId195" xr:uid="{5054ED2B-CCB5-4536-8A54-39DBA7869392}"/>
    <hyperlink ref="Z259" r:id="rId196" xr:uid="{B6301447-2623-4B17-98CD-AB3B3B4EFAC6}"/>
    <hyperlink ref="Z260" r:id="rId197" xr:uid="{F1E52224-95E9-4E39-B6E8-182BF10EE80C}"/>
    <hyperlink ref="Z261" r:id="rId198" xr:uid="{4F570151-1D3D-48CC-9899-69C6ADD452A6}"/>
    <hyperlink ref="Z262" r:id="rId199" xr:uid="{841816F3-4E1E-49C0-B694-88ABEF5C501C}"/>
    <hyperlink ref="Z263" r:id="rId200" xr:uid="{2313CFA9-5CE2-45D8-BA83-D9BF2952FC19}"/>
    <hyperlink ref="Z264" r:id="rId201" xr:uid="{A98211D5-13E1-41FF-84A5-A49D449F773D}"/>
    <hyperlink ref="Z265" r:id="rId202" xr:uid="{710B6539-8332-4D17-A039-1A986804BDA0}"/>
    <hyperlink ref="Z266" r:id="rId203" xr:uid="{29A2EE24-20A0-4C2E-9084-D2BE681618FE}"/>
    <hyperlink ref="X268" r:id="rId204" xr:uid="{FA75C111-FD8D-4A64-9000-A975B7C2B68D}"/>
    <hyperlink ref="Z268" r:id="rId205" xr:uid="{032C1442-B22F-4AE3-AA41-40D15F7C998E}"/>
    <hyperlink ref="X99" r:id="rId206" xr:uid="{3172D39D-A727-401F-B57D-8B2AB7C74000}"/>
    <hyperlink ref="X269" r:id="rId207" xr:uid="{C97EA081-8FD7-4E1B-8098-1A349A801E94}"/>
    <hyperlink ref="Z269" r:id="rId208" xr:uid="{E254361D-D2AA-4F8E-963F-0495A76D9249}"/>
    <hyperlink ref="X270" r:id="rId209" xr:uid="{D6A75D69-A3B3-4843-9756-DE9CAEEE61F3}"/>
    <hyperlink ref="Z270" r:id="rId210" xr:uid="{73928E4F-CF43-4B48-8DFA-4901B0D9131C}"/>
    <hyperlink ref="X135" r:id="rId211" xr:uid="{7E88A395-78F1-445A-B62D-A2A9FF446290}"/>
    <hyperlink ref="Y135" r:id="rId212" xr:uid="{42AD61C9-E921-43FA-95C6-07691EA9377F}"/>
    <hyperlink ref="X271" r:id="rId213" xr:uid="{6EE4E811-7092-4FD8-9B3C-758D86867492}"/>
    <hyperlink ref="Y271" r:id="rId214" xr:uid="{F0B468D4-223A-4881-BBF3-874715A54E86}"/>
    <hyperlink ref="Z271" r:id="rId215" xr:uid="{621FCBC6-7811-4440-AA59-3CE71D125EDC}"/>
    <hyperlink ref="X220" r:id="rId216" xr:uid="{DEECEFF8-2942-4A15-ADE0-6BCEDFDC1A3E}"/>
    <hyperlink ref="Z163" r:id="rId217" xr:uid="{C38A0B20-611D-4771-B8A7-364888B1163E}"/>
    <hyperlink ref="X163" r:id="rId218" xr:uid="{5A7A0443-2DB2-487C-8CB2-45F76C103406}"/>
    <hyperlink ref="X272" r:id="rId219" xr:uid="{90830AC0-E446-4EE2-9030-A3E2CD8D9A4C}"/>
    <hyperlink ref="X273" r:id="rId220" xr:uid="{A95C0D6A-8421-4A56-8093-E655458B5524}"/>
    <hyperlink ref="Z272" r:id="rId221" xr:uid="{26D0A82C-7DAC-49BF-8453-F871C1D42175}"/>
    <hyperlink ref="Z273" r:id="rId222" xr:uid="{4FD1F0F4-F933-450E-971C-A4260A01FD8D}"/>
    <hyperlink ref="X274" r:id="rId223" xr:uid="{98030FC4-7592-4302-8925-F84252FC9509}"/>
    <hyperlink ref="Z274" r:id="rId224" xr:uid="{EE4AB0C3-79D1-4995-B1C6-5756604ECD07}"/>
    <hyperlink ref="X275" r:id="rId225" xr:uid="{4EB1C321-87F7-4E93-B06C-735E5CD0B602}"/>
    <hyperlink ref="Z275" r:id="rId226" xr:uid="{EEC38553-C393-4F4D-8C7D-F96D37E61F89}"/>
    <hyperlink ref="X276" r:id="rId227" xr:uid="{E192E619-A1F5-4F45-9FFF-B229F2A1EA68}"/>
    <hyperlink ref="Y276" r:id="rId228" xr:uid="{B2BB9B38-B93E-41CA-BC7F-4ACDB8B1909F}"/>
    <hyperlink ref="Z276" r:id="rId229" xr:uid="{0698E473-DF1F-4265-AD76-F6892D9B2768}"/>
    <hyperlink ref="X299" r:id="rId230" xr:uid="{7B6A407B-29A2-469C-A971-D2C88AEC8F3A}"/>
    <hyperlink ref="X281" r:id="rId231" xr:uid="{4DFC8A36-566C-46E3-AF9D-E9A42579A91F}"/>
    <hyperlink ref="Z281" r:id="rId232" xr:uid="{8273BB7C-73D3-4A1E-BA71-12B999709A33}"/>
    <hyperlink ref="X282" r:id="rId233" xr:uid="{749E279E-3A0B-4BAE-8DB5-0B1941ED379F}"/>
    <hyperlink ref="X283" r:id="rId234" xr:uid="{80E49818-F99A-4ABC-8DA5-AB20794CB032}"/>
    <hyperlink ref="Z283" r:id="rId235" xr:uid="{4C4453AB-2C89-46FA-877A-6A0240576758}"/>
    <hyperlink ref="X284" r:id="rId236" xr:uid="{A4D533CC-226C-42C5-BB4D-FCA69ABF0EC4}"/>
    <hyperlink ref="Z284" r:id="rId237" xr:uid="{40E70498-23CD-4005-BB84-627E28501B05}"/>
    <hyperlink ref="X285" r:id="rId238" xr:uid="{4A143659-5247-41D9-A5ED-0FA63CFEE4FA}"/>
    <hyperlink ref="X286" r:id="rId239" xr:uid="{3AC03179-5FB6-4EAD-8056-90128569D624}"/>
    <hyperlink ref="X287" r:id="rId240" xr:uid="{E295593A-8DDF-4F37-93C2-C1FA36931A01}"/>
    <hyperlink ref="Z287" r:id="rId241" xr:uid="{511E4F77-1E6E-453B-94EE-F9E5F067C0D2}"/>
    <hyperlink ref="X288" r:id="rId242" xr:uid="{43985699-5EE5-46AC-8C0E-68AE8C493F61}"/>
    <hyperlink ref="X289" r:id="rId243" xr:uid="{39752E0C-CFF7-4D2A-BCB1-302B86BF22A4}"/>
    <hyperlink ref="Z289" r:id="rId244" xr:uid="{91401720-37EA-4D0E-896D-7E05E04ED1E3}"/>
    <hyperlink ref="X291" r:id="rId245" xr:uid="{A0150CB8-D5A9-4FA6-8A04-4A9F3950BE7F}"/>
    <hyperlink ref="X301" r:id="rId246" xr:uid="{E00A8BC4-8119-4877-8817-9A5DE81B1648}"/>
    <hyperlink ref="Z301" r:id="rId247" xr:uid="{32642925-6089-4DF9-9FC4-DDF78B4CB8D4}"/>
    <hyperlink ref="X292" r:id="rId248" xr:uid="{9F1CA08A-B3FA-497B-ADBE-8F7FB9C9FD6A}"/>
    <hyperlink ref="X293" r:id="rId249" xr:uid="{621FBA7E-20B8-4452-AA43-AB3EFA94DE74}"/>
    <hyperlink ref="X296" r:id="rId250" xr:uid="{3E31F976-F4AA-4B7E-AEBF-259730BB5A6A}"/>
    <hyperlink ref="Z302" r:id="rId251" xr:uid="{3840F236-20AE-46A8-B227-EBD83440A49A}"/>
    <hyperlink ref="X302" r:id="rId252" xr:uid="{6DB1C10B-6F59-4896-84BE-E97294CF0FAF}"/>
    <hyperlink ref="X297" r:id="rId253" xr:uid="{01684824-6C10-43E2-90AA-B85B849E7656}"/>
    <hyperlink ref="X298" r:id="rId254" xr:uid="{F12CD691-0F10-478B-84F7-83F5D1119FCE}"/>
    <hyperlink ref="Z303" r:id="rId255" xr:uid="{DAEFA3C4-29B1-41F3-A4F6-0CCA33FB3DEE}"/>
    <hyperlink ref="X303" r:id="rId256" xr:uid="{85BCC52F-616E-40D3-8AF5-A77BDB577B3D}"/>
    <hyperlink ref="Z304" r:id="rId257" xr:uid="{CB93E97A-7B11-46D0-BF19-1A04E0A04C75}"/>
    <hyperlink ref="X304" r:id="rId258" xr:uid="{4620FF3C-AF36-4771-9E54-52E083AA343D}"/>
    <hyperlink ref="X300" r:id="rId259" xr:uid="{7311B22E-63CA-40F0-837F-DA20F4613199}"/>
    <hyperlink ref="X305" r:id="rId260" xr:uid="{AA49D5DC-F942-408F-B0DE-A8362224D834}"/>
    <hyperlink ref="X306" r:id="rId261" xr:uid="{06080775-730C-40FC-83F9-A265D41B5BCB}"/>
    <hyperlink ref="X307" r:id="rId262" xr:uid="{BC1D96CB-541C-4531-ABB0-F00F7889DE76}"/>
    <hyperlink ref="X308" r:id="rId263" xr:uid="{C59B27D0-6AFD-4F76-BC8E-16BA6B9CBBF4}"/>
    <hyperlink ref="Z311" r:id="rId264" xr:uid="{DDF1CC29-54B2-4988-BE89-EFCA49641F9F}"/>
    <hyperlink ref="X309" r:id="rId265" xr:uid="{6A42DCE3-6825-4840-AEAA-B52F8C30326C}"/>
    <hyperlink ref="X312" r:id="rId266" xr:uid="{F21E43A7-3E3E-476F-8ED0-F3616932BC60}"/>
    <hyperlink ref="Z312" r:id="rId267" xr:uid="{9C31CCE6-E7E5-49D6-BF08-037164F77CA2}"/>
    <hyperlink ref="X313" r:id="rId268" xr:uid="{ABEC86A6-FFAB-47D3-9168-26ACCECC2E5B}"/>
    <hyperlink ref="X314" r:id="rId269" xr:uid="{8D4B5214-8BF1-4B67-B798-7268C36D74AD}"/>
    <hyperlink ref="X100" r:id="rId270" xr:uid="{D45FE740-6CDB-4C9C-9448-8B8F655DCCAB}"/>
  </hyperlinks>
  <pageMargins left="0.7" right="0.7" top="0.75" bottom="0.75" header="0.3" footer="0.3"/>
  <pageSetup paperSize="9" orientation="portrait" verticalDpi="0" r:id="rId271"/>
  <legacyDrawing r:id="rId27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04FDD-8E4A-4BF3-ADDC-0E490132E479}">
  <sheetPr>
    <tabColor rgb="FF0070C0"/>
  </sheetPr>
  <dimension ref="A1:G68"/>
  <sheetViews>
    <sheetView topLeftCell="C67" workbookViewId="0">
      <selection activeCell="F54" sqref="F54"/>
    </sheetView>
  </sheetViews>
  <sheetFormatPr defaultColWidth="9" defaultRowHeight="14.45"/>
  <cols>
    <col min="1" max="2" width="12.875" style="2"/>
    <col min="3" max="3" width="17.25" style="2" customWidth="1"/>
    <col min="4" max="4" width="31" style="2" customWidth="1"/>
    <col min="5" max="5" width="41.75" style="2" customWidth="1"/>
    <col min="6" max="6" width="32.875" style="2" customWidth="1"/>
    <col min="7" max="7" width="32.75" style="2" customWidth="1"/>
    <col min="8" max="16384" width="9" style="2"/>
  </cols>
  <sheetData>
    <row r="1" spans="1:7" ht="29.1">
      <c r="A1" s="106" t="s">
        <v>536</v>
      </c>
      <c r="B1" s="106" t="s">
        <v>537</v>
      </c>
      <c r="C1" s="106" t="s">
        <v>538</v>
      </c>
      <c r="D1" s="106" t="s">
        <v>539</v>
      </c>
      <c r="E1" s="106" t="s">
        <v>540</v>
      </c>
      <c r="F1" s="106" t="s">
        <v>541</v>
      </c>
      <c r="G1" s="106" t="s">
        <v>542</v>
      </c>
    </row>
    <row r="2" spans="1:7" ht="43.5">
      <c r="A2" s="26" t="s">
        <v>543</v>
      </c>
      <c r="B2" s="26" t="s">
        <v>544</v>
      </c>
      <c r="C2" s="26" t="s">
        <v>545</v>
      </c>
      <c r="D2" s="26" t="s">
        <v>546</v>
      </c>
      <c r="E2" s="26" t="s">
        <v>547</v>
      </c>
      <c r="F2" s="26" t="s">
        <v>548</v>
      </c>
      <c r="G2" s="27"/>
    </row>
    <row r="3" spans="1:7" ht="101.45">
      <c r="A3" s="462" t="s">
        <v>3246</v>
      </c>
      <c r="B3" s="440" t="s">
        <v>3247</v>
      </c>
      <c r="C3" s="440" t="s">
        <v>3248</v>
      </c>
      <c r="D3" s="2" t="s">
        <v>573</v>
      </c>
      <c r="E3" s="25" t="s">
        <v>3249</v>
      </c>
      <c r="F3" s="25" t="s">
        <v>3250</v>
      </c>
    </row>
    <row r="4" spans="1:7" ht="43.5">
      <c r="A4" s="462"/>
      <c r="B4" s="440"/>
      <c r="C4" s="440"/>
      <c r="D4" s="2" t="s">
        <v>573</v>
      </c>
      <c r="E4" s="25" t="s">
        <v>3251</v>
      </c>
      <c r="F4" s="25" t="s">
        <v>3252</v>
      </c>
    </row>
    <row r="5" spans="1:7" ht="29.1">
      <c r="A5" s="462"/>
      <c r="B5" s="440"/>
      <c r="C5" s="440" t="s">
        <v>3253</v>
      </c>
      <c r="D5" s="2" t="s">
        <v>551</v>
      </c>
      <c r="E5" s="25" t="s">
        <v>3254</v>
      </c>
      <c r="F5" s="25" t="s">
        <v>3255</v>
      </c>
    </row>
    <row r="6" spans="1:7" ht="43.5">
      <c r="A6" s="462"/>
      <c r="B6" s="440"/>
      <c r="C6" s="440"/>
      <c r="D6" s="2" t="s">
        <v>551</v>
      </c>
      <c r="E6" s="25" t="s">
        <v>3256</v>
      </c>
      <c r="F6" s="25" t="s">
        <v>3257</v>
      </c>
    </row>
    <row r="7" spans="1:7">
      <c r="A7" s="462"/>
      <c r="B7" s="440"/>
      <c r="C7" s="440"/>
      <c r="D7" s="2" t="s">
        <v>551</v>
      </c>
      <c r="E7" s="25" t="s">
        <v>3258</v>
      </c>
      <c r="F7" s="25" t="s">
        <v>3259</v>
      </c>
    </row>
    <row r="8" spans="1:7" ht="72.599999999999994">
      <c r="A8" s="462"/>
      <c r="B8" s="440"/>
      <c r="C8" s="2" t="s">
        <v>570</v>
      </c>
      <c r="D8" s="2" t="s">
        <v>573</v>
      </c>
      <c r="E8" s="25" t="s">
        <v>3260</v>
      </c>
      <c r="F8" s="25" t="s">
        <v>3261</v>
      </c>
    </row>
    <row r="9" spans="1:7" ht="19.5" customHeight="1">
      <c r="A9" s="462"/>
      <c r="B9" s="440"/>
      <c r="C9" s="2" t="s">
        <v>3262</v>
      </c>
      <c r="D9" s="2" t="s">
        <v>581</v>
      </c>
      <c r="E9" s="2" t="s">
        <v>3263</v>
      </c>
      <c r="F9" s="2" t="s">
        <v>3264</v>
      </c>
    </row>
    <row r="10" spans="1:7" ht="43.5">
      <c r="A10" s="462" t="s">
        <v>557</v>
      </c>
      <c r="B10" s="440" t="s">
        <v>3247</v>
      </c>
      <c r="C10" s="440" t="s">
        <v>3248</v>
      </c>
      <c r="D10" s="2" t="s">
        <v>573</v>
      </c>
      <c r="E10" s="2" t="s">
        <v>3265</v>
      </c>
      <c r="F10" s="25" t="s">
        <v>3252</v>
      </c>
    </row>
    <row r="11" spans="1:7" ht="120" customHeight="1">
      <c r="A11" s="462"/>
      <c r="B11" s="440"/>
      <c r="C11" s="440"/>
      <c r="D11" s="2" t="s">
        <v>551</v>
      </c>
      <c r="E11" s="25" t="s">
        <v>3266</v>
      </c>
      <c r="F11" s="25" t="s">
        <v>3267</v>
      </c>
    </row>
    <row r="12" spans="1:7" ht="79.5" customHeight="1">
      <c r="A12" s="462"/>
      <c r="B12" s="440"/>
      <c r="C12" s="440"/>
      <c r="D12" s="2" t="s">
        <v>551</v>
      </c>
      <c r="E12" s="25" t="s">
        <v>3268</v>
      </c>
      <c r="F12" s="25" t="s">
        <v>3269</v>
      </c>
    </row>
    <row r="13" spans="1:7" ht="168" customHeight="1">
      <c r="A13" s="462"/>
      <c r="B13" s="440"/>
      <c r="C13" s="440"/>
      <c r="D13" s="2" t="s">
        <v>573</v>
      </c>
      <c r="E13" s="2" t="s">
        <v>3270</v>
      </c>
      <c r="F13" s="25" t="s">
        <v>3271</v>
      </c>
    </row>
    <row r="14" spans="1:7" ht="104.25" customHeight="1">
      <c r="A14" s="462"/>
      <c r="B14" s="440"/>
      <c r="C14" s="440" t="s">
        <v>3253</v>
      </c>
      <c r="D14" s="2" t="s">
        <v>559</v>
      </c>
      <c r="E14" s="2" t="s">
        <v>3272</v>
      </c>
      <c r="F14" s="25" t="s">
        <v>3273</v>
      </c>
    </row>
    <row r="15" spans="1:7" ht="93" customHeight="1">
      <c r="A15" s="462"/>
      <c r="B15" s="440"/>
      <c r="C15" s="440"/>
      <c r="D15" s="2" t="s">
        <v>559</v>
      </c>
      <c r="E15" s="2" t="s">
        <v>3274</v>
      </c>
      <c r="F15" s="25" t="s">
        <v>3275</v>
      </c>
    </row>
    <row r="16" spans="1:7" ht="116.25" customHeight="1">
      <c r="A16" s="462"/>
      <c r="B16" s="440"/>
      <c r="D16" s="2" t="s">
        <v>581</v>
      </c>
      <c r="E16" s="2" t="s">
        <v>3276</v>
      </c>
      <c r="F16" s="25" t="s">
        <v>3277</v>
      </c>
    </row>
    <row r="17" spans="1:6" ht="29.1">
      <c r="A17" s="462"/>
      <c r="B17" s="440"/>
      <c r="C17" s="440" t="s">
        <v>3262</v>
      </c>
      <c r="D17" s="2" t="s">
        <v>581</v>
      </c>
      <c r="E17" s="2" t="s">
        <v>3278</v>
      </c>
      <c r="F17" s="25" t="s">
        <v>3279</v>
      </c>
    </row>
    <row r="18" spans="1:6" ht="43.5">
      <c r="A18" s="462"/>
      <c r="B18" s="440"/>
      <c r="C18" s="440"/>
      <c r="D18" s="2" t="s">
        <v>581</v>
      </c>
      <c r="E18" s="2" t="s">
        <v>3280</v>
      </c>
      <c r="F18" s="25" t="s">
        <v>3281</v>
      </c>
    </row>
    <row r="19" spans="1:6" ht="29.1">
      <c r="A19" s="440" t="s">
        <v>3282</v>
      </c>
      <c r="B19" s="440" t="s">
        <v>3247</v>
      </c>
      <c r="C19" s="440" t="s">
        <v>3248</v>
      </c>
      <c r="D19" s="2" t="s">
        <v>581</v>
      </c>
      <c r="E19" s="2" t="s">
        <v>3283</v>
      </c>
      <c r="F19" s="25" t="s">
        <v>3284</v>
      </c>
    </row>
    <row r="20" spans="1:6" ht="14.45" customHeight="1">
      <c r="A20" s="440"/>
      <c r="B20" s="440"/>
      <c r="C20" s="440"/>
      <c r="D20" s="2" t="s">
        <v>573</v>
      </c>
      <c r="E20" s="2" t="s">
        <v>3285</v>
      </c>
      <c r="F20" s="2" t="s">
        <v>3286</v>
      </c>
    </row>
    <row r="21" spans="1:6" ht="14.45" customHeight="1">
      <c r="A21" s="440"/>
      <c r="B21" s="440"/>
      <c r="C21" s="440"/>
      <c r="D21" s="2" t="s">
        <v>573</v>
      </c>
      <c r="E21" s="2" t="s">
        <v>3287</v>
      </c>
      <c r="F21" s="2" t="s">
        <v>3286</v>
      </c>
    </row>
    <row r="22" spans="1:6" ht="65.25" customHeight="1">
      <c r="A22" s="440"/>
      <c r="B22" s="440"/>
      <c r="C22" s="440" t="s">
        <v>3253</v>
      </c>
      <c r="D22" s="2" t="s">
        <v>559</v>
      </c>
      <c r="E22" s="2" t="s">
        <v>3288</v>
      </c>
      <c r="F22" s="25" t="s">
        <v>3289</v>
      </c>
    </row>
    <row r="23" spans="1:6" ht="75.75" customHeight="1">
      <c r="A23" s="440"/>
      <c r="B23" s="440"/>
      <c r="C23" s="440"/>
      <c r="D23" s="2" t="s">
        <v>559</v>
      </c>
      <c r="E23" s="2" t="s">
        <v>3290</v>
      </c>
      <c r="F23" s="25" t="s">
        <v>3291</v>
      </c>
    </row>
    <row r="24" spans="1:6" ht="75.75" customHeight="1">
      <c r="A24" s="440"/>
      <c r="B24" s="440"/>
      <c r="C24" s="440"/>
      <c r="D24" s="2" t="s">
        <v>581</v>
      </c>
      <c r="E24" s="2" t="s">
        <v>3292</v>
      </c>
      <c r="F24" s="25" t="s">
        <v>3293</v>
      </c>
    </row>
    <row r="25" spans="1:6" ht="14.45" customHeight="1">
      <c r="A25" s="440"/>
      <c r="B25" s="440"/>
      <c r="C25" s="440"/>
      <c r="D25" s="2" t="s">
        <v>581</v>
      </c>
      <c r="E25" s="2" t="s">
        <v>3294</v>
      </c>
      <c r="F25" s="2" t="s">
        <v>3295</v>
      </c>
    </row>
    <row r="26" spans="1:6" ht="29.1">
      <c r="A26" s="440"/>
      <c r="B26" s="440"/>
      <c r="C26" s="440" t="s">
        <v>3296</v>
      </c>
      <c r="D26" s="2" t="s">
        <v>581</v>
      </c>
      <c r="E26" s="2" t="s">
        <v>3297</v>
      </c>
      <c r="F26" s="25" t="s">
        <v>3298</v>
      </c>
    </row>
    <row r="27" spans="1:6" ht="29.1">
      <c r="A27" s="440"/>
      <c r="B27" s="440"/>
      <c r="C27" s="440"/>
      <c r="D27" s="2" t="s">
        <v>581</v>
      </c>
      <c r="E27" s="2" t="s">
        <v>3299</v>
      </c>
      <c r="F27" s="25" t="s">
        <v>3300</v>
      </c>
    </row>
    <row r="28" spans="1:6" ht="43.5">
      <c r="A28" s="440" t="s">
        <v>3301</v>
      </c>
      <c r="B28" s="440" t="s">
        <v>3247</v>
      </c>
      <c r="C28" s="440" t="s">
        <v>3253</v>
      </c>
      <c r="D28" s="2" t="s">
        <v>559</v>
      </c>
      <c r="E28" s="2" t="s">
        <v>3288</v>
      </c>
      <c r="F28" s="25" t="s">
        <v>3302</v>
      </c>
    </row>
    <row r="29" spans="1:6">
      <c r="A29" s="440"/>
      <c r="B29" s="440"/>
      <c r="C29" s="440"/>
      <c r="D29" s="2" t="s">
        <v>581</v>
      </c>
      <c r="E29" s="2" t="s">
        <v>3294</v>
      </c>
      <c r="F29" s="2" t="s">
        <v>3303</v>
      </c>
    </row>
    <row r="30" spans="1:6">
      <c r="A30" s="440"/>
      <c r="B30" s="440"/>
      <c r="C30" s="440" t="s">
        <v>732</v>
      </c>
      <c r="D30" s="2" t="s">
        <v>581</v>
      </c>
      <c r="E30" s="2" t="s">
        <v>3304</v>
      </c>
      <c r="F30" s="2" t="s">
        <v>3305</v>
      </c>
    </row>
    <row r="31" spans="1:6" ht="72.599999999999994">
      <c r="A31" s="440"/>
      <c r="B31" s="440"/>
      <c r="C31" s="440"/>
      <c r="D31" s="2" t="s">
        <v>559</v>
      </c>
      <c r="E31" s="2" t="s">
        <v>3306</v>
      </c>
      <c r="F31" s="25" t="s">
        <v>3307</v>
      </c>
    </row>
    <row r="32" spans="1:6" ht="29.1">
      <c r="A32" s="440"/>
      <c r="B32" s="440"/>
      <c r="C32" s="2" t="s">
        <v>590</v>
      </c>
      <c r="D32" s="2" t="s">
        <v>581</v>
      </c>
      <c r="E32" s="2" t="s">
        <v>3308</v>
      </c>
      <c r="F32" s="25" t="s">
        <v>3309</v>
      </c>
    </row>
    <row r="33" spans="1:6">
      <c r="A33" s="440"/>
      <c r="B33" s="440"/>
      <c r="C33" s="440" t="s">
        <v>3296</v>
      </c>
      <c r="D33" s="2" t="s">
        <v>581</v>
      </c>
      <c r="E33" s="2" t="s">
        <v>3310</v>
      </c>
      <c r="F33" s="2" t="s">
        <v>3311</v>
      </c>
    </row>
    <row r="34" spans="1:6">
      <c r="A34" s="440"/>
      <c r="B34" s="440"/>
      <c r="C34" s="440"/>
      <c r="D34" s="2" t="s">
        <v>581</v>
      </c>
      <c r="E34" s="2" t="s">
        <v>3312</v>
      </c>
      <c r="F34" s="2" t="s">
        <v>3313</v>
      </c>
    </row>
    <row r="35" spans="1:6">
      <c r="A35" s="440"/>
      <c r="B35" s="440"/>
      <c r="C35" s="2" t="s">
        <v>564</v>
      </c>
      <c r="D35" s="2" t="s">
        <v>581</v>
      </c>
      <c r="E35" s="2" t="s">
        <v>3314</v>
      </c>
      <c r="F35" s="2" t="s">
        <v>3315</v>
      </c>
    </row>
    <row r="36" spans="1:6" ht="29.1">
      <c r="A36" s="440" t="s">
        <v>3316</v>
      </c>
      <c r="B36" s="440" t="s">
        <v>3247</v>
      </c>
      <c r="C36" s="2" t="s">
        <v>3317</v>
      </c>
      <c r="D36" s="2" t="s">
        <v>581</v>
      </c>
      <c r="E36" s="2" t="s">
        <v>3318</v>
      </c>
      <c r="F36" s="25" t="s">
        <v>3319</v>
      </c>
    </row>
    <row r="37" spans="1:6" ht="29.1">
      <c r="A37" s="440"/>
      <c r="B37" s="440"/>
      <c r="C37" s="440" t="s">
        <v>1245</v>
      </c>
      <c r="D37" s="2" t="s">
        <v>573</v>
      </c>
      <c r="E37" s="25" t="s">
        <v>3320</v>
      </c>
      <c r="F37" s="2" t="s">
        <v>3321</v>
      </c>
    </row>
    <row r="38" spans="1:6">
      <c r="A38" s="440"/>
      <c r="B38" s="440"/>
      <c r="C38" s="440"/>
      <c r="D38" s="2" t="s">
        <v>581</v>
      </c>
      <c r="E38" s="2" t="s">
        <v>3322</v>
      </c>
      <c r="F38" s="2" t="s">
        <v>3323</v>
      </c>
    </row>
    <row r="39" spans="1:6">
      <c r="A39" s="440"/>
      <c r="B39" s="440"/>
      <c r="C39" s="2" t="s">
        <v>3324</v>
      </c>
      <c r="D39" s="2" t="s">
        <v>581</v>
      </c>
      <c r="E39" s="2" t="s">
        <v>3325</v>
      </c>
      <c r="F39" s="2" t="s">
        <v>3326</v>
      </c>
    </row>
    <row r="40" spans="1:6">
      <c r="A40" s="440"/>
      <c r="B40" s="440"/>
      <c r="C40" s="2" t="s">
        <v>3327</v>
      </c>
      <c r="D40" s="2" t="s">
        <v>581</v>
      </c>
      <c r="E40" s="2" t="s">
        <v>3328</v>
      </c>
      <c r="F40" s="2" t="s">
        <v>3329</v>
      </c>
    </row>
    <row r="41" spans="1:6">
      <c r="A41" s="440"/>
      <c r="B41" s="440"/>
      <c r="C41" s="2" t="s">
        <v>736</v>
      </c>
      <c r="D41" s="2" t="s">
        <v>551</v>
      </c>
      <c r="E41" s="2" t="s">
        <v>3330</v>
      </c>
      <c r="F41" s="2" t="s">
        <v>3331</v>
      </c>
    </row>
    <row r="42" spans="1:6">
      <c r="A42" s="440"/>
      <c r="B42" s="440"/>
      <c r="C42" s="2" t="s">
        <v>3253</v>
      </c>
      <c r="D42" s="2" t="s">
        <v>581</v>
      </c>
      <c r="E42" s="2" t="s">
        <v>3332</v>
      </c>
      <c r="F42" s="2" t="s">
        <v>3333</v>
      </c>
    </row>
    <row r="43" spans="1:6">
      <c r="A43" s="440" t="s">
        <v>3334</v>
      </c>
      <c r="B43" s="440" t="s">
        <v>3247</v>
      </c>
      <c r="C43" s="2" t="s">
        <v>3335</v>
      </c>
      <c r="D43" s="2" t="s">
        <v>581</v>
      </c>
      <c r="E43" s="2" t="s">
        <v>3336</v>
      </c>
      <c r="F43" s="2" t="s">
        <v>3337</v>
      </c>
    </row>
    <row r="44" spans="1:6">
      <c r="A44" s="440"/>
      <c r="B44" s="440"/>
      <c r="C44" s="2" t="s">
        <v>732</v>
      </c>
      <c r="D44" s="2" t="s">
        <v>581</v>
      </c>
      <c r="E44" s="2" t="s">
        <v>3338</v>
      </c>
      <c r="F44" s="2" t="s">
        <v>3339</v>
      </c>
    </row>
    <row r="45" spans="1:6">
      <c r="A45" s="440"/>
      <c r="B45" s="440"/>
      <c r="C45" s="2" t="s">
        <v>590</v>
      </c>
      <c r="D45" s="2" t="s">
        <v>581</v>
      </c>
      <c r="E45" s="2" t="s">
        <v>3340</v>
      </c>
      <c r="F45" s="2" t="s">
        <v>3341</v>
      </c>
    </row>
    <row r="46" spans="1:6" ht="57.95">
      <c r="A46" s="440"/>
      <c r="B46" s="440"/>
      <c r="C46" s="2" t="s">
        <v>3327</v>
      </c>
      <c r="D46" s="2" t="s">
        <v>573</v>
      </c>
      <c r="E46" s="2" t="s">
        <v>3342</v>
      </c>
      <c r="F46" s="25" t="s">
        <v>3343</v>
      </c>
    </row>
    <row r="47" spans="1:6" ht="29.1">
      <c r="A47" s="440"/>
      <c r="B47" s="440"/>
      <c r="C47" s="2" t="s">
        <v>3317</v>
      </c>
      <c r="D47" s="2" t="s">
        <v>581</v>
      </c>
      <c r="E47" s="2" t="s">
        <v>3344</v>
      </c>
      <c r="F47" s="25" t="s">
        <v>3345</v>
      </c>
    </row>
    <row r="48" spans="1:6">
      <c r="A48" s="440"/>
      <c r="B48" s="440"/>
      <c r="C48" s="440" t="s">
        <v>3253</v>
      </c>
      <c r="D48" s="2" t="s">
        <v>581</v>
      </c>
      <c r="E48" s="2" t="s">
        <v>3332</v>
      </c>
      <c r="F48" s="2" t="s">
        <v>3346</v>
      </c>
    </row>
    <row r="49" spans="1:6">
      <c r="A49" s="440"/>
      <c r="B49" s="440"/>
      <c r="C49" s="440"/>
      <c r="D49" s="2" t="s">
        <v>581</v>
      </c>
      <c r="E49" s="2" t="s">
        <v>3347</v>
      </c>
      <c r="F49" s="2" t="s">
        <v>3348</v>
      </c>
    </row>
    <row r="50" spans="1:6" ht="87">
      <c r="A50" s="440"/>
      <c r="B50" s="440"/>
      <c r="C50" s="440"/>
      <c r="D50" s="2" t="s">
        <v>581</v>
      </c>
      <c r="E50" s="2" t="s">
        <v>3349</v>
      </c>
      <c r="F50" s="25" t="s">
        <v>3350</v>
      </c>
    </row>
    <row r="51" spans="1:6" ht="57.95">
      <c r="A51" s="440"/>
      <c r="B51" s="440"/>
      <c r="C51" s="440"/>
      <c r="D51" s="2" t="s">
        <v>581</v>
      </c>
      <c r="E51" s="2" t="s">
        <v>3351</v>
      </c>
      <c r="F51" s="25" t="s">
        <v>3352</v>
      </c>
    </row>
    <row r="52" spans="1:6" ht="43.5">
      <c r="A52" s="440" t="s">
        <v>595</v>
      </c>
      <c r="B52" s="440" t="s">
        <v>3247</v>
      </c>
      <c r="C52" s="440" t="s">
        <v>3253</v>
      </c>
      <c r="D52" s="2" t="s">
        <v>581</v>
      </c>
      <c r="E52" s="2" t="s">
        <v>3353</v>
      </c>
      <c r="F52" s="25" t="s">
        <v>3354</v>
      </c>
    </row>
    <row r="53" spans="1:6" ht="43.5">
      <c r="A53" s="440"/>
      <c r="B53" s="440"/>
      <c r="C53" s="440"/>
      <c r="D53" s="2" t="s">
        <v>761</v>
      </c>
      <c r="E53" s="2" t="s">
        <v>3355</v>
      </c>
      <c r="F53" s="25" t="s">
        <v>3356</v>
      </c>
    </row>
    <row r="54" spans="1:6" ht="29.1">
      <c r="A54" s="440"/>
      <c r="B54" s="440"/>
      <c r="C54" s="440"/>
      <c r="D54" s="2" t="s">
        <v>581</v>
      </c>
      <c r="E54" s="2" t="s">
        <v>3357</v>
      </c>
      <c r="F54" s="25" t="s">
        <v>3358</v>
      </c>
    </row>
    <row r="55" spans="1:6">
      <c r="A55" s="440"/>
      <c r="B55" s="440"/>
      <c r="C55" s="440"/>
      <c r="D55" s="2" t="s">
        <v>581</v>
      </c>
      <c r="E55" s="2" t="s">
        <v>3359</v>
      </c>
      <c r="F55" s="25" t="s">
        <v>3360</v>
      </c>
    </row>
    <row r="56" spans="1:6">
      <c r="A56" s="440"/>
      <c r="B56" s="440"/>
      <c r="C56" s="440" t="s">
        <v>564</v>
      </c>
      <c r="D56" s="2" t="s">
        <v>581</v>
      </c>
      <c r="E56" s="2" t="s">
        <v>3361</v>
      </c>
      <c r="F56" s="2" t="s">
        <v>3361</v>
      </c>
    </row>
    <row r="57" spans="1:6">
      <c r="A57" s="440"/>
      <c r="B57" s="440"/>
      <c r="C57" s="440"/>
      <c r="D57" s="2" t="s">
        <v>581</v>
      </c>
      <c r="E57" s="2" t="s">
        <v>3362</v>
      </c>
      <c r="F57" s="2" t="s">
        <v>3363</v>
      </c>
    </row>
    <row r="58" spans="1:6">
      <c r="A58" s="440"/>
      <c r="B58" s="440"/>
      <c r="C58" s="440"/>
      <c r="D58" s="2" t="s">
        <v>581</v>
      </c>
      <c r="E58" s="2" t="s">
        <v>3364</v>
      </c>
      <c r="F58" s="2" t="s">
        <v>3365</v>
      </c>
    </row>
    <row r="59" spans="1:6">
      <c r="A59" s="440"/>
      <c r="B59" s="440"/>
      <c r="C59" s="440"/>
      <c r="D59" s="2" t="s">
        <v>581</v>
      </c>
      <c r="E59" s="2" t="s">
        <v>3366</v>
      </c>
      <c r="F59" s="2" t="s">
        <v>3367</v>
      </c>
    </row>
    <row r="60" spans="1:6" ht="29.1">
      <c r="A60" s="440" t="s">
        <v>608</v>
      </c>
      <c r="B60" s="440" t="s">
        <v>3247</v>
      </c>
      <c r="C60" s="440" t="s">
        <v>3335</v>
      </c>
      <c r="D60" s="2" t="s">
        <v>551</v>
      </c>
      <c r="E60" s="2" t="s">
        <v>3368</v>
      </c>
      <c r="F60" s="25" t="s">
        <v>3369</v>
      </c>
    </row>
    <row r="61" spans="1:6" ht="29.1">
      <c r="A61" s="440"/>
      <c r="B61" s="440"/>
      <c r="C61" s="440"/>
      <c r="D61" s="2" t="s">
        <v>551</v>
      </c>
      <c r="E61" s="2" t="s">
        <v>3370</v>
      </c>
      <c r="F61" s="25" t="s">
        <v>3369</v>
      </c>
    </row>
    <row r="62" spans="1:6" ht="29.1">
      <c r="A62" s="440"/>
      <c r="B62" s="440"/>
      <c r="C62" s="440"/>
      <c r="D62" s="2" t="s">
        <v>551</v>
      </c>
      <c r="E62" s="2" t="s">
        <v>3371</v>
      </c>
      <c r="F62" s="25" t="s">
        <v>3369</v>
      </c>
    </row>
    <row r="63" spans="1:6" ht="29.1">
      <c r="A63" s="440"/>
      <c r="B63" s="440"/>
      <c r="C63" s="440"/>
      <c r="D63" s="2" t="s">
        <v>551</v>
      </c>
      <c r="E63" s="25" t="s">
        <v>3372</v>
      </c>
      <c r="F63" s="25" t="s">
        <v>3369</v>
      </c>
    </row>
    <row r="64" spans="1:6">
      <c r="A64" s="440"/>
      <c r="B64" s="440"/>
      <c r="C64" s="440"/>
      <c r="D64" s="2" t="s">
        <v>551</v>
      </c>
      <c r="E64" s="25" t="s">
        <v>3373</v>
      </c>
      <c r="F64" s="2" t="s">
        <v>3374</v>
      </c>
    </row>
    <row r="65" spans="1:6" ht="29.1">
      <c r="A65" s="440"/>
      <c r="B65" s="440"/>
      <c r="C65" s="440" t="s">
        <v>3253</v>
      </c>
      <c r="D65" s="2" t="s">
        <v>581</v>
      </c>
      <c r="E65" s="25" t="s">
        <v>3375</v>
      </c>
      <c r="F65" s="25" t="s">
        <v>3376</v>
      </c>
    </row>
    <row r="66" spans="1:6">
      <c r="A66" s="440"/>
      <c r="B66" s="440"/>
      <c r="C66" s="440"/>
      <c r="D66" s="2" t="s">
        <v>581</v>
      </c>
      <c r="E66" s="25" t="s">
        <v>3377</v>
      </c>
      <c r="F66" s="25" t="s">
        <v>3378</v>
      </c>
    </row>
    <row r="67" spans="1:6">
      <c r="A67" s="440"/>
      <c r="B67" s="440"/>
      <c r="C67" s="2" t="s">
        <v>570</v>
      </c>
      <c r="D67" s="2" t="s">
        <v>581</v>
      </c>
      <c r="E67" s="2" t="s">
        <v>3379</v>
      </c>
      <c r="F67" s="2" t="s">
        <v>3380</v>
      </c>
    </row>
    <row r="68" spans="1:6">
      <c r="A68" s="440"/>
      <c r="B68" s="440"/>
      <c r="C68" s="2" t="s">
        <v>564</v>
      </c>
      <c r="D68" s="2" t="s">
        <v>581</v>
      </c>
      <c r="E68" s="2" t="s">
        <v>3381</v>
      </c>
      <c r="F68" s="2" t="s">
        <v>3382</v>
      </c>
    </row>
  </sheetData>
  <mergeCells count="33">
    <mergeCell ref="C60:C64"/>
    <mergeCell ref="B60:B68"/>
    <mergeCell ref="A60:A68"/>
    <mergeCell ref="C65:C66"/>
    <mergeCell ref="C19:C21"/>
    <mergeCell ref="C22:C25"/>
    <mergeCell ref="C26:C27"/>
    <mergeCell ref="A19:A27"/>
    <mergeCell ref="B19:B27"/>
    <mergeCell ref="A28:A35"/>
    <mergeCell ref="A36:A42"/>
    <mergeCell ref="B36:B42"/>
    <mergeCell ref="C37:C38"/>
    <mergeCell ref="C28:C29"/>
    <mergeCell ref="C30:C31"/>
    <mergeCell ref="C33:C34"/>
    <mergeCell ref="C14:C15"/>
    <mergeCell ref="C17:C18"/>
    <mergeCell ref="A10:A18"/>
    <mergeCell ref="B10:B18"/>
    <mergeCell ref="C3:C4"/>
    <mergeCell ref="C5:C7"/>
    <mergeCell ref="B3:B9"/>
    <mergeCell ref="A3:A9"/>
    <mergeCell ref="C10:C13"/>
    <mergeCell ref="B28:B35"/>
    <mergeCell ref="C52:C55"/>
    <mergeCell ref="C56:C59"/>
    <mergeCell ref="B52:B59"/>
    <mergeCell ref="A52:A59"/>
    <mergeCell ref="C48:C51"/>
    <mergeCell ref="B43:B51"/>
    <mergeCell ref="A43:A51"/>
  </mergeCells>
  <phoneticPr fontId="3" type="noConversion"/>
  <dataValidations count="1">
    <dataValidation type="list" errorStyle="warning" allowBlank="1" showInputMessage="1" showErrorMessage="1" errorTitle="유형 선택 오류" error="드롭다운 목록에서 유형을 선택해 주세요." promptTitle="유형 선택 / Select Type" prompt="드롭다운에서 선택하세요_x000a_Select from dropdown" sqref="D3:D68" xr:uid="{524E4ABC-F4CE-4BE1-A1B2-80F663B5837A}">
      <formula1>"프로모션제안,API 연동 진행,테스트/검증,요금/물량 이슈,라이브 오픈 준비,인증/테스트 완료,매핑/콘텐츠,신규 계약,계약 갱신,이상 없음(No Issue)"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65B4-5D35-472D-BEE2-DD6BC753015C}">
  <sheetPr>
    <tabColor rgb="FFFFFF00"/>
  </sheetPr>
  <dimension ref="A1:G184"/>
  <sheetViews>
    <sheetView workbookViewId="0">
      <pane ySplit="1" topLeftCell="A127" activePane="bottomLeft" state="frozen"/>
      <selection pane="bottomLeft" activeCell="F127" sqref="F127"/>
    </sheetView>
  </sheetViews>
  <sheetFormatPr defaultColWidth="9" defaultRowHeight="14.45"/>
  <cols>
    <col min="1" max="1" width="11.75" style="2" customWidth="1"/>
    <col min="2" max="2" width="15" style="2" customWidth="1"/>
    <col min="3" max="3" width="24.125" style="2" bestFit="1" customWidth="1"/>
    <col min="4" max="4" width="20" style="2" customWidth="1"/>
    <col min="5" max="5" width="46.75" style="2" customWidth="1"/>
    <col min="6" max="6" width="41.75" style="2" customWidth="1"/>
    <col min="7" max="7" width="34.75" style="2" customWidth="1"/>
    <col min="8" max="16384" width="9" style="2"/>
  </cols>
  <sheetData>
    <row r="1" spans="1:7" s="25" customFormat="1" ht="36" customHeight="1">
      <c r="A1" s="24" t="s">
        <v>536</v>
      </c>
      <c r="B1" s="24" t="s">
        <v>537</v>
      </c>
      <c r="C1" s="24" t="s">
        <v>538</v>
      </c>
      <c r="D1" s="24" t="s">
        <v>539</v>
      </c>
      <c r="E1" s="24" t="s">
        <v>540</v>
      </c>
      <c r="F1" s="24" t="s">
        <v>541</v>
      </c>
      <c r="G1" s="24" t="s">
        <v>542</v>
      </c>
    </row>
    <row r="2" spans="1:7" ht="33.75" customHeight="1">
      <c r="A2" s="26" t="s">
        <v>543</v>
      </c>
      <c r="B2" s="26" t="s">
        <v>544</v>
      </c>
      <c r="C2" s="26" t="s">
        <v>545</v>
      </c>
      <c r="D2" s="26" t="s">
        <v>546</v>
      </c>
      <c r="E2" s="26" t="s">
        <v>547</v>
      </c>
      <c r="F2" s="26" t="s">
        <v>548</v>
      </c>
      <c r="G2" s="27"/>
    </row>
    <row r="3" spans="1:7">
      <c r="A3" s="464" t="s">
        <v>3383</v>
      </c>
      <c r="B3" s="39" t="s">
        <v>422</v>
      </c>
      <c r="C3" s="33" t="s">
        <v>3384</v>
      </c>
      <c r="D3" s="33" t="s">
        <v>710</v>
      </c>
      <c r="E3" s="34" t="s">
        <v>3385</v>
      </c>
      <c r="F3" s="34" t="s">
        <v>3386</v>
      </c>
      <c r="G3" s="35" t="s">
        <v>3387</v>
      </c>
    </row>
    <row r="4" spans="1:7">
      <c r="A4" s="440"/>
      <c r="B4" s="39" t="s">
        <v>422</v>
      </c>
      <c r="C4" s="33" t="s">
        <v>3388</v>
      </c>
      <c r="D4" s="33" t="s">
        <v>710</v>
      </c>
      <c r="E4" s="34" t="s">
        <v>3389</v>
      </c>
      <c r="F4" s="34" t="s">
        <v>3390</v>
      </c>
      <c r="G4" s="35" t="s">
        <v>1241</v>
      </c>
    </row>
    <row r="5" spans="1:7">
      <c r="A5" s="440"/>
      <c r="B5" s="39" t="s">
        <v>422</v>
      </c>
      <c r="C5" s="33" t="s">
        <v>3391</v>
      </c>
      <c r="D5" s="33" t="s">
        <v>710</v>
      </c>
      <c r="E5" s="34" t="s">
        <v>3392</v>
      </c>
      <c r="F5" s="34" t="s">
        <v>3390</v>
      </c>
      <c r="G5" s="35" t="s">
        <v>1241</v>
      </c>
    </row>
    <row r="6" spans="1:7" ht="29.1">
      <c r="A6" s="440"/>
      <c r="B6" s="39" t="s">
        <v>422</v>
      </c>
      <c r="C6" s="33" t="s">
        <v>3393</v>
      </c>
      <c r="D6" s="33" t="s">
        <v>710</v>
      </c>
      <c r="E6" s="34" t="s">
        <v>3394</v>
      </c>
      <c r="F6" s="34" t="s">
        <v>3395</v>
      </c>
      <c r="G6" s="35" t="s">
        <v>1241</v>
      </c>
    </row>
    <row r="7" spans="1:7" ht="29.1">
      <c r="A7" s="440"/>
      <c r="B7" s="39" t="s">
        <v>422</v>
      </c>
      <c r="C7" s="33" t="s">
        <v>3396</v>
      </c>
      <c r="D7" s="33" t="s">
        <v>710</v>
      </c>
      <c r="E7" s="34" t="s">
        <v>3397</v>
      </c>
      <c r="F7" s="34" t="s">
        <v>3398</v>
      </c>
      <c r="G7" s="35" t="s">
        <v>1372</v>
      </c>
    </row>
    <row r="8" spans="1:7" ht="57.95">
      <c r="A8" s="440"/>
      <c r="B8" s="39" t="s">
        <v>422</v>
      </c>
      <c r="C8" s="33" t="s">
        <v>3399</v>
      </c>
      <c r="D8" s="33" t="s">
        <v>559</v>
      </c>
      <c r="E8" s="34" t="s">
        <v>3400</v>
      </c>
      <c r="F8" s="34" t="s">
        <v>3401</v>
      </c>
      <c r="G8" s="35" t="s">
        <v>3402</v>
      </c>
    </row>
    <row r="9" spans="1:7" ht="29.1">
      <c r="A9" s="440"/>
      <c r="B9" s="39" t="s">
        <v>422</v>
      </c>
      <c r="C9" s="33" t="s">
        <v>3403</v>
      </c>
      <c r="D9" s="33" t="s">
        <v>776</v>
      </c>
      <c r="E9" s="34" t="s">
        <v>3404</v>
      </c>
      <c r="F9" s="34"/>
      <c r="G9" s="35" t="s">
        <v>1372</v>
      </c>
    </row>
    <row r="10" spans="1:7" ht="43.5">
      <c r="A10" s="440"/>
      <c r="B10" s="39" t="s">
        <v>422</v>
      </c>
      <c r="C10" s="33" t="s">
        <v>3405</v>
      </c>
      <c r="D10" s="33" t="s">
        <v>559</v>
      </c>
      <c r="E10" s="34" t="s">
        <v>3406</v>
      </c>
      <c r="F10" s="34" t="s">
        <v>3407</v>
      </c>
      <c r="G10" s="35" t="s">
        <v>1241</v>
      </c>
    </row>
    <row r="11" spans="1:7" ht="29.1">
      <c r="A11" s="440"/>
      <c r="B11" s="39" t="s">
        <v>422</v>
      </c>
      <c r="C11" s="33" t="s">
        <v>3408</v>
      </c>
      <c r="D11" s="33" t="s">
        <v>559</v>
      </c>
      <c r="E11" s="34" t="s">
        <v>3409</v>
      </c>
      <c r="F11" s="34" t="s">
        <v>3410</v>
      </c>
      <c r="G11" s="35" t="s">
        <v>3411</v>
      </c>
    </row>
    <row r="12" spans="1:7" ht="29.1">
      <c r="A12" s="440"/>
      <c r="B12" s="39" t="s">
        <v>422</v>
      </c>
      <c r="C12" s="33" t="s">
        <v>3412</v>
      </c>
      <c r="D12" s="33" t="s">
        <v>710</v>
      </c>
      <c r="E12" s="34" t="s">
        <v>3413</v>
      </c>
      <c r="F12" s="34" t="s">
        <v>3414</v>
      </c>
      <c r="G12" s="37" t="s">
        <v>3415</v>
      </c>
    </row>
    <row r="13" spans="1:7" ht="43.5">
      <c r="A13" s="440"/>
      <c r="B13" s="39" t="s">
        <v>422</v>
      </c>
      <c r="C13" s="33" t="s">
        <v>3416</v>
      </c>
      <c r="D13" s="33" t="s">
        <v>710</v>
      </c>
      <c r="E13" s="34" t="s">
        <v>3417</v>
      </c>
      <c r="F13" s="34" t="s">
        <v>3418</v>
      </c>
      <c r="G13" s="35" t="s">
        <v>3419</v>
      </c>
    </row>
    <row r="14" spans="1:7" ht="29.1">
      <c r="A14" s="440"/>
      <c r="B14" s="39" t="s">
        <v>422</v>
      </c>
      <c r="C14" s="33" t="s">
        <v>3420</v>
      </c>
      <c r="D14" s="33" t="s">
        <v>710</v>
      </c>
      <c r="E14" s="34" t="s">
        <v>3421</v>
      </c>
      <c r="F14" s="34" t="s">
        <v>3422</v>
      </c>
      <c r="G14" s="35"/>
    </row>
    <row r="15" spans="1:7">
      <c r="A15" s="440"/>
      <c r="B15" s="39" t="s">
        <v>422</v>
      </c>
      <c r="C15" s="33" t="s">
        <v>3423</v>
      </c>
      <c r="D15" s="33" t="s">
        <v>710</v>
      </c>
      <c r="E15" s="34" t="s">
        <v>3424</v>
      </c>
      <c r="F15" s="34" t="s">
        <v>3425</v>
      </c>
      <c r="G15" s="35"/>
    </row>
    <row r="16" spans="1:7" ht="18.75" customHeight="1">
      <c r="A16" s="440" t="s">
        <v>3426</v>
      </c>
      <c r="B16" s="39" t="s">
        <v>422</v>
      </c>
      <c r="C16" s="33" t="s">
        <v>3427</v>
      </c>
      <c r="D16" s="33" t="s">
        <v>559</v>
      </c>
      <c r="E16" s="34" t="s">
        <v>3428</v>
      </c>
      <c r="F16" s="34" t="s">
        <v>3429</v>
      </c>
      <c r="G16" s="35" t="s">
        <v>3430</v>
      </c>
    </row>
    <row r="17" spans="1:7" ht="26.25" customHeight="1">
      <c r="A17" s="440"/>
      <c r="B17" s="39" t="s">
        <v>422</v>
      </c>
      <c r="C17" s="33" t="s">
        <v>3431</v>
      </c>
      <c r="D17" s="33" t="s">
        <v>559</v>
      </c>
      <c r="E17" s="34" t="s">
        <v>3432</v>
      </c>
      <c r="F17" s="34" t="s">
        <v>3433</v>
      </c>
      <c r="G17" s="35"/>
    </row>
    <row r="18" spans="1:7" ht="21.75" customHeight="1">
      <c r="A18" s="440"/>
      <c r="B18" s="39" t="s">
        <v>422</v>
      </c>
      <c r="C18" s="33" t="s">
        <v>3434</v>
      </c>
      <c r="D18" s="33" t="s">
        <v>559</v>
      </c>
      <c r="E18" s="34" t="s">
        <v>3432</v>
      </c>
      <c r="F18" s="34" t="s">
        <v>3433</v>
      </c>
      <c r="G18" s="35"/>
    </row>
    <row r="19" spans="1:7" ht="27" customHeight="1">
      <c r="A19" s="440"/>
      <c r="B19" s="39" t="s">
        <v>422</v>
      </c>
      <c r="C19" s="33" t="s">
        <v>3435</v>
      </c>
      <c r="D19" s="33" t="s">
        <v>559</v>
      </c>
      <c r="E19" s="34" t="s">
        <v>3432</v>
      </c>
      <c r="F19" s="34" t="s">
        <v>3433</v>
      </c>
      <c r="G19" s="35"/>
    </row>
    <row r="20" spans="1:7" ht="28.5" customHeight="1">
      <c r="A20" s="440"/>
      <c r="B20" s="39" t="s">
        <v>422</v>
      </c>
      <c r="C20" s="33" t="s">
        <v>3436</v>
      </c>
      <c r="D20" s="33" t="s">
        <v>559</v>
      </c>
      <c r="E20" s="34" t="s">
        <v>3432</v>
      </c>
      <c r="F20" s="34" t="s">
        <v>3433</v>
      </c>
      <c r="G20" s="35"/>
    </row>
    <row r="21" spans="1:7" ht="27" customHeight="1">
      <c r="A21" s="440"/>
      <c r="B21" s="39" t="s">
        <v>422</v>
      </c>
      <c r="C21" s="33" t="s">
        <v>3437</v>
      </c>
      <c r="D21" s="33" t="s">
        <v>559</v>
      </c>
      <c r="E21" s="34" t="s">
        <v>3438</v>
      </c>
      <c r="F21" s="34" t="s">
        <v>3439</v>
      </c>
      <c r="G21" s="35"/>
    </row>
    <row r="22" spans="1:7" ht="21.75" customHeight="1">
      <c r="A22" s="440"/>
      <c r="B22" s="39" t="s">
        <v>422</v>
      </c>
      <c r="C22" s="33" t="s">
        <v>3440</v>
      </c>
      <c r="D22" s="33" t="s">
        <v>559</v>
      </c>
      <c r="E22" s="34" t="s">
        <v>3441</v>
      </c>
      <c r="F22" s="34" t="s">
        <v>3442</v>
      </c>
      <c r="G22" s="35" t="s">
        <v>3443</v>
      </c>
    </row>
    <row r="23" spans="1:7">
      <c r="A23" s="440"/>
      <c r="B23" s="39" t="s">
        <v>422</v>
      </c>
      <c r="C23" s="33" t="s">
        <v>3444</v>
      </c>
      <c r="D23" s="33" t="s">
        <v>559</v>
      </c>
      <c r="E23" s="34" t="s">
        <v>3432</v>
      </c>
      <c r="F23" s="34" t="s">
        <v>3433</v>
      </c>
      <c r="G23" s="35"/>
    </row>
    <row r="24" spans="1:7">
      <c r="A24" s="440"/>
      <c r="B24" s="39" t="s">
        <v>422</v>
      </c>
      <c r="C24" s="33" t="s">
        <v>3445</v>
      </c>
      <c r="D24" s="33" t="s">
        <v>564</v>
      </c>
      <c r="E24" s="34" t="s">
        <v>3446</v>
      </c>
      <c r="F24" s="34" t="s">
        <v>3447</v>
      </c>
      <c r="G24" s="35"/>
    </row>
    <row r="25" spans="1:7">
      <c r="A25" s="440"/>
      <c r="B25" s="39" t="s">
        <v>422</v>
      </c>
      <c r="C25" s="33" t="s">
        <v>3448</v>
      </c>
      <c r="D25" s="33" t="s">
        <v>564</v>
      </c>
      <c r="E25" s="34" t="s">
        <v>3446</v>
      </c>
      <c r="F25" s="34" t="s">
        <v>3449</v>
      </c>
      <c r="G25" s="35"/>
    </row>
    <row r="26" spans="1:7" ht="43.5">
      <c r="A26" s="440"/>
      <c r="B26" s="39" t="s">
        <v>422</v>
      </c>
      <c r="C26" s="33" t="s">
        <v>3450</v>
      </c>
      <c r="D26" s="33" t="s">
        <v>559</v>
      </c>
      <c r="E26" s="34" t="s">
        <v>3451</v>
      </c>
      <c r="F26" s="34" t="s">
        <v>3452</v>
      </c>
      <c r="G26" s="35"/>
    </row>
    <row r="27" spans="1:7">
      <c r="A27" s="440"/>
      <c r="B27" s="39" t="s">
        <v>422</v>
      </c>
      <c r="C27" s="33" t="s">
        <v>3453</v>
      </c>
      <c r="D27" s="33" t="s">
        <v>559</v>
      </c>
      <c r="E27" s="34" t="s">
        <v>3454</v>
      </c>
      <c r="F27" s="34" t="s">
        <v>3455</v>
      </c>
      <c r="G27" s="35"/>
    </row>
    <row r="28" spans="1:7" ht="57.95">
      <c r="A28" s="440"/>
      <c r="B28" s="39" t="s">
        <v>422</v>
      </c>
      <c r="C28" s="33" t="s">
        <v>3399</v>
      </c>
      <c r="D28" s="33" t="s">
        <v>564</v>
      </c>
      <c r="E28" s="34" t="s">
        <v>3456</v>
      </c>
      <c r="F28" s="34" t="s">
        <v>3457</v>
      </c>
      <c r="G28" s="37" t="s">
        <v>3458</v>
      </c>
    </row>
    <row r="29" spans="1:7">
      <c r="A29" s="440" t="s">
        <v>3459</v>
      </c>
      <c r="B29" s="39" t="s">
        <v>422</v>
      </c>
      <c r="C29" s="33" t="s">
        <v>3460</v>
      </c>
      <c r="D29" s="33" t="s">
        <v>3461</v>
      </c>
      <c r="E29" s="34" t="s">
        <v>3462</v>
      </c>
      <c r="F29" s="34" t="s">
        <v>3463</v>
      </c>
      <c r="G29" s="35"/>
    </row>
    <row r="30" spans="1:7" ht="72.599999999999994">
      <c r="A30" s="440"/>
      <c r="B30" s="39" t="s">
        <v>422</v>
      </c>
      <c r="C30" s="33" t="s">
        <v>3453</v>
      </c>
      <c r="D30" s="33" t="s">
        <v>3461</v>
      </c>
      <c r="E30" s="34" t="s">
        <v>3464</v>
      </c>
      <c r="F30" s="34" t="s">
        <v>3465</v>
      </c>
      <c r="G30" s="35" t="s">
        <v>3466</v>
      </c>
    </row>
    <row r="31" spans="1:7" ht="43.5">
      <c r="A31" s="440"/>
      <c r="B31" s="39" t="s">
        <v>422</v>
      </c>
      <c r="C31" s="33" t="s">
        <v>3450</v>
      </c>
      <c r="D31" s="33" t="s">
        <v>564</v>
      </c>
      <c r="E31" s="34" t="s">
        <v>3467</v>
      </c>
      <c r="F31" s="34" t="s">
        <v>3468</v>
      </c>
      <c r="G31" s="35"/>
    </row>
    <row r="32" spans="1:7" ht="29.1">
      <c r="A32" s="440"/>
      <c r="B32" s="39" t="s">
        <v>422</v>
      </c>
      <c r="C32" s="33" t="s">
        <v>3427</v>
      </c>
      <c r="D32" s="33" t="s">
        <v>3469</v>
      </c>
      <c r="E32" s="34" t="s">
        <v>3470</v>
      </c>
      <c r="F32" s="34" t="s">
        <v>3471</v>
      </c>
      <c r="G32" s="35" t="s">
        <v>3472</v>
      </c>
    </row>
    <row r="33" spans="1:7">
      <c r="A33" s="440"/>
      <c r="B33" s="39" t="s">
        <v>422</v>
      </c>
      <c r="C33" s="33" t="s">
        <v>3473</v>
      </c>
      <c r="D33" s="33" t="s">
        <v>3461</v>
      </c>
      <c r="E33" s="34" t="s">
        <v>3474</v>
      </c>
      <c r="F33" s="34" t="s">
        <v>3475</v>
      </c>
      <c r="G33" s="35"/>
    </row>
    <row r="34" spans="1:7" ht="43.5">
      <c r="A34" s="440"/>
      <c r="B34" s="40" t="s">
        <v>422</v>
      </c>
      <c r="C34" s="41" t="s">
        <v>3476</v>
      </c>
      <c r="D34" s="41" t="s">
        <v>564</v>
      </c>
      <c r="E34" s="38" t="s">
        <v>3477</v>
      </c>
      <c r="F34" s="38"/>
      <c r="G34" s="42" t="s">
        <v>3478</v>
      </c>
    </row>
    <row r="35" spans="1:7" ht="29.1">
      <c r="A35" s="440"/>
      <c r="B35" s="2" t="s">
        <v>422</v>
      </c>
      <c r="C35" s="2" t="s">
        <v>3405</v>
      </c>
      <c r="D35" s="41" t="s">
        <v>564</v>
      </c>
      <c r="E35" s="25" t="s">
        <v>3479</v>
      </c>
      <c r="F35" s="25"/>
      <c r="G35" s="2" t="s">
        <v>3478</v>
      </c>
    </row>
    <row r="36" spans="1:7" ht="43.5">
      <c r="A36" s="440" t="s">
        <v>3480</v>
      </c>
      <c r="B36" s="2" t="s">
        <v>422</v>
      </c>
      <c r="C36" s="2" t="s">
        <v>3440</v>
      </c>
      <c r="D36" s="41" t="s">
        <v>564</v>
      </c>
      <c r="E36" s="25" t="s">
        <v>3481</v>
      </c>
      <c r="F36" s="25" t="s">
        <v>3482</v>
      </c>
      <c r="G36" s="2" t="s">
        <v>3483</v>
      </c>
    </row>
    <row r="37" spans="1:7">
      <c r="A37" s="440"/>
      <c r="B37" s="2" t="s">
        <v>422</v>
      </c>
      <c r="C37" s="2" t="s">
        <v>3484</v>
      </c>
      <c r="D37" s="41" t="s">
        <v>564</v>
      </c>
      <c r="E37" s="34" t="s">
        <v>3432</v>
      </c>
      <c r="F37" s="34" t="s">
        <v>3433</v>
      </c>
      <c r="G37" s="35"/>
    </row>
    <row r="38" spans="1:7" ht="72.599999999999994">
      <c r="A38" s="440"/>
      <c r="B38" s="2" t="s">
        <v>422</v>
      </c>
      <c r="C38" s="2" t="s">
        <v>3485</v>
      </c>
      <c r="D38" s="2" t="s">
        <v>559</v>
      </c>
      <c r="E38" s="25" t="s">
        <v>3486</v>
      </c>
      <c r="F38" s="25" t="s">
        <v>3487</v>
      </c>
    </row>
    <row r="39" spans="1:7">
      <c r="A39" s="440"/>
      <c r="B39" s="2" t="s">
        <v>422</v>
      </c>
      <c r="C39" s="2" t="s">
        <v>3488</v>
      </c>
      <c r="D39" s="41" t="s">
        <v>564</v>
      </c>
      <c r="E39" s="25" t="s">
        <v>3489</v>
      </c>
      <c r="F39" s="25"/>
    </row>
    <row r="40" spans="1:7">
      <c r="A40" s="440"/>
      <c r="B40" s="2" t="s">
        <v>422</v>
      </c>
      <c r="C40" s="2" t="s">
        <v>3490</v>
      </c>
      <c r="D40" s="41" t="s">
        <v>564</v>
      </c>
      <c r="E40" s="34" t="s">
        <v>3432</v>
      </c>
      <c r="F40" s="34" t="s">
        <v>3433</v>
      </c>
    </row>
    <row r="41" spans="1:7">
      <c r="A41" s="440"/>
      <c r="B41" s="2" t="s">
        <v>422</v>
      </c>
      <c r="C41" s="2" t="s">
        <v>3491</v>
      </c>
      <c r="D41" s="41" t="s">
        <v>564</v>
      </c>
      <c r="E41" s="34" t="s">
        <v>3432</v>
      </c>
      <c r="F41" s="34" t="s">
        <v>3433</v>
      </c>
    </row>
    <row r="42" spans="1:7">
      <c r="A42" s="440"/>
      <c r="B42" s="440" t="s">
        <v>422</v>
      </c>
      <c r="C42" s="2" t="s">
        <v>3492</v>
      </c>
      <c r="D42" s="41" t="s">
        <v>564</v>
      </c>
      <c r="E42" s="34" t="s">
        <v>3432</v>
      </c>
      <c r="F42" s="34" t="s">
        <v>3433</v>
      </c>
      <c r="G42" s="463" t="s">
        <v>3493</v>
      </c>
    </row>
    <row r="43" spans="1:7">
      <c r="A43" s="440"/>
      <c r="B43" s="440"/>
      <c r="C43" s="2" t="s">
        <v>3494</v>
      </c>
      <c r="D43" s="41" t="s">
        <v>564</v>
      </c>
      <c r="E43" s="34" t="s">
        <v>3432</v>
      </c>
      <c r="F43" s="34" t="s">
        <v>3433</v>
      </c>
      <c r="G43" s="463"/>
    </row>
    <row r="44" spans="1:7">
      <c r="A44" s="440"/>
      <c r="B44" s="440"/>
      <c r="C44" s="2" t="s">
        <v>3495</v>
      </c>
      <c r="D44" s="41" t="s">
        <v>564</v>
      </c>
      <c r="E44" s="34" t="s">
        <v>3432</v>
      </c>
      <c r="F44" s="34" t="s">
        <v>3433</v>
      </c>
      <c r="G44" s="463"/>
    </row>
    <row r="45" spans="1:7">
      <c r="A45" s="440"/>
      <c r="B45" s="440"/>
      <c r="C45" s="2" t="s">
        <v>3496</v>
      </c>
      <c r="D45" s="41" t="s">
        <v>564</v>
      </c>
      <c r="E45" s="34" t="s">
        <v>3432</v>
      </c>
      <c r="F45" s="34" t="s">
        <v>3433</v>
      </c>
      <c r="G45" s="463"/>
    </row>
    <row r="46" spans="1:7">
      <c r="A46" s="440"/>
      <c r="B46" s="440"/>
      <c r="C46" s="2" t="s">
        <v>3497</v>
      </c>
      <c r="D46" s="41" t="s">
        <v>564</v>
      </c>
      <c r="E46" s="34" t="s">
        <v>3432</v>
      </c>
      <c r="F46" s="34" t="s">
        <v>3433</v>
      </c>
      <c r="G46" s="463"/>
    </row>
    <row r="47" spans="1:7">
      <c r="A47" s="440"/>
      <c r="B47" s="440"/>
      <c r="C47" s="2" t="s">
        <v>3498</v>
      </c>
      <c r="D47" s="41" t="s">
        <v>564</v>
      </c>
      <c r="E47" s="34" t="s">
        <v>3432</v>
      </c>
      <c r="F47" s="34" t="s">
        <v>3433</v>
      </c>
      <c r="G47" s="463"/>
    </row>
    <row r="48" spans="1:7">
      <c r="A48" s="440"/>
      <c r="B48" s="440"/>
      <c r="C48" s="2" t="s">
        <v>3499</v>
      </c>
      <c r="D48" s="41" t="s">
        <v>564</v>
      </c>
      <c r="E48" s="34" t="s">
        <v>3432</v>
      </c>
      <c r="F48" s="34" t="s">
        <v>3433</v>
      </c>
      <c r="G48" s="463"/>
    </row>
    <row r="49" spans="1:7">
      <c r="A49" s="440"/>
      <c r="B49" s="440"/>
      <c r="C49" s="2" t="s">
        <v>3500</v>
      </c>
      <c r="D49" s="41" t="s">
        <v>564</v>
      </c>
      <c r="E49" s="34" t="s">
        <v>3432</v>
      </c>
      <c r="F49" s="34" t="s">
        <v>3433</v>
      </c>
      <c r="G49" s="463"/>
    </row>
    <row r="50" spans="1:7" ht="29.1">
      <c r="A50" s="440"/>
      <c r="B50" s="2" t="s">
        <v>422</v>
      </c>
      <c r="C50" s="2" t="s">
        <v>3460</v>
      </c>
      <c r="D50" s="2" t="s">
        <v>564</v>
      </c>
      <c r="E50" s="25" t="s">
        <v>3501</v>
      </c>
      <c r="F50" s="25"/>
    </row>
    <row r="51" spans="1:7">
      <c r="A51" s="440"/>
      <c r="B51" s="2" t="s">
        <v>422</v>
      </c>
      <c r="C51" s="2" t="s">
        <v>3437</v>
      </c>
      <c r="D51" s="2" t="s">
        <v>564</v>
      </c>
      <c r="E51" s="25" t="s">
        <v>3502</v>
      </c>
      <c r="F51" s="25" t="s">
        <v>3503</v>
      </c>
    </row>
    <row r="52" spans="1:7" ht="43.5">
      <c r="A52" s="440"/>
      <c r="B52" s="2" t="s">
        <v>422</v>
      </c>
      <c r="C52" s="2" t="s">
        <v>3427</v>
      </c>
      <c r="D52" s="2" t="s">
        <v>564</v>
      </c>
      <c r="E52" s="25" t="s">
        <v>3504</v>
      </c>
      <c r="F52" s="25"/>
    </row>
    <row r="53" spans="1:7">
      <c r="A53" s="440"/>
      <c r="B53" s="2" t="s">
        <v>422</v>
      </c>
      <c r="C53" s="2" t="s">
        <v>3505</v>
      </c>
      <c r="D53" s="2" t="s">
        <v>564</v>
      </c>
      <c r="E53" s="34" t="s">
        <v>3432</v>
      </c>
      <c r="F53" s="34" t="s">
        <v>3433</v>
      </c>
    </row>
    <row r="54" spans="1:7">
      <c r="A54" s="440"/>
      <c r="B54" s="2" t="s">
        <v>422</v>
      </c>
      <c r="C54" s="2" t="s">
        <v>3506</v>
      </c>
      <c r="D54" s="2" t="s">
        <v>564</v>
      </c>
      <c r="E54" s="25" t="s">
        <v>3507</v>
      </c>
      <c r="F54" s="25"/>
    </row>
    <row r="55" spans="1:7">
      <c r="A55" s="465" t="s">
        <v>3508</v>
      </c>
      <c r="B55" s="2" t="s">
        <v>422</v>
      </c>
      <c r="C55" s="2" t="s">
        <v>3506</v>
      </c>
      <c r="D55" s="2" t="s">
        <v>564</v>
      </c>
      <c r="E55" s="25" t="s">
        <v>3509</v>
      </c>
      <c r="F55" s="25" t="s">
        <v>3510</v>
      </c>
    </row>
    <row r="56" spans="1:7">
      <c r="A56" s="440"/>
      <c r="B56" s="2" t="s">
        <v>422</v>
      </c>
      <c r="C56" s="2" t="s">
        <v>3437</v>
      </c>
      <c r="D56" s="2" t="s">
        <v>564</v>
      </c>
      <c r="E56" s="25" t="s">
        <v>3511</v>
      </c>
      <c r="F56" s="25" t="s">
        <v>3512</v>
      </c>
      <c r="G56" s="442" t="s">
        <v>3513</v>
      </c>
    </row>
    <row r="57" spans="1:7">
      <c r="A57" s="440"/>
      <c r="B57" s="2" t="s">
        <v>422</v>
      </c>
      <c r="C57" s="2" t="s">
        <v>3427</v>
      </c>
      <c r="D57" s="2" t="s">
        <v>564</v>
      </c>
      <c r="E57" s="25" t="s">
        <v>3511</v>
      </c>
      <c r="F57" s="25" t="s">
        <v>3512</v>
      </c>
      <c r="G57" s="442"/>
    </row>
    <row r="58" spans="1:7" ht="29.1">
      <c r="A58" s="440"/>
      <c r="B58" s="2" t="s">
        <v>422</v>
      </c>
      <c r="C58" s="2" t="s">
        <v>366</v>
      </c>
      <c r="D58" s="2" t="s">
        <v>3514</v>
      </c>
      <c r="E58" s="25" t="s">
        <v>3515</v>
      </c>
      <c r="F58" s="25"/>
    </row>
    <row r="59" spans="1:7">
      <c r="A59" s="440"/>
      <c r="B59" s="2" t="s">
        <v>422</v>
      </c>
      <c r="C59" s="2" t="s">
        <v>3516</v>
      </c>
      <c r="D59" s="2" t="s">
        <v>564</v>
      </c>
      <c r="E59" s="25" t="s">
        <v>3517</v>
      </c>
      <c r="F59" s="25"/>
    </row>
    <row r="60" spans="1:7">
      <c r="A60" s="440"/>
      <c r="B60" s="2" t="s">
        <v>422</v>
      </c>
      <c r="C60" s="2" t="s">
        <v>302</v>
      </c>
      <c r="D60" s="2" t="s">
        <v>564</v>
      </c>
      <c r="E60" s="25" t="s">
        <v>3518</v>
      </c>
      <c r="F60" s="25"/>
    </row>
    <row r="61" spans="1:7" ht="29.1">
      <c r="A61" s="440" t="s">
        <v>3519</v>
      </c>
      <c r="B61" s="440" t="s">
        <v>422</v>
      </c>
      <c r="C61" s="2" t="s">
        <v>366</v>
      </c>
      <c r="D61" s="2" t="s">
        <v>564</v>
      </c>
      <c r="E61" s="25" t="s">
        <v>3520</v>
      </c>
      <c r="F61" s="25" t="s">
        <v>3521</v>
      </c>
      <c r="G61" s="25" t="s">
        <v>3522</v>
      </c>
    </row>
    <row r="62" spans="1:7">
      <c r="A62" s="440"/>
      <c r="B62" s="440"/>
      <c r="C62" s="2" t="s">
        <v>3523</v>
      </c>
      <c r="D62" s="2" t="s">
        <v>564</v>
      </c>
      <c r="E62" s="25" t="s">
        <v>3524</v>
      </c>
      <c r="F62" s="25" t="s">
        <v>3525</v>
      </c>
      <c r="G62" s="2" t="s">
        <v>3526</v>
      </c>
    </row>
    <row r="63" spans="1:7">
      <c r="A63" s="440"/>
      <c r="B63" s="440"/>
      <c r="C63" s="2" t="s">
        <v>3527</v>
      </c>
      <c r="D63" s="2" t="s">
        <v>564</v>
      </c>
      <c r="E63" s="25" t="s">
        <v>3528</v>
      </c>
      <c r="F63" s="25"/>
    </row>
    <row r="64" spans="1:7">
      <c r="A64" s="440"/>
      <c r="B64" s="440"/>
      <c r="C64" s="2" t="s">
        <v>3529</v>
      </c>
      <c r="D64" s="2" t="s">
        <v>564</v>
      </c>
      <c r="E64" s="25" t="s">
        <v>3530</v>
      </c>
      <c r="F64" s="25"/>
    </row>
    <row r="65" spans="1:7">
      <c r="A65" s="440"/>
      <c r="B65" s="440"/>
      <c r="C65" s="2" t="s">
        <v>2009</v>
      </c>
      <c r="D65" s="2" t="s">
        <v>564</v>
      </c>
      <c r="E65" s="25" t="s">
        <v>3531</v>
      </c>
      <c r="F65" s="25" t="s">
        <v>3510</v>
      </c>
    </row>
    <row r="66" spans="1:7">
      <c r="A66" s="440"/>
      <c r="B66" s="440"/>
      <c r="C66" s="2" t="s">
        <v>302</v>
      </c>
      <c r="D66" s="2" t="s">
        <v>3461</v>
      </c>
      <c r="E66" s="25" t="s">
        <v>3532</v>
      </c>
      <c r="F66" s="25"/>
    </row>
    <row r="67" spans="1:7">
      <c r="A67" s="440"/>
      <c r="B67" s="440"/>
      <c r="C67" s="2" t="s">
        <v>3533</v>
      </c>
      <c r="D67" s="2" t="s">
        <v>3461</v>
      </c>
      <c r="E67" s="25" t="s">
        <v>3534</v>
      </c>
      <c r="F67" s="25"/>
    </row>
    <row r="68" spans="1:7">
      <c r="A68" s="440" t="s">
        <v>3535</v>
      </c>
      <c r="B68" s="442" t="s">
        <v>422</v>
      </c>
      <c r="C68" s="2" t="s">
        <v>3536</v>
      </c>
      <c r="D68" s="2" t="s">
        <v>564</v>
      </c>
      <c r="E68" s="25" t="s">
        <v>3537</v>
      </c>
      <c r="F68" s="25" t="s">
        <v>3538</v>
      </c>
    </row>
    <row r="69" spans="1:7">
      <c r="A69" s="440"/>
      <c r="B69" s="442"/>
      <c r="C69" s="2" t="s">
        <v>3539</v>
      </c>
      <c r="D69" s="2" t="s">
        <v>564</v>
      </c>
      <c r="E69" s="25" t="s">
        <v>3540</v>
      </c>
      <c r="F69" s="25"/>
      <c r="G69" s="467" t="s">
        <v>3541</v>
      </c>
    </row>
    <row r="70" spans="1:7">
      <c r="A70" s="440"/>
      <c r="B70" s="442"/>
      <c r="C70" s="2" t="s">
        <v>3542</v>
      </c>
      <c r="D70" s="2" t="s">
        <v>564</v>
      </c>
      <c r="E70" s="25" t="s">
        <v>3540</v>
      </c>
      <c r="F70" s="25"/>
      <c r="G70" s="467"/>
    </row>
    <row r="71" spans="1:7">
      <c r="A71" s="440"/>
      <c r="B71" s="442"/>
      <c r="C71" s="2" t="s">
        <v>3543</v>
      </c>
      <c r="D71" s="2" t="s">
        <v>564</v>
      </c>
      <c r="E71" s="25" t="s">
        <v>3540</v>
      </c>
      <c r="F71" s="25"/>
      <c r="G71" s="467"/>
    </row>
    <row r="72" spans="1:7">
      <c r="A72" s="440"/>
      <c r="B72" s="442"/>
      <c r="C72" s="2" t="s">
        <v>3544</v>
      </c>
      <c r="D72" s="2" t="s">
        <v>564</v>
      </c>
      <c r="E72" s="25" t="s">
        <v>3540</v>
      </c>
      <c r="F72" s="25"/>
      <c r="G72" s="467"/>
    </row>
    <row r="73" spans="1:7">
      <c r="A73" s="440"/>
      <c r="B73" s="442"/>
      <c r="C73" s="2" t="s">
        <v>3545</v>
      </c>
      <c r="D73" s="2" t="s">
        <v>564</v>
      </c>
      <c r="E73" s="25" t="s">
        <v>3540</v>
      </c>
      <c r="F73" s="25"/>
      <c r="G73" s="467"/>
    </row>
    <row r="74" spans="1:7">
      <c r="A74" s="440"/>
      <c r="B74" s="442"/>
      <c r="C74" s="2" t="s">
        <v>3546</v>
      </c>
      <c r="D74" s="2" t="s">
        <v>564</v>
      </c>
      <c r="E74" s="25" t="s">
        <v>3540</v>
      </c>
      <c r="F74" s="25"/>
      <c r="G74" s="467"/>
    </row>
    <row r="75" spans="1:7">
      <c r="A75" s="440"/>
      <c r="B75" s="442"/>
      <c r="C75" s="2" t="s">
        <v>3547</v>
      </c>
      <c r="D75" s="2" t="s">
        <v>564</v>
      </c>
      <c r="E75" s="25" t="s">
        <v>3540</v>
      </c>
      <c r="F75" s="25"/>
      <c r="G75" s="467"/>
    </row>
    <row r="76" spans="1:7">
      <c r="A76" s="440"/>
      <c r="B76" s="442"/>
      <c r="C76" s="2" t="s">
        <v>3548</v>
      </c>
      <c r="D76" s="2" t="s">
        <v>564</v>
      </c>
      <c r="E76" s="25" t="s">
        <v>3540</v>
      </c>
      <c r="F76" s="25"/>
      <c r="G76" s="467"/>
    </row>
    <row r="77" spans="1:7">
      <c r="A77" s="440"/>
      <c r="B77" s="442"/>
      <c r="C77" s="2" t="s">
        <v>3549</v>
      </c>
      <c r="D77" s="2" t="s">
        <v>564</v>
      </c>
      <c r="E77" s="25" t="s">
        <v>3550</v>
      </c>
      <c r="F77" s="25"/>
      <c r="G77" s="467"/>
    </row>
    <row r="78" spans="1:7">
      <c r="A78" s="440"/>
      <c r="B78" s="442"/>
      <c r="C78" s="2" t="s">
        <v>3551</v>
      </c>
      <c r="D78" s="2" t="s">
        <v>564</v>
      </c>
      <c r="E78" s="25" t="s">
        <v>3540</v>
      </c>
      <c r="F78" s="25"/>
      <c r="G78" s="467"/>
    </row>
    <row r="79" spans="1:7">
      <c r="A79" s="440"/>
      <c r="B79" s="442"/>
      <c r="C79" s="2" t="s">
        <v>3552</v>
      </c>
      <c r="D79" s="2" t="s">
        <v>564</v>
      </c>
      <c r="E79" s="25" t="s">
        <v>3553</v>
      </c>
      <c r="F79" s="25"/>
      <c r="G79" s="466" t="s">
        <v>3554</v>
      </c>
    </row>
    <row r="80" spans="1:7">
      <c r="A80" s="440"/>
      <c r="B80" s="442"/>
      <c r="C80" s="2" t="s">
        <v>3555</v>
      </c>
      <c r="D80" s="2" t="s">
        <v>564</v>
      </c>
      <c r="E80" s="25" t="s">
        <v>3553</v>
      </c>
      <c r="F80" s="25"/>
      <c r="G80" s="466"/>
    </row>
    <row r="81" spans="1:7">
      <c r="A81" s="440"/>
      <c r="B81" s="442"/>
      <c r="C81" s="2" t="s">
        <v>3556</v>
      </c>
      <c r="D81" s="2" t="s">
        <v>564</v>
      </c>
      <c r="E81" s="25" t="s">
        <v>3553</v>
      </c>
      <c r="F81" s="25"/>
      <c r="G81" s="466"/>
    </row>
    <row r="82" spans="1:7">
      <c r="A82" s="440"/>
      <c r="B82" s="442"/>
      <c r="C82" s="2" t="s">
        <v>3557</v>
      </c>
      <c r="D82" s="2" t="s">
        <v>564</v>
      </c>
      <c r="E82" s="25" t="s">
        <v>3553</v>
      </c>
      <c r="F82" s="25"/>
      <c r="G82" s="466"/>
    </row>
    <row r="83" spans="1:7">
      <c r="A83" s="440"/>
      <c r="B83" s="442"/>
      <c r="C83" s="2" t="s">
        <v>3558</v>
      </c>
      <c r="D83" s="2" t="s">
        <v>564</v>
      </c>
      <c r="E83" s="25" t="s">
        <v>3559</v>
      </c>
      <c r="F83" s="25"/>
      <c r="G83" s="466"/>
    </row>
    <row r="84" spans="1:7">
      <c r="A84" s="440"/>
      <c r="B84" s="442"/>
      <c r="C84" s="2" t="s">
        <v>3560</v>
      </c>
      <c r="D84" s="2" t="s">
        <v>564</v>
      </c>
      <c r="E84" s="25" t="s">
        <v>3553</v>
      </c>
      <c r="F84" s="25"/>
      <c r="G84" s="466"/>
    </row>
    <row r="85" spans="1:7">
      <c r="A85" s="440"/>
      <c r="B85" s="442"/>
      <c r="C85" s="2" t="s">
        <v>3561</v>
      </c>
      <c r="D85" s="2" t="s">
        <v>564</v>
      </c>
      <c r="E85" s="25" t="s">
        <v>3553</v>
      </c>
      <c r="F85" s="25"/>
      <c r="G85" s="466"/>
    </row>
    <row r="86" spans="1:7">
      <c r="A86" s="440"/>
      <c r="B86" s="442"/>
      <c r="C86" s="2" t="s">
        <v>3562</v>
      </c>
      <c r="D86" s="2" t="s">
        <v>564</v>
      </c>
      <c r="E86" s="25" t="s">
        <v>3553</v>
      </c>
      <c r="F86" s="25"/>
      <c r="G86" s="466"/>
    </row>
    <row r="87" spans="1:7">
      <c r="A87" s="440"/>
      <c r="B87" s="442"/>
      <c r="C87" s="2" t="s">
        <v>3563</v>
      </c>
      <c r="D87" s="2" t="s">
        <v>564</v>
      </c>
      <c r="E87" s="25" t="s">
        <v>3553</v>
      </c>
      <c r="F87" s="25"/>
      <c r="G87" s="466"/>
    </row>
    <row r="88" spans="1:7">
      <c r="A88" s="440"/>
      <c r="B88" s="442"/>
      <c r="C88" s="2" t="s">
        <v>3564</v>
      </c>
      <c r="D88" s="2" t="s">
        <v>564</v>
      </c>
      <c r="E88" s="25" t="s">
        <v>3565</v>
      </c>
      <c r="F88" s="25"/>
      <c r="G88" s="466"/>
    </row>
    <row r="89" spans="1:7">
      <c r="A89" s="440"/>
      <c r="B89" s="442"/>
      <c r="C89" s="2" t="s">
        <v>3566</v>
      </c>
      <c r="D89" s="2" t="s">
        <v>564</v>
      </c>
      <c r="E89" s="25" t="s">
        <v>3567</v>
      </c>
      <c r="F89" s="25"/>
    </row>
    <row r="90" spans="1:7" ht="29.1">
      <c r="A90" s="440"/>
      <c r="B90" s="442"/>
      <c r="C90" s="2" t="s">
        <v>3440</v>
      </c>
      <c r="D90" s="2" t="s">
        <v>564</v>
      </c>
      <c r="E90" s="25" t="s">
        <v>3568</v>
      </c>
      <c r="F90" s="25" t="s">
        <v>3569</v>
      </c>
    </row>
    <row r="91" spans="1:7">
      <c r="A91" s="440"/>
      <c r="B91" s="442"/>
      <c r="C91" s="442" t="s">
        <v>374</v>
      </c>
      <c r="D91" s="2" t="s">
        <v>3461</v>
      </c>
      <c r="E91" s="25" t="s">
        <v>3570</v>
      </c>
      <c r="F91" s="25" t="s">
        <v>3571</v>
      </c>
    </row>
    <row r="92" spans="1:7" ht="43.5">
      <c r="A92" s="440"/>
      <c r="B92" s="442"/>
      <c r="C92" s="442"/>
      <c r="D92" s="2" t="s">
        <v>559</v>
      </c>
      <c r="E92" s="25" t="s">
        <v>3572</v>
      </c>
      <c r="F92" s="25" t="s">
        <v>3573</v>
      </c>
    </row>
    <row r="93" spans="1:7" ht="43.5">
      <c r="A93" s="440"/>
      <c r="B93" s="442"/>
      <c r="C93" s="442"/>
      <c r="D93" s="2" t="s">
        <v>3514</v>
      </c>
      <c r="E93" s="25" t="s">
        <v>3574</v>
      </c>
      <c r="F93" s="25" t="s">
        <v>3575</v>
      </c>
    </row>
    <row r="94" spans="1:7" ht="29.1">
      <c r="A94" s="440"/>
      <c r="B94" s="442"/>
      <c r="C94" s="2" t="s">
        <v>3529</v>
      </c>
      <c r="D94" s="2" t="s">
        <v>3514</v>
      </c>
      <c r="E94" s="25" t="s">
        <v>3576</v>
      </c>
      <c r="F94" s="25" t="s">
        <v>3577</v>
      </c>
    </row>
    <row r="95" spans="1:7" ht="43.5">
      <c r="A95" s="440"/>
      <c r="B95" s="442"/>
      <c r="C95" s="2" t="s">
        <v>3427</v>
      </c>
      <c r="D95" s="2" t="s">
        <v>564</v>
      </c>
      <c r="E95" s="2" t="s">
        <v>3578</v>
      </c>
      <c r="F95" s="25" t="s">
        <v>3579</v>
      </c>
    </row>
    <row r="96" spans="1:7">
      <c r="A96" s="440"/>
      <c r="B96" s="442"/>
      <c r="C96" s="2" t="s">
        <v>1607</v>
      </c>
      <c r="D96" s="2" t="s">
        <v>564</v>
      </c>
      <c r="E96" s="25" t="s">
        <v>3580</v>
      </c>
      <c r="F96" s="25"/>
    </row>
    <row r="97" spans="1:6" ht="29.1">
      <c r="A97" s="440" t="s">
        <v>3581</v>
      </c>
      <c r="B97" s="440" t="s">
        <v>422</v>
      </c>
      <c r="C97" s="440" t="s">
        <v>391</v>
      </c>
      <c r="D97" s="440" t="s">
        <v>564</v>
      </c>
      <c r="E97" s="25" t="s">
        <v>3582</v>
      </c>
      <c r="F97" s="25" t="s">
        <v>3583</v>
      </c>
    </row>
    <row r="98" spans="1:6" ht="29.1">
      <c r="A98" s="440"/>
      <c r="B98" s="440"/>
      <c r="C98" s="440"/>
      <c r="D98" s="440"/>
      <c r="E98" s="25" t="s">
        <v>1023</v>
      </c>
      <c r="F98" s="25" t="s">
        <v>3584</v>
      </c>
    </row>
    <row r="99" spans="1:6">
      <c r="A99" s="440"/>
      <c r="B99" s="440"/>
      <c r="C99" s="440"/>
      <c r="D99" s="2" t="s">
        <v>3514</v>
      </c>
      <c r="E99" s="25" t="s">
        <v>3585</v>
      </c>
      <c r="F99" s="25" t="s">
        <v>3586</v>
      </c>
    </row>
    <row r="100" spans="1:6">
      <c r="A100" s="440"/>
      <c r="B100" s="440"/>
      <c r="C100" s="2" t="s">
        <v>374</v>
      </c>
      <c r="D100" s="2" t="s">
        <v>564</v>
      </c>
      <c r="E100" s="25" t="s">
        <v>3587</v>
      </c>
      <c r="F100" s="25" t="s">
        <v>3588</v>
      </c>
    </row>
    <row r="101" spans="1:6">
      <c r="A101" s="440"/>
      <c r="B101" s="440"/>
      <c r="C101" s="2" t="s">
        <v>2636</v>
      </c>
      <c r="D101" s="2" t="s">
        <v>564</v>
      </c>
      <c r="E101" s="25" t="s">
        <v>3589</v>
      </c>
      <c r="F101" s="25"/>
    </row>
    <row r="102" spans="1:6">
      <c r="A102" s="440"/>
      <c r="B102" s="440"/>
      <c r="C102" s="2" t="s">
        <v>3590</v>
      </c>
      <c r="D102" s="2" t="s">
        <v>564</v>
      </c>
      <c r="E102" s="25" t="s">
        <v>3591</v>
      </c>
      <c r="F102" s="25"/>
    </row>
    <row r="103" spans="1:6">
      <c r="A103" s="440"/>
      <c r="B103" s="440"/>
      <c r="C103" s="2" t="s">
        <v>311</v>
      </c>
      <c r="D103" s="2" t="s">
        <v>564</v>
      </c>
      <c r="E103" s="25" t="s">
        <v>3592</v>
      </c>
      <c r="F103" s="25" t="s">
        <v>3593</v>
      </c>
    </row>
    <row r="104" spans="1:6">
      <c r="A104" s="440" t="s">
        <v>3594</v>
      </c>
      <c r="B104" s="440" t="s">
        <v>422</v>
      </c>
      <c r="C104" s="2" t="s">
        <v>374</v>
      </c>
      <c r="D104" s="2" t="s">
        <v>3461</v>
      </c>
      <c r="E104" s="25" t="s">
        <v>3595</v>
      </c>
      <c r="F104" s="25" t="s">
        <v>3596</v>
      </c>
    </row>
    <row r="105" spans="1:6">
      <c r="A105" s="440"/>
      <c r="B105" s="440"/>
      <c r="C105" s="2" t="s">
        <v>332</v>
      </c>
      <c r="D105" s="2" t="s">
        <v>564</v>
      </c>
      <c r="E105" s="25" t="s">
        <v>3597</v>
      </c>
      <c r="F105" s="25"/>
    </row>
    <row r="106" spans="1:6">
      <c r="A106" s="440"/>
      <c r="B106" s="440"/>
      <c r="C106" s="2" t="s">
        <v>337</v>
      </c>
      <c r="D106" s="2" t="s">
        <v>564</v>
      </c>
      <c r="E106" s="25" t="s">
        <v>3597</v>
      </c>
      <c r="F106" s="25"/>
    </row>
    <row r="107" spans="1:6">
      <c r="A107" s="440"/>
      <c r="B107" s="440"/>
      <c r="C107" s="2" t="s">
        <v>3529</v>
      </c>
      <c r="D107" s="2" t="s">
        <v>3461</v>
      </c>
      <c r="E107" s="25" t="s">
        <v>3598</v>
      </c>
      <c r="F107" s="25" t="s">
        <v>3599</v>
      </c>
    </row>
    <row r="108" spans="1:6">
      <c r="A108" s="440"/>
      <c r="B108" s="440"/>
      <c r="C108" s="2" t="s">
        <v>311</v>
      </c>
      <c r="E108" s="25" t="s">
        <v>3600</v>
      </c>
      <c r="F108" s="25"/>
    </row>
    <row r="109" spans="1:6">
      <c r="A109" s="442" t="s">
        <v>3601</v>
      </c>
      <c r="B109" s="440" t="s">
        <v>422</v>
      </c>
      <c r="C109" s="2" t="s">
        <v>337</v>
      </c>
      <c r="D109" s="2" t="s">
        <v>564</v>
      </c>
      <c r="E109" s="25" t="s">
        <v>3602</v>
      </c>
      <c r="F109" s="25"/>
    </row>
    <row r="110" spans="1:6">
      <c r="A110" s="442"/>
      <c r="B110" s="440"/>
      <c r="C110" s="2" t="s">
        <v>3603</v>
      </c>
      <c r="D110" s="2" t="s">
        <v>564</v>
      </c>
      <c r="E110" s="25" t="s">
        <v>3531</v>
      </c>
      <c r="F110" s="25" t="s">
        <v>3604</v>
      </c>
    </row>
    <row r="111" spans="1:6" ht="29.1">
      <c r="A111" s="442"/>
      <c r="B111" s="440"/>
      <c r="C111" s="2" t="s">
        <v>3605</v>
      </c>
      <c r="D111" s="2" t="s">
        <v>564</v>
      </c>
      <c r="E111" s="25" t="s">
        <v>3606</v>
      </c>
      <c r="F111" s="25"/>
    </row>
    <row r="112" spans="1:6">
      <c r="A112" s="442"/>
      <c r="B112" s="440"/>
      <c r="C112" s="2" t="s">
        <v>3607</v>
      </c>
      <c r="D112" s="2" t="s">
        <v>564</v>
      </c>
      <c r="E112" s="25" t="s">
        <v>3608</v>
      </c>
      <c r="F112" s="25" t="s">
        <v>3609</v>
      </c>
    </row>
    <row r="113" spans="1:7">
      <c r="A113" s="442"/>
      <c r="B113" s="440"/>
      <c r="C113" s="2" t="s">
        <v>3610</v>
      </c>
      <c r="D113" s="2" t="s">
        <v>564</v>
      </c>
      <c r="E113" s="25" t="s">
        <v>3611</v>
      </c>
      <c r="F113" s="25" t="s">
        <v>3612</v>
      </c>
    </row>
    <row r="114" spans="1:7">
      <c r="A114" s="442"/>
      <c r="B114" s="440"/>
      <c r="C114" s="2" t="s">
        <v>311</v>
      </c>
      <c r="D114" s="2" t="s">
        <v>564</v>
      </c>
      <c r="E114" s="25" t="s">
        <v>3611</v>
      </c>
      <c r="F114" s="25" t="s">
        <v>3613</v>
      </c>
    </row>
    <row r="115" spans="1:7">
      <c r="A115" s="442"/>
      <c r="B115" s="440"/>
      <c r="C115" s="2" t="s">
        <v>1783</v>
      </c>
      <c r="D115" s="2" t="s">
        <v>564</v>
      </c>
      <c r="E115" s="25" t="s">
        <v>3614</v>
      </c>
      <c r="F115" s="25"/>
    </row>
    <row r="116" spans="1:7">
      <c r="A116" s="442"/>
      <c r="B116" s="440"/>
      <c r="C116" s="2" t="s">
        <v>3615</v>
      </c>
      <c r="D116" s="2" t="s">
        <v>564</v>
      </c>
      <c r="E116" s="25" t="s">
        <v>3616</v>
      </c>
      <c r="F116" s="25"/>
    </row>
    <row r="117" spans="1:7">
      <c r="A117" s="442"/>
      <c r="B117" s="440"/>
      <c r="C117" s="2" t="s">
        <v>3617</v>
      </c>
      <c r="D117" s="2" t="s">
        <v>564</v>
      </c>
      <c r="E117" s="25" t="s">
        <v>3618</v>
      </c>
      <c r="F117" s="25"/>
    </row>
    <row r="118" spans="1:7">
      <c r="A118" s="440" t="s">
        <v>3619</v>
      </c>
      <c r="B118" s="440" t="s">
        <v>422</v>
      </c>
      <c r="C118" s="2" t="s">
        <v>366</v>
      </c>
      <c r="D118" s="2" t="s">
        <v>564</v>
      </c>
      <c r="E118" s="25" t="s">
        <v>3620</v>
      </c>
      <c r="F118" s="25" t="s">
        <v>3621</v>
      </c>
    </row>
    <row r="119" spans="1:7">
      <c r="A119" s="440"/>
      <c r="B119" s="440"/>
      <c r="C119" s="2" t="s">
        <v>3529</v>
      </c>
      <c r="D119" s="2" t="s">
        <v>3514</v>
      </c>
      <c r="E119" s="25" t="s">
        <v>3622</v>
      </c>
      <c r="F119" s="25" t="s">
        <v>3623</v>
      </c>
      <c r="G119" s="2" t="s">
        <v>3624</v>
      </c>
    </row>
    <row r="120" spans="1:7">
      <c r="A120" s="440"/>
      <c r="B120" s="440"/>
      <c r="C120" s="2" t="s">
        <v>3625</v>
      </c>
      <c r="D120" s="2" t="s">
        <v>564</v>
      </c>
      <c r="E120" s="25" t="s">
        <v>3626</v>
      </c>
      <c r="F120" s="25"/>
    </row>
    <row r="121" spans="1:7">
      <c r="A121" s="440"/>
      <c r="B121" s="440"/>
      <c r="C121" s="2" t="s">
        <v>3627</v>
      </c>
      <c r="D121" s="2" t="s">
        <v>564</v>
      </c>
      <c r="E121" s="25" t="s">
        <v>3626</v>
      </c>
      <c r="F121" s="25"/>
    </row>
    <row r="122" spans="1:7">
      <c r="A122" s="440"/>
      <c r="B122" s="440"/>
      <c r="C122" s="2" t="s">
        <v>3628</v>
      </c>
      <c r="D122" s="2" t="s">
        <v>564</v>
      </c>
      <c r="E122" s="25" t="s">
        <v>3626</v>
      </c>
      <c r="F122" s="25"/>
    </row>
    <row r="123" spans="1:7">
      <c r="A123" s="440"/>
      <c r="B123" s="440"/>
      <c r="C123" s="2" t="s">
        <v>3629</v>
      </c>
      <c r="D123" s="2" t="s">
        <v>564</v>
      </c>
      <c r="E123" s="25" t="s">
        <v>3626</v>
      </c>
      <c r="F123" s="25"/>
    </row>
    <row r="124" spans="1:7">
      <c r="A124" s="440"/>
      <c r="B124" s="440"/>
      <c r="C124" s="2" t="s">
        <v>3630</v>
      </c>
      <c r="D124" s="2" t="s">
        <v>564</v>
      </c>
      <c r="E124" s="25" t="s">
        <v>3626</v>
      </c>
      <c r="F124" s="25"/>
    </row>
    <row r="125" spans="1:7">
      <c r="A125" s="440"/>
      <c r="B125" s="440"/>
      <c r="C125" s="2" t="s">
        <v>3631</v>
      </c>
      <c r="D125" s="2" t="s">
        <v>564</v>
      </c>
      <c r="E125" s="25" t="s">
        <v>3626</v>
      </c>
      <c r="F125" s="25"/>
    </row>
    <row r="126" spans="1:7">
      <c r="A126" s="440"/>
      <c r="B126" s="440"/>
      <c r="C126" s="2" t="s">
        <v>3632</v>
      </c>
      <c r="D126" s="2" t="s">
        <v>564</v>
      </c>
      <c r="E126" s="25" t="s">
        <v>3633</v>
      </c>
      <c r="F126" s="25"/>
    </row>
    <row r="127" spans="1:7">
      <c r="A127" s="440"/>
      <c r="B127" s="440"/>
      <c r="C127" s="2" t="s">
        <v>3634</v>
      </c>
      <c r="D127" s="2" t="s">
        <v>564</v>
      </c>
      <c r="E127" s="25" t="s">
        <v>3635</v>
      </c>
      <c r="F127" s="25"/>
    </row>
    <row r="128" spans="1:7">
      <c r="A128" s="440" t="s">
        <v>3636</v>
      </c>
      <c r="B128" s="440" t="s">
        <v>422</v>
      </c>
      <c r="C128" s="2" t="s">
        <v>3637</v>
      </c>
      <c r="D128" s="2" t="s">
        <v>3461</v>
      </c>
      <c r="E128" s="25" t="s">
        <v>3638</v>
      </c>
      <c r="F128" s="25"/>
    </row>
    <row r="129" spans="1:6">
      <c r="A129" s="440"/>
      <c r="B129" s="440"/>
      <c r="C129" s="2" t="s">
        <v>2427</v>
      </c>
      <c r="D129" s="2" t="s">
        <v>3461</v>
      </c>
      <c r="E129" s="25" t="s">
        <v>3638</v>
      </c>
      <c r="F129" s="25"/>
    </row>
    <row r="130" spans="1:6">
      <c r="A130" s="440"/>
      <c r="B130" s="440"/>
      <c r="C130" s="2" t="s">
        <v>3639</v>
      </c>
      <c r="D130" s="2" t="s">
        <v>3461</v>
      </c>
      <c r="E130" s="25" t="s">
        <v>3638</v>
      </c>
      <c r="F130" s="25"/>
    </row>
    <row r="131" spans="1:6">
      <c r="A131" s="440"/>
      <c r="B131" s="440"/>
      <c r="C131" s="2" t="s">
        <v>3630</v>
      </c>
      <c r="D131" s="2" t="s">
        <v>3461</v>
      </c>
      <c r="E131" s="25" t="s">
        <v>3638</v>
      </c>
      <c r="F131" s="25"/>
    </row>
    <row r="132" spans="1:6">
      <c r="A132" s="440"/>
      <c r="B132" s="440"/>
      <c r="C132" s="2" t="s">
        <v>3640</v>
      </c>
      <c r="D132" s="2" t="s">
        <v>3461</v>
      </c>
      <c r="E132" s="25" t="s">
        <v>3638</v>
      </c>
      <c r="F132" s="25"/>
    </row>
    <row r="133" spans="1:6">
      <c r="A133" s="440"/>
      <c r="B133" s="440"/>
      <c r="C133" s="2" t="s">
        <v>3641</v>
      </c>
      <c r="D133" s="2" t="s">
        <v>3461</v>
      </c>
      <c r="E133" s="25" t="s">
        <v>3638</v>
      </c>
      <c r="F133" s="25"/>
    </row>
    <row r="134" spans="1:6">
      <c r="A134" s="440"/>
      <c r="B134" s="440"/>
      <c r="C134" s="2" t="s">
        <v>3642</v>
      </c>
      <c r="D134" s="2" t="s">
        <v>3461</v>
      </c>
      <c r="E134" s="25" t="s">
        <v>3638</v>
      </c>
      <c r="F134" s="25"/>
    </row>
    <row r="135" spans="1:6">
      <c r="A135" s="440"/>
      <c r="B135" s="440"/>
      <c r="C135" s="2" t="s">
        <v>311</v>
      </c>
      <c r="D135" s="2" t="s">
        <v>564</v>
      </c>
      <c r="E135" s="25" t="s">
        <v>3643</v>
      </c>
      <c r="F135" s="25" t="s">
        <v>3644</v>
      </c>
    </row>
    <row r="136" spans="1:6">
      <c r="A136" s="440"/>
      <c r="B136" s="440"/>
      <c r="C136" s="2" t="s">
        <v>346</v>
      </c>
      <c r="D136" s="2" t="s">
        <v>564</v>
      </c>
      <c r="E136" s="25" t="s">
        <v>3643</v>
      </c>
      <c r="F136" s="25" t="s">
        <v>3645</v>
      </c>
    </row>
    <row r="137" spans="1:6">
      <c r="A137" s="440"/>
      <c r="B137" s="440"/>
      <c r="C137" s="2" t="s">
        <v>337</v>
      </c>
      <c r="D137" s="2" t="s">
        <v>564</v>
      </c>
      <c r="E137" s="25" t="s">
        <v>3646</v>
      </c>
      <c r="F137" s="25"/>
    </row>
    <row r="138" spans="1:6">
      <c r="A138" s="2" t="s">
        <v>3647</v>
      </c>
      <c r="C138" s="2" t="s">
        <v>337</v>
      </c>
      <c r="D138" s="2" t="s">
        <v>564</v>
      </c>
      <c r="E138" s="25" t="s">
        <v>3648</v>
      </c>
      <c r="F138" s="25" t="s">
        <v>3649</v>
      </c>
    </row>
    <row r="139" spans="1:6">
      <c r="E139" s="25"/>
      <c r="F139" s="25"/>
    </row>
    <row r="140" spans="1:6">
      <c r="E140" s="25"/>
      <c r="F140" s="25"/>
    </row>
    <row r="141" spans="1:6">
      <c r="E141" s="25"/>
      <c r="F141" s="25"/>
    </row>
    <row r="142" spans="1:6">
      <c r="E142" s="25"/>
      <c r="F142" s="25"/>
    </row>
    <row r="143" spans="1:6">
      <c r="E143" s="25"/>
      <c r="F143" s="25"/>
    </row>
    <row r="144" spans="1:6">
      <c r="E144" s="25"/>
      <c r="F144" s="25"/>
    </row>
    <row r="145" spans="5:6">
      <c r="E145" s="25"/>
      <c r="F145" s="25"/>
    </row>
    <row r="146" spans="5:6">
      <c r="E146" s="25"/>
      <c r="F146" s="25"/>
    </row>
    <row r="147" spans="5:6">
      <c r="E147" s="25"/>
      <c r="F147" s="25"/>
    </row>
    <row r="148" spans="5:6">
      <c r="E148" s="25"/>
      <c r="F148" s="25"/>
    </row>
    <row r="149" spans="5:6">
      <c r="E149" s="25"/>
      <c r="F149" s="25"/>
    </row>
    <row r="150" spans="5:6">
      <c r="E150" s="25"/>
      <c r="F150" s="25"/>
    </row>
    <row r="151" spans="5:6">
      <c r="E151" s="25"/>
      <c r="F151" s="25"/>
    </row>
    <row r="152" spans="5:6">
      <c r="E152" s="25"/>
      <c r="F152" s="25"/>
    </row>
    <row r="153" spans="5:6">
      <c r="E153" s="25"/>
      <c r="F153" s="25"/>
    </row>
    <row r="154" spans="5:6">
      <c r="E154" s="25"/>
      <c r="F154" s="25"/>
    </row>
    <row r="155" spans="5:6">
      <c r="E155" s="25"/>
      <c r="F155" s="25"/>
    </row>
    <row r="156" spans="5:6">
      <c r="E156" s="25"/>
      <c r="F156" s="25"/>
    </row>
    <row r="157" spans="5:6">
      <c r="E157" s="25"/>
      <c r="F157" s="25"/>
    </row>
    <row r="158" spans="5:6">
      <c r="E158" s="25"/>
      <c r="F158" s="25"/>
    </row>
    <row r="159" spans="5:6">
      <c r="E159" s="25"/>
      <c r="F159" s="25"/>
    </row>
    <row r="160" spans="5:6">
      <c r="E160" s="25"/>
      <c r="F160" s="25"/>
    </row>
    <row r="161" spans="5:6">
      <c r="E161" s="25"/>
      <c r="F161" s="25"/>
    </row>
    <row r="162" spans="5:6">
      <c r="E162" s="25"/>
      <c r="F162" s="25"/>
    </row>
    <row r="163" spans="5:6">
      <c r="E163" s="25"/>
      <c r="F163" s="25"/>
    </row>
    <row r="164" spans="5:6">
      <c r="E164" s="25"/>
      <c r="F164" s="25"/>
    </row>
    <row r="165" spans="5:6">
      <c r="E165" s="25"/>
      <c r="F165" s="25"/>
    </row>
    <row r="166" spans="5:6">
      <c r="E166" s="25"/>
      <c r="F166" s="25"/>
    </row>
    <row r="167" spans="5:6">
      <c r="E167" s="25"/>
      <c r="F167" s="25"/>
    </row>
    <row r="168" spans="5:6">
      <c r="E168" s="25"/>
      <c r="F168" s="25"/>
    </row>
    <row r="169" spans="5:6">
      <c r="E169" s="25"/>
      <c r="F169" s="25"/>
    </row>
    <row r="170" spans="5:6">
      <c r="E170" s="25"/>
      <c r="F170" s="25"/>
    </row>
    <row r="171" spans="5:6">
      <c r="E171" s="25"/>
      <c r="F171" s="25"/>
    </row>
    <row r="172" spans="5:6">
      <c r="E172" s="25"/>
      <c r="F172" s="25"/>
    </row>
    <row r="173" spans="5:6">
      <c r="E173" s="25"/>
      <c r="F173" s="25"/>
    </row>
    <row r="174" spans="5:6">
      <c r="E174" s="25"/>
      <c r="F174" s="25"/>
    </row>
    <row r="175" spans="5:6">
      <c r="E175" s="25"/>
      <c r="F175" s="25"/>
    </row>
    <row r="176" spans="5:6">
      <c r="E176" s="25"/>
      <c r="F176" s="25"/>
    </row>
    <row r="177" spans="5:6">
      <c r="E177" s="25"/>
      <c r="F177" s="25"/>
    </row>
    <row r="178" spans="5:6">
      <c r="E178" s="25"/>
      <c r="F178" s="25"/>
    </row>
    <row r="179" spans="5:6">
      <c r="E179" s="25"/>
      <c r="F179" s="25"/>
    </row>
    <row r="180" spans="5:6">
      <c r="E180" s="25"/>
      <c r="F180" s="25"/>
    </row>
    <row r="181" spans="5:6">
      <c r="E181" s="25"/>
      <c r="F181" s="25"/>
    </row>
    <row r="182" spans="5:6">
      <c r="E182" s="25"/>
      <c r="F182" s="25"/>
    </row>
    <row r="183" spans="5:6">
      <c r="E183" s="25"/>
      <c r="F183" s="25"/>
    </row>
    <row r="184" spans="5:6">
      <c r="E184" s="25"/>
      <c r="F184" s="25"/>
    </row>
  </sheetData>
  <mergeCells count="27">
    <mergeCell ref="B128:B137"/>
    <mergeCell ref="A128:A137"/>
    <mergeCell ref="B118:B127"/>
    <mergeCell ref="A118:A127"/>
    <mergeCell ref="B61:B67"/>
    <mergeCell ref="A61:A67"/>
    <mergeCell ref="G56:G57"/>
    <mergeCell ref="A55:A60"/>
    <mergeCell ref="B109:B117"/>
    <mergeCell ref="A109:A117"/>
    <mergeCell ref="G79:G88"/>
    <mergeCell ref="C91:C93"/>
    <mergeCell ref="B68:B96"/>
    <mergeCell ref="A68:A96"/>
    <mergeCell ref="G69:G78"/>
    <mergeCell ref="B104:B108"/>
    <mergeCell ref="A104:A108"/>
    <mergeCell ref="A97:A103"/>
    <mergeCell ref="D97:D98"/>
    <mergeCell ref="C97:C99"/>
    <mergeCell ref="B97:B103"/>
    <mergeCell ref="G42:G49"/>
    <mergeCell ref="A3:A15"/>
    <mergeCell ref="A16:A28"/>
    <mergeCell ref="A29:A35"/>
    <mergeCell ref="B42:B49"/>
    <mergeCell ref="A36:A54"/>
  </mergeCells>
  <phoneticPr fontId="3" type="noConversion"/>
  <dataValidations count="2">
    <dataValidation type="list" errorStyle="warning" allowBlank="1" showInputMessage="1" showErrorMessage="1" errorTitle="유형 선택 오류" error="드롭다운 목록에서 유형을 선택해 주세요." promptTitle="유형 선택 / Select Type" prompt="드롭다운에서 선택하세요_x000a_Select from dropdown" sqref="D3:D15" xr:uid="{3A874C32-A307-456E-828A-0C0FFE505096}">
      <formula1>"프로모션제안,API 연동 진행,테스트/검증,요금/물량 이슈,라이브 오픈 준비,인증/테스트 완료,매핑/콘텐츠,신규 계약,계약 갱신,이상 없음(No Issue)"</formula1>
    </dataValidation>
    <dataValidation type="list" allowBlank="1" showInputMessage="1" showErrorMessage="1" promptTitle="유형 선택 / Select Type" prompt="드롭다운에서 선택하세요_x000a_Select from dropdown" sqref="D16:D97 D99:D184" xr:uid="{769C5ADD-68F0-49E7-90C9-E4AD48A8023B}">
      <formula1>"API이슈,프로모션제안,요금문제,시스템장애,기타"</formula1>
    </dataValidation>
  </dataValidation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66AA-6066-4B29-84D0-6B44834DF2DF}">
  <sheetPr>
    <tabColor theme="9" tint="-0.499984740745262"/>
  </sheetPr>
  <dimension ref="A1:Q199"/>
  <sheetViews>
    <sheetView topLeftCell="A188" workbookViewId="0">
      <selection activeCell="A177" sqref="A177"/>
    </sheetView>
  </sheetViews>
  <sheetFormatPr defaultColWidth="27.125" defaultRowHeight="15"/>
  <cols>
    <col min="1" max="1" width="12.375" style="276" customWidth="1"/>
    <col min="2" max="2" width="28.25" style="276" bestFit="1" customWidth="1"/>
    <col min="3" max="3" width="36.375" style="276" customWidth="1"/>
    <col min="4" max="4" width="15" style="276" customWidth="1"/>
    <col min="5" max="5" width="65.125" style="276" bestFit="1" customWidth="1"/>
    <col min="6" max="6" width="79.125" style="276" bestFit="1" customWidth="1"/>
    <col min="7" max="7" width="23.375" style="276" customWidth="1"/>
    <col min="8" max="8" width="15.375" style="276" customWidth="1"/>
    <col min="9" max="9" width="9.375" style="276" customWidth="1"/>
    <col min="10" max="10" width="10.625" style="276" customWidth="1"/>
    <col min="11" max="11" width="11.125" style="276" customWidth="1"/>
    <col min="12" max="12" width="15.875" style="276" customWidth="1"/>
    <col min="13" max="13" width="16.875" style="276" customWidth="1"/>
    <col min="14" max="14" width="11.75" style="276" customWidth="1"/>
    <col min="15" max="15" width="20" style="276" customWidth="1"/>
    <col min="16" max="16384" width="27.125" style="276"/>
  </cols>
  <sheetData>
    <row r="1" spans="1:17" ht="24" customHeight="1">
      <c r="A1" s="274" t="s">
        <v>536</v>
      </c>
      <c r="B1" s="274" t="s">
        <v>537</v>
      </c>
      <c r="C1" s="274" t="s">
        <v>538</v>
      </c>
      <c r="D1" s="274" t="s">
        <v>539</v>
      </c>
      <c r="E1" s="274" t="s">
        <v>540</v>
      </c>
      <c r="F1" s="274" t="s">
        <v>541</v>
      </c>
      <c r="G1" s="274" t="s">
        <v>542</v>
      </c>
      <c r="H1" s="275"/>
      <c r="I1" s="275"/>
      <c r="J1" s="275"/>
      <c r="K1" s="275"/>
      <c r="L1" s="275"/>
      <c r="M1" s="275"/>
      <c r="N1" s="275"/>
      <c r="O1" s="275"/>
      <c r="P1" s="275"/>
      <c r="Q1" s="275"/>
    </row>
    <row r="2" spans="1:17" ht="32.25" customHeight="1">
      <c r="A2" s="277" t="s">
        <v>543</v>
      </c>
      <c r="B2" s="277" t="s">
        <v>544</v>
      </c>
      <c r="C2" s="277" t="s">
        <v>545</v>
      </c>
      <c r="D2" s="277" t="s">
        <v>546</v>
      </c>
      <c r="E2" s="277" t="s">
        <v>547</v>
      </c>
      <c r="F2" s="277" t="s">
        <v>548</v>
      </c>
      <c r="G2" s="278"/>
      <c r="H2" s="279"/>
      <c r="I2" s="279"/>
      <c r="J2" s="279"/>
      <c r="K2" s="279"/>
      <c r="L2" s="279"/>
      <c r="M2" s="279"/>
      <c r="N2" s="279"/>
      <c r="O2" s="279"/>
      <c r="P2" s="279"/>
      <c r="Q2" s="279"/>
    </row>
    <row r="3" spans="1:17" hidden="1">
      <c r="A3" s="476"/>
      <c r="B3" s="279"/>
      <c r="C3" s="279"/>
      <c r="D3" s="280"/>
      <c r="E3" s="281"/>
      <c r="F3" s="281"/>
      <c r="G3" s="282"/>
      <c r="H3" s="279"/>
      <c r="I3" s="279"/>
      <c r="J3" s="279"/>
      <c r="K3" s="279"/>
      <c r="L3" s="279"/>
      <c r="M3" s="279"/>
      <c r="N3" s="279"/>
      <c r="O3" s="279"/>
      <c r="P3" s="279"/>
      <c r="Q3" s="279"/>
    </row>
    <row r="4" spans="1:17" hidden="1">
      <c r="A4" s="476"/>
      <c r="B4" s="279"/>
      <c r="C4" s="279"/>
      <c r="D4" s="279"/>
      <c r="E4" s="275"/>
      <c r="F4" s="275"/>
      <c r="G4" s="279"/>
      <c r="H4" s="279"/>
      <c r="I4" s="279"/>
      <c r="J4" s="279"/>
      <c r="K4" s="279"/>
      <c r="L4" s="279"/>
      <c r="M4" s="279"/>
      <c r="N4" s="279"/>
      <c r="O4" s="279"/>
      <c r="P4" s="279"/>
      <c r="Q4" s="279"/>
    </row>
    <row r="5" spans="1:17" hidden="1">
      <c r="A5" s="476"/>
      <c r="B5" s="279"/>
      <c r="C5" s="279"/>
      <c r="D5" s="280"/>
      <c r="E5" s="275"/>
      <c r="F5" s="275"/>
      <c r="G5" s="279"/>
      <c r="H5" s="279"/>
      <c r="I5" s="279"/>
      <c r="J5" s="279"/>
      <c r="K5" s="279"/>
      <c r="L5" s="279"/>
      <c r="M5" s="279"/>
      <c r="N5" s="279"/>
      <c r="O5" s="279"/>
      <c r="P5" s="279"/>
      <c r="Q5" s="279"/>
    </row>
    <row r="6" spans="1:17" hidden="1">
      <c r="A6" s="476"/>
      <c r="B6" s="279"/>
      <c r="C6" s="279"/>
      <c r="D6" s="280"/>
      <c r="E6" s="281"/>
      <c r="F6" s="281"/>
      <c r="G6" s="279"/>
      <c r="H6" s="279"/>
      <c r="I6" s="279"/>
      <c r="J6" s="279"/>
      <c r="K6" s="279"/>
      <c r="L6" s="279"/>
      <c r="M6" s="279"/>
      <c r="N6" s="279"/>
      <c r="O6" s="279"/>
      <c r="P6" s="279"/>
      <c r="Q6" s="279"/>
    </row>
    <row r="7" spans="1:17" hidden="1">
      <c r="A7" s="476"/>
      <c r="B7" s="279"/>
      <c r="C7" s="279"/>
      <c r="D7" s="280"/>
      <c r="E7" s="281"/>
      <c r="F7" s="281"/>
      <c r="G7" s="279"/>
      <c r="H7" s="279"/>
      <c r="I7" s="279"/>
      <c r="J7" s="279"/>
      <c r="K7" s="279"/>
      <c r="L7" s="279"/>
      <c r="M7" s="279"/>
      <c r="N7" s="279"/>
      <c r="O7" s="279"/>
      <c r="P7" s="279"/>
      <c r="Q7" s="279"/>
    </row>
    <row r="8" spans="1:17" hidden="1">
      <c r="A8" s="476"/>
      <c r="B8" s="476"/>
      <c r="C8" s="279"/>
      <c r="D8" s="280"/>
      <c r="E8" s="281"/>
      <c r="F8" s="281"/>
      <c r="G8" s="474"/>
      <c r="H8" s="279"/>
      <c r="I8" s="279"/>
      <c r="J8" s="279"/>
      <c r="K8" s="279"/>
      <c r="L8" s="279"/>
      <c r="M8" s="279"/>
      <c r="N8" s="279"/>
      <c r="O8" s="279"/>
      <c r="P8" s="279"/>
      <c r="Q8" s="279"/>
    </row>
    <row r="9" spans="1:17" hidden="1">
      <c r="A9" s="476"/>
      <c r="B9" s="476"/>
      <c r="C9" s="279"/>
      <c r="D9" s="280"/>
      <c r="E9" s="281"/>
      <c r="F9" s="281"/>
      <c r="G9" s="474"/>
      <c r="H9" s="279"/>
      <c r="I9" s="279"/>
      <c r="J9" s="279"/>
      <c r="K9" s="279"/>
      <c r="L9" s="279"/>
      <c r="M9" s="279"/>
      <c r="N9" s="279"/>
      <c r="O9" s="279"/>
      <c r="P9" s="279"/>
      <c r="Q9" s="279"/>
    </row>
    <row r="10" spans="1:17" hidden="1">
      <c r="A10" s="476"/>
      <c r="B10" s="476"/>
      <c r="C10" s="279"/>
      <c r="D10" s="280"/>
      <c r="E10" s="281"/>
      <c r="F10" s="281"/>
      <c r="G10" s="474"/>
      <c r="H10" s="279"/>
      <c r="I10" s="279"/>
      <c r="J10" s="279"/>
      <c r="K10" s="279"/>
      <c r="L10" s="279"/>
      <c r="M10" s="279"/>
      <c r="N10" s="279"/>
      <c r="O10" s="279"/>
      <c r="P10" s="279"/>
      <c r="Q10" s="279"/>
    </row>
    <row r="11" spans="1:17" hidden="1">
      <c r="A11" s="476"/>
      <c r="B11" s="476"/>
      <c r="C11" s="279"/>
      <c r="D11" s="280"/>
      <c r="E11" s="281"/>
      <c r="F11" s="281"/>
      <c r="G11" s="474"/>
      <c r="H11" s="279"/>
      <c r="I11" s="279"/>
      <c r="J11" s="279"/>
      <c r="K11" s="279"/>
      <c r="L11" s="279"/>
      <c r="M11" s="279"/>
      <c r="N11" s="279"/>
      <c r="O11" s="279"/>
      <c r="P11" s="279"/>
      <c r="Q11" s="279"/>
    </row>
    <row r="12" spans="1:17" hidden="1">
      <c r="A12" s="476"/>
      <c r="B12" s="476"/>
      <c r="C12" s="279"/>
      <c r="D12" s="280"/>
      <c r="E12" s="281"/>
      <c r="F12" s="281"/>
      <c r="G12" s="474"/>
      <c r="H12" s="279"/>
      <c r="I12" s="279"/>
      <c r="J12" s="279"/>
      <c r="K12" s="279"/>
      <c r="L12" s="279"/>
      <c r="M12" s="279"/>
      <c r="N12" s="279"/>
      <c r="O12" s="279"/>
      <c r="P12" s="279"/>
      <c r="Q12" s="279"/>
    </row>
    <row r="13" spans="1:17" hidden="1">
      <c r="A13" s="476"/>
      <c r="B13" s="476"/>
      <c r="C13" s="279"/>
      <c r="D13" s="280"/>
      <c r="E13" s="281"/>
      <c r="F13" s="281"/>
      <c r="G13" s="474"/>
      <c r="H13" s="279"/>
      <c r="I13" s="279"/>
      <c r="J13" s="279"/>
      <c r="K13" s="279"/>
      <c r="L13" s="279"/>
      <c r="M13" s="279"/>
      <c r="N13" s="279"/>
      <c r="O13" s="279"/>
      <c r="P13" s="279"/>
      <c r="Q13" s="279"/>
    </row>
    <row r="14" spans="1:17" hidden="1">
      <c r="A14" s="476"/>
      <c r="B14" s="476"/>
      <c r="C14" s="279"/>
      <c r="D14" s="280"/>
      <c r="E14" s="281"/>
      <c r="F14" s="281"/>
      <c r="G14" s="474"/>
      <c r="H14" s="279"/>
      <c r="I14" s="279"/>
      <c r="J14" s="279"/>
      <c r="K14" s="279"/>
      <c r="L14" s="279"/>
      <c r="M14" s="279"/>
      <c r="N14" s="279"/>
      <c r="O14" s="279"/>
      <c r="P14" s="279"/>
      <c r="Q14" s="279"/>
    </row>
    <row r="15" spans="1:17" hidden="1">
      <c r="A15" s="476"/>
      <c r="B15" s="476"/>
      <c r="C15" s="279"/>
      <c r="D15" s="280"/>
      <c r="E15" s="281"/>
      <c r="F15" s="281"/>
      <c r="G15" s="474"/>
      <c r="H15" s="279"/>
      <c r="I15" s="279"/>
      <c r="J15" s="279"/>
      <c r="K15" s="279"/>
      <c r="L15" s="279"/>
      <c r="M15" s="279"/>
      <c r="N15" s="279"/>
      <c r="O15" s="279"/>
      <c r="P15" s="279"/>
      <c r="Q15" s="279"/>
    </row>
    <row r="16" spans="1:17" hidden="1">
      <c r="A16" s="476"/>
      <c r="B16" s="279"/>
      <c r="C16" s="279"/>
      <c r="D16" s="279"/>
      <c r="E16" s="275"/>
      <c r="F16" s="275"/>
      <c r="G16" s="279"/>
      <c r="H16" s="279"/>
      <c r="I16" s="279"/>
      <c r="J16" s="279"/>
      <c r="K16" s="279"/>
      <c r="L16" s="279"/>
      <c r="M16" s="279"/>
      <c r="N16" s="279"/>
      <c r="O16" s="279"/>
      <c r="P16" s="279"/>
      <c r="Q16" s="279"/>
    </row>
    <row r="17" spans="1:17" hidden="1">
      <c r="A17" s="476"/>
      <c r="B17" s="279"/>
      <c r="C17" s="279"/>
      <c r="D17" s="279"/>
      <c r="E17" s="275"/>
      <c r="F17" s="275"/>
      <c r="G17" s="279"/>
      <c r="H17" s="279"/>
      <c r="I17" s="279"/>
      <c r="J17" s="279"/>
      <c r="K17" s="279"/>
      <c r="L17" s="279"/>
      <c r="M17" s="279"/>
      <c r="N17" s="279"/>
      <c r="O17" s="279"/>
      <c r="P17" s="279"/>
      <c r="Q17" s="279"/>
    </row>
    <row r="18" spans="1:17" hidden="1">
      <c r="A18" s="476"/>
      <c r="B18" s="279"/>
      <c r="C18" s="279"/>
      <c r="D18" s="279"/>
      <c r="E18" s="275"/>
      <c r="F18" s="275"/>
      <c r="G18" s="279"/>
      <c r="H18" s="279"/>
      <c r="I18" s="279"/>
      <c r="J18" s="279"/>
      <c r="K18" s="279"/>
      <c r="L18" s="279"/>
      <c r="M18" s="279"/>
      <c r="N18" s="279"/>
      <c r="O18" s="279"/>
      <c r="P18" s="279"/>
      <c r="Q18" s="279"/>
    </row>
    <row r="19" spans="1:17" hidden="1">
      <c r="A19" s="476"/>
      <c r="B19" s="279"/>
      <c r="C19" s="279"/>
      <c r="D19" s="279"/>
      <c r="E19" s="281"/>
      <c r="F19" s="281"/>
      <c r="G19" s="279"/>
      <c r="H19" s="279"/>
      <c r="I19" s="279"/>
      <c r="J19" s="279"/>
      <c r="K19" s="279"/>
      <c r="L19" s="279"/>
      <c r="M19" s="279"/>
      <c r="N19" s="279"/>
      <c r="O19" s="279"/>
      <c r="P19" s="279"/>
      <c r="Q19" s="279"/>
    </row>
    <row r="20" spans="1:17" hidden="1">
      <c r="A20" s="476"/>
      <c r="B20" s="279"/>
      <c r="C20" s="279"/>
      <c r="D20" s="279"/>
      <c r="E20" s="275"/>
      <c r="F20" s="275"/>
      <c r="G20" s="279"/>
      <c r="H20" s="279"/>
      <c r="I20" s="279"/>
      <c r="J20" s="279"/>
      <c r="K20" s="279"/>
      <c r="L20" s="279"/>
      <c r="M20" s="279"/>
      <c r="N20" s="279"/>
      <c r="O20" s="279"/>
      <c r="P20" s="279"/>
      <c r="Q20" s="279"/>
    </row>
    <row r="21" spans="1:17" hidden="1">
      <c r="A21" s="477"/>
      <c r="B21" s="279"/>
      <c r="C21" s="279"/>
      <c r="D21" s="279"/>
      <c r="E21" s="275"/>
      <c r="F21" s="275"/>
      <c r="G21" s="279"/>
      <c r="H21" s="279"/>
      <c r="I21" s="279"/>
      <c r="J21" s="279"/>
      <c r="K21" s="279"/>
      <c r="L21" s="279"/>
      <c r="M21" s="279"/>
      <c r="N21" s="279"/>
      <c r="O21" s="279"/>
      <c r="P21" s="279"/>
      <c r="Q21" s="279"/>
    </row>
    <row r="22" spans="1:17" hidden="1">
      <c r="A22" s="476"/>
      <c r="B22" s="279"/>
      <c r="C22" s="279"/>
      <c r="D22" s="279"/>
      <c r="E22" s="275"/>
      <c r="F22" s="275"/>
      <c r="G22" s="475"/>
      <c r="H22" s="279"/>
      <c r="I22" s="279"/>
      <c r="J22" s="279"/>
      <c r="K22" s="279"/>
      <c r="L22" s="279"/>
      <c r="M22" s="279"/>
      <c r="N22" s="279"/>
      <c r="O22" s="279"/>
      <c r="P22" s="279"/>
      <c r="Q22" s="279"/>
    </row>
    <row r="23" spans="1:17" hidden="1">
      <c r="A23" s="476"/>
      <c r="B23" s="279"/>
      <c r="C23" s="279"/>
      <c r="D23" s="279"/>
      <c r="E23" s="275"/>
      <c r="F23" s="275"/>
      <c r="G23" s="475"/>
      <c r="H23" s="279"/>
      <c r="I23" s="279"/>
      <c r="J23" s="279"/>
      <c r="K23" s="279"/>
      <c r="L23" s="279"/>
      <c r="M23" s="279"/>
      <c r="N23" s="279"/>
      <c r="O23" s="279"/>
      <c r="P23" s="279"/>
      <c r="Q23" s="279"/>
    </row>
    <row r="24" spans="1:17" hidden="1">
      <c r="A24" s="476"/>
      <c r="B24" s="279"/>
      <c r="C24" s="279"/>
      <c r="D24" s="279"/>
      <c r="E24" s="275"/>
      <c r="F24" s="275"/>
      <c r="G24" s="279"/>
      <c r="H24" s="279"/>
      <c r="I24" s="279"/>
      <c r="J24" s="279"/>
      <c r="K24" s="279"/>
      <c r="L24" s="279"/>
      <c r="M24" s="279"/>
      <c r="N24" s="279"/>
      <c r="O24" s="279"/>
      <c r="P24" s="279"/>
      <c r="Q24" s="279"/>
    </row>
    <row r="25" spans="1:17" hidden="1">
      <c r="A25" s="476"/>
      <c r="B25" s="279"/>
      <c r="C25" s="279"/>
      <c r="D25" s="279"/>
      <c r="E25" s="275"/>
      <c r="F25" s="275"/>
      <c r="G25" s="279"/>
      <c r="H25" s="279"/>
      <c r="I25" s="279"/>
      <c r="J25" s="279"/>
      <c r="K25" s="279"/>
      <c r="L25" s="279"/>
      <c r="M25" s="279"/>
      <c r="N25" s="279"/>
      <c r="O25" s="279"/>
      <c r="P25" s="279"/>
      <c r="Q25" s="279"/>
    </row>
    <row r="26" spans="1:17" hidden="1">
      <c r="A26" s="476"/>
      <c r="B26" s="279"/>
      <c r="C26" s="279"/>
      <c r="D26" s="279"/>
      <c r="E26" s="275"/>
      <c r="F26" s="275"/>
      <c r="G26" s="279"/>
      <c r="H26" s="279"/>
      <c r="I26" s="279"/>
      <c r="J26" s="279"/>
      <c r="K26" s="279"/>
      <c r="L26" s="279"/>
      <c r="M26" s="279"/>
      <c r="N26" s="279"/>
      <c r="O26" s="279"/>
      <c r="P26" s="279"/>
      <c r="Q26" s="279"/>
    </row>
    <row r="27" spans="1:17" hidden="1">
      <c r="A27" s="476"/>
      <c r="B27" s="476"/>
      <c r="C27" s="279"/>
      <c r="D27" s="279"/>
      <c r="E27" s="275"/>
      <c r="F27" s="275"/>
      <c r="G27" s="275"/>
      <c r="H27" s="279"/>
      <c r="I27" s="279"/>
      <c r="J27" s="279"/>
      <c r="K27" s="279"/>
      <c r="L27" s="279"/>
      <c r="M27" s="279"/>
      <c r="N27" s="279"/>
      <c r="O27" s="279"/>
      <c r="P27" s="279"/>
      <c r="Q27" s="279"/>
    </row>
    <row r="28" spans="1:17" hidden="1">
      <c r="A28" s="476"/>
      <c r="B28" s="476"/>
      <c r="C28" s="279"/>
      <c r="D28" s="279"/>
      <c r="E28" s="275"/>
      <c r="F28" s="275"/>
      <c r="G28" s="279"/>
      <c r="H28" s="279"/>
      <c r="I28" s="279"/>
      <c r="J28" s="279"/>
      <c r="K28" s="279"/>
      <c r="L28" s="279"/>
      <c r="M28" s="279"/>
      <c r="N28" s="279"/>
      <c r="O28" s="279"/>
      <c r="P28" s="279"/>
      <c r="Q28" s="279"/>
    </row>
    <row r="29" spans="1:17" hidden="1">
      <c r="A29" s="476"/>
      <c r="B29" s="476"/>
      <c r="C29" s="279"/>
      <c r="D29" s="279"/>
      <c r="E29" s="275"/>
      <c r="F29" s="275"/>
      <c r="G29" s="279"/>
      <c r="H29" s="279"/>
      <c r="I29" s="279"/>
      <c r="J29" s="279"/>
      <c r="K29" s="279"/>
      <c r="L29" s="279"/>
      <c r="M29" s="279"/>
      <c r="N29" s="279"/>
      <c r="O29" s="279"/>
      <c r="P29" s="279"/>
      <c r="Q29" s="279"/>
    </row>
    <row r="30" spans="1:17" hidden="1">
      <c r="A30" s="476"/>
      <c r="B30" s="476"/>
      <c r="C30" s="279"/>
      <c r="D30" s="279"/>
      <c r="E30" s="275"/>
      <c r="F30" s="275"/>
      <c r="G30" s="279"/>
      <c r="H30" s="279"/>
      <c r="I30" s="279"/>
      <c r="J30" s="279"/>
      <c r="K30" s="279"/>
      <c r="L30" s="279"/>
      <c r="M30" s="279"/>
      <c r="N30" s="279"/>
      <c r="O30" s="279"/>
      <c r="P30" s="279"/>
      <c r="Q30" s="279"/>
    </row>
    <row r="31" spans="1:17" hidden="1">
      <c r="A31" s="476"/>
      <c r="B31" s="476"/>
      <c r="C31" s="279"/>
      <c r="D31" s="279"/>
      <c r="E31" s="275"/>
      <c r="F31" s="275"/>
      <c r="G31" s="279"/>
      <c r="H31" s="279"/>
      <c r="I31" s="279"/>
      <c r="J31" s="279"/>
      <c r="K31" s="279"/>
      <c r="L31" s="279"/>
      <c r="M31" s="279"/>
      <c r="N31" s="279"/>
      <c r="O31" s="279"/>
      <c r="P31" s="279"/>
      <c r="Q31" s="279"/>
    </row>
    <row r="32" spans="1:17" hidden="1">
      <c r="A32" s="476"/>
      <c r="B32" s="476"/>
      <c r="C32" s="279"/>
      <c r="D32" s="279"/>
      <c r="E32" s="275"/>
      <c r="F32" s="275"/>
      <c r="G32" s="279"/>
      <c r="H32" s="279"/>
      <c r="I32" s="279"/>
      <c r="J32" s="279"/>
      <c r="K32" s="279"/>
      <c r="L32" s="279"/>
      <c r="M32" s="279"/>
      <c r="N32" s="279"/>
      <c r="O32" s="279"/>
      <c r="P32" s="279"/>
      <c r="Q32" s="279"/>
    </row>
    <row r="33" spans="1:17" hidden="1">
      <c r="A33" s="476"/>
      <c r="B33" s="476"/>
      <c r="C33" s="279"/>
      <c r="D33" s="279"/>
      <c r="E33" s="275"/>
      <c r="F33" s="275"/>
      <c r="G33" s="279"/>
      <c r="H33" s="279"/>
      <c r="I33" s="279"/>
      <c r="J33" s="279"/>
      <c r="K33" s="279"/>
      <c r="L33" s="279"/>
      <c r="M33" s="279"/>
      <c r="N33" s="279"/>
      <c r="O33" s="279"/>
      <c r="P33" s="279"/>
      <c r="Q33" s="279"/>
    </row>
    <row r="34" spans="1:17" hidden="1">
      <c r="A34" s="476"/>
      <c r="B34" s="475"/>
      <c r="C34" s="279"/>
      <c r="D34" s="279"/>
      <c r="E34" s="275"/>
      <c r="F34" s="275"/>
      <c r="G34" s="279"/>
      <c r="H34" s="279"/>
      <c r="I34" s="279"/>
      <c r="J34" s="279"/>
      <c r="K34" s="279"/>
      <c r="L34" s="279"/>
      <c r="M34" s="279"/>
      <c r="N34" s="279"/>
      <c r="O34" s="279"/>
      <c r="P34" s="279"/>
      <c r="Q34" s="279"/>
    </row>
    <row r="35" spans="1:17" hidden="1">
      <c r="A35" s="476"/>
      <c r="B35" s="475"/>
      <c r="C35" s="279"/>
      <c r="D35" s="279"/>
      <c r="E35" s="275"/>
      <c r="F35" s="275"/>
      <c r="G35" s="478"/>
      <c r="H35" s="279"/>
      <c r="I35" s="279"/>
      <c r="J35" s="279"/>
      <c r="K35" s="279"/>
      <c r="L35" s="279"/>
      <c r="M35" s="279"/>
      <c r="N35" s="279"/>
      <c r="O35" s="279"/>
      <c r="P35" s="279"/>
      <c r="Q35" s="279"/>
    </row>
    <row r="36" spans="1:17" hidden="1">
      <c r="A36" s="476"/>
      <c r="B36" s="475"/>
      <c r="C36" s="279"/>
      <c r="D36" s="279"/>
      <c r="E36" s="275"/>
      <c r="F36" s="275"/>
      <c r="G36" s="478"/>
      <c r="H36" s="279"/>
      <c r="I36" s="279"/>
      <c r="J36" s="279"/>
      <c r="K36" s="279"/>
      <c r="L36" s="279"/>
      <c r="M36" s="279"/>
      <c r="N36" s="279"/>
      <c r="O36" s="279"/>
      <c r="P36" s="279"/>
      <c r="Q36" s="279"/>
    </row>
    <row r="37" spans="1:17">
      <c r="A37" s="475" t="s">
        <v>3650</v>
      </c>
      <c r="B37" s="476" t="s">
        <v>1252</v>
      </c>
      <c r="C37" s="283" t="s">
        <v>3651</v>
      </c>
      <c r="D37" s="284" t="s">
        <v>3652</v>
      </c>
      <c r="E37" s="283" t="s">
        <v>3653</v>
      </c>
      <c r="F37" s="283" t="s">
        <v>3654</v>
      </c>
      <c r="G37" s="279"/>
      <c r="H37" s="279"/>
      <c r="I37" s="279"/>
      <c r="J37" s="279"/>
      <c r="K37" s="279"/>
      <c r="L37" s="279"/>
      <c r="M37" s="279"/>
      <c r="N37" s="279"/>
      <c r="O37" s="279"/>
      <c r="P37" s="279"/>
      <c r="Q37" s="279"/>
    </row>
    <row r="38" spans="1:17">
      <c r="A38" s="475"/>
      <c r="B38" s="476"/>
      <c r="C38" s="283" t="s">
        <v>3655</v>
      </c>
      <c r="D38" s="284" t="s">
        <v>3652</v>
      </c>
      <c r="E38" s="283" t="s">
        <v>3656</v>
      </c>
      <c r="F38" s="283" t="s">
        <v>3657</v>
      </c>
      <c r="G38" s="279"/>
      <c r="H38" s="279"/>
      <c r="I38" s="279"/>
      <c r="J38" s="279"/>
      <c r="K38" s="279"/>
      <c r="L38" s="279"/>
      <c r="M38" s="279"/>
      <c r="N38" s="279"/>
      <c r="O38" s="279"/>
      <c r="P38" s="279"/>
      <c r="Q38" s="279"/>
    </row>
    <row r="39" spans="1:17">
      <c r="A39" s="475"/>
      <c r="B39" s="476"/>
      <c r="C39" s="283" t="s">
        <v>3658</v>
      </c>
      <c r="D39" s="284" t="s">
        <v>3652</v>
      </c>
      <c r="E39" s="283" t="s">
        <v>3656</v>
      </c>
      <c r="F39" s="283" t="s">
        <v>3657</v>
      </c>
      <c r="G39" s="279"/>
      <c r="H39" s="279"/>
      <c r="I39" s="279"/>
      <c r="J39" s="279"/>
      <c r="K39" s="279"/>
      <c r="L39" s="279"/>
      <c r="M39" s="279"/>
      <c r="N39" s="279"/>
      <c r="O39" s="279"/>
      <c r="P39" s="279"/>
      <c r="Q39" s="279"/>
    </row>
    <row r="40" spans="1:17">
      <c r="A40" s="475"/>
      <c r="B40" s="476"/>
      <c r="C40" s="283" t="s">
        <v>2930</v>
      </c>
      <c r="D40" s="284" t="s">
        <v>3652</v>
      </c>
      <c r="E40" s="283" t="s">
        <v>3659</v>
      </c>
      <c r="F40" s="283" t="s">
        <v>3657</v>
      </c>
      <c r="G40" s="279"/>
      <c r="H40" s="279"/>
      <c r="I40" s="279"/>
      <c r="J40" s="279"/>
      <c r="K40" s="279"/>
      <c r="L40" s="279"/>
      <c r="M40" s="279"/>
      <c r="N40" s="279"/>
      <c r="O40" s="279"/>
      <c r="P40" s="279"/>
      <c r="Q40" s="279"/>
    </row>
    <row r="41" spans="1:17">
      <c r="A41" s="475"/>
      <c r="B41" s="476"/>
      <c r="C41" s="283" t="s">
        <v>2090</v>
      </c>
      <c r="D41" s="284" t="s">
        <v>3652</v>
      </c>
      <c r="E41" s="283" t="s">
        <v>3660</v>
      </c>
      <c r="F41" s="283" t="s">
        <v>3657</v>
      </c>
      <c r="G41" s="279"/>
      <c r="H41" s="279"/>
      <c r="I41" s="279"/>
      <c r="J41" s="279"/>
      <c r="K41" s="279"/>
      <c r="L41" s="279"/>
      <c r="M41" s="279"/>
      <c r="N41" s="279"/>
      <c r="O41" s="279"/>
      <c r="P41" s="279"/>
      <c r="Q41" s="279"/>
    </row>
    <row r="42" spans="1:17">
      <c r="A42" s="475"/>
      <c r="B42" s="476"/>
      <c r="C42" s="283" t="s">
        <v>2937</v>
      </c>
      <c r="D42" s="284" t="s">
        <v>3652</v>
      </c>
      <c r="E42" s="283" t="s">
        <v>3661</v>
      </c>
      <c r="F42" s="283" t="s">
        <v>3662</v>
      </c>
      <c r="G42" s="279"/>
      <c r="H42" s="279"/>
      <c r="I42" s="279"/>
      <c r="J42" s="279"/>
      <c r="K42" s="279"/>
      <c r="L42" s="279"/>
      <c r="M42" s="279"/>
      <c r="N42" s="279"/>
      <c r="O42" s="279"/>
      <c r="P42" s="279"/>
      <c r="Q42" s="279"/>
    </row>
    <row r="43" spans="1:17">
      <c r="A43" s="475"/>
      <c r="B43" s="476"/>
      <c r="C43" s="283" t="s">
        <v>3663</v>
      </c>
      <c r="D43" s="284" t="s">
        <v>3652</v>
      </c>
      <c r="E43" s="283" t="s">
        <v>3664</v>
      </c>
      <c r="F43" s="283" t="s">
        <v>3665</v>
      </c>
      <c r="G43" s="279"/>
      <c r="H43" s="279"/>
      <c r="I43" s="279"/>
      <c r="J43" s="279"/>
      <c r="K43" s="279"/>
      <c r="L43" s="279"/>
      <c r="M43" s="279"/>
      <c r="N43" s="279"/>
      <c r="O43" s="279"/>
      <c r="P43" s="279"/>
      <c r="Q43" s="279"/>
    </row>
    <row r="44" spans="1:17" ht="49.5" customHeight="1">
      <c r="A44" s="475"/>
      <c r="B44" s="476"/>
      <c r="C44" s="285" t="s">
        <v>3666</v>
      </c>
      <c r="D44" s="284" t="s">
        <v>3652</v>
      </c>
      <c r="E44" s="286" t="s">
        <v>3667</v>
      </c>
      <c r="F44" s="286" t="s">
        <v>3668</v>
      </c>
      <c r="G44" s="279"/>
      <c r="H44" s="279"/>
      <c r="I44" s="279"/>
      <c r="J44" s="279"/>
      <c r="K44" s="279"/>
      <c r="L44" s="279"/>
      <c r="M44" s="279"/>
      <c r="N44" s="279"/>
      <c r="O44" s="279"/>
      <c r="P44" s="279"/>
      <c r="Q44" s="279"/>
    </row>
    <row r="45" spans="1:17">
      <c r="A45" s="475"/>
      <c r="B45" s="476"/>
      <c r="C45" s="283" t="s">
        <v>2959</v>
      </c>
      <c r="D45" s="284" t="s">
        <v>3652</v>
      </c>
      <c r="E45" s="283" t="s">
        <v>3669</v>
      </c>
      <c r="F45" s="283" t="s">
        <v>3670</v>
      </c>
      <c r="G45" s="279"/>
      <c r="H45" s="279"/>
      <c r="I45" s="279"/>
      <c r="J45" s="279"/>
      <c r="K45" s="279"/>
      <c r="L45" s="279"/>
      <c r="M45" s="279"/>
      <c r="N45" s="279"/>
      <c r="O45" s="279"/>
      <c r="P45" s="279"/>
      <c r="Q45" s="279"/>
    </row>
    <row r="46" spans="1:17">
      <c r="A46" s="475"/>
      <c r="B46" s="476"/>
      <c r="C46" s="283" t="s">
        <v>3671</v>
      </c>
      <c r="D46" s="284" t="s">
        <v>3652</v>
      </c>
      <c r="E46" s="287" t="s">
        <v>3672</v>
      </c>
      <c r="F46" s="283" t="s">
        <v>3673</v>
      </c>
      <c r="G46" s="279"/>
      <c r="H46" s="279"/>
      <c r="I46" s="279"/>
      <c r="J46" s="279"/>
      <c r="K46" s="279"/>
      <c r="L46" s="279"/>
      <c r="M46" s="279"/>
      <c r="N46" s="279"/>
      <c r="O46" s="279"/>
      <c r="P46" s="279"/>
      <c r="Q46" s="279"/>
    </row>
    <row r="47" spans="1:17">
      <c r="A47" s="475"/>
      <c r="B47" s="476"/>
      <c r="C47" s="285" t="s">
        <v>2966</v>
      </c>
      <c r="D47" s="284" t="s">
        <v>3652</v>
      </c>
      <c r="E47" s="287" t="s">
        <v>3674</v>
      </c>
      <c r="F47" s="283" t="s">
        <v>3675</v>
      </c>
      <c r="G47" s="279"/>
      <c r="H47" s="279"/>
      <c r="I47" s="279"/>
      <c r="J47" s="279"/>
      <c r="K47" s="279"/>
      <c r="L47" s="279"/>
      <c r="M47" s="279"/>
      <c r="N47" s="279"/>
      <c r="O47" s="279"/>
      <c r="P47" s="279"/>
      <c r="Q47" s="279"/>
    </row>
    <row r="48" spans="1:17">
      <c r="A48" s="475"/>
      <c r="B48" s="476"/>
      <c r="C48" s="283" t="s">
        <v>2972</v>
      </c>
      <c r="D48" s="284" t="s">
        <v>3652</v>
      </c>
      <c r="E48" s="288" t="s">
        <v>3676</v>
      </c>
      <c r="F48" s="283" t="s">
        <v>1241</v>
      </c>
      <c r="G48" s="279"/>
      <c r="H48" s="279"/>
      <c r="I48" s="279"/>
      <c r="J48" s="279"/>
      <c r="K48" s="279"/>
      <c r="L48" s="279"/>
      <c r="M48" s="279"/>
      <c r="N48" s="279"/>
      <c r="O48" s="279"/>
      <c r="P48" s="279"/>
      <c r="Q48" s="279"/>
    </row>
    <row r="49" spans="1:17">
      <c r="A49" s="475"/>
      <c r="B49" s="476"/>
      <c r="C49" s="283" t="s">
        <v>3677</v>
      </c>
      <c r="D49" s="284" t="s">
        <v>3652</v>
      </c>
      <c r="E49" s="283" t="s">
        <v>3678</v>
      </c>
      <c r="F49" s="283"/>
      <c r="G49" s="279"/>
      <c r="H49" s="279"/>
      <c r="I49" s="279"/>
      <c r="J49" s="279"/>
      <c r="K49" s="279"/>
      <c r="L49" s="279"/>
      <c r="M49" s="279"/>
      <c r="N49" s="279"/>
      <c r="O49" s="279"/>
      <c r="P49" s="279"/>
      <c r="Q49" s="279"/>
    </row>
    <row r="50" spans="1:17">
      <c r="A50" s="475"/>
      <c r="B50" s="476"/>
      <c r="C50" s="283" t="s">
        <v>3679</v>
      </c>
      <c r="D50" s="284" t="s">
        <v>3652</v>
      </c>
      <c r="E50" s="283" t="s">
        <v>3680</v>
      </c>
      <c r="F50" s="283" t="s">
        <v>3681</v>
      </c>
      <c r="G50" s="279"/>
      <c r="H50" s="279"/>
      <c r="I50" s="279"/>
      <c r="J50" s="279"/>
      <c r="K50" s="279"/>
      <c r="L50" s="279"/>
      <c r="M50" s="279"/>
      <c r="N50" s="279"/>
      <c r="O50" s="279"/>
      <c r="P50" s="279"/>
      <c r="Q50" s="279"/>
    </row>
    <row r="51" spans="1:17">
      <c r="A51" s="475"/>
      <c r="B51" s="476"/>
      <c r="C51" s="289" t="s">
        <v>2987</v>
      </c>
      <c r="D51" s="284" t="s">
        <v>3652</v>
      </c>
      <c r="E51" s="283" t="s">
        <v>3682</v>
      </c>
      <c r="F51" s="283"/>
      <c r="G51" s="279"/>
      <c r="H51" s="279"/>
      <c r="I51" s="279"/>
      <c r="J51" s="279"/>
      <c r="K51" s="279"/>
      <c r="L51" s="279"/>
      <c r="M51" s="279"/>
      <c r="N51" s="279"/>
      <c r="O51" s="279"/>
      <c r="P51" s="279"/>
      <c r="Q51" s="279"/>
    </row>
    <row r="52" spans="1:17">
      <c r="A52" s="475"/>
      <c r="B52" s="476"/>
      <c r="C52" s="289" t="s">
        <v>1988</v>
      </c>
      <c r="D52" s="284" t="s">
        <v>3652</v>
      </c>
      <c r="E52" s="283" t="s">
        <v>3683</v>
      </c>
      <c r="F52" s="283" t="s">
        <v>3684</v>
      </c>
      <c r="G52" s="279"/>
      <c r="H52" s="279"/>
      <c r="I52" s="279"/>
      <c r="J52" s="279"/>
      <c r="K52" s="279"/>
      <c r="L52" s="279"/>
      <c r="M52" s="279"/>
      <c r="N52" s="279"/>
      <c r="O52" s="279"/>
      <c r="P52" s="279"/>
      <c r="Q52" s="279"/>
    </row>
    <row r="53" spans="1:17">
      <c r="A53" s="475"/>
      <c r="B53" s="476"/>
      <c r="C53" s="289" t="s">
        <v>3685</v>
      </c>
      <c r="D53" s="284" t="s">
        <v>3652</v>
      </c>
      <c r="E53" s="283" t="s">
        <v>3686</v>
      </c>
      <c r="F53" s="283" t="s">
        <v>3687</v>
      </c>
      <c r="G53" s="279"/>
      <c r="H53" s="279"/>
      <c r="I53" s="279"/>
      <c r="J53" s="279"/>
      <c r="K53" s="279"/>
      <c r="L53" s="279"/>
      <c r="M53" s="279"/>
      <c r="N53" s="279"/>
      <c r="O53" s="279"/>
      <c r="P53" s="279"/>
      <c r="Q53" s="279"/>
    </row>
    <row r="54" spans="1:17">
      <c r="A54" s="475"/>
      <c r="B54" s="476"/>
      <c r="C54" s="283" t="s">
        <v>3688</v>
      </c>
      <c r="D54" s="284" t="s">
        <v>3652</v>
      </c>
      <c r="E54" s="283" t="s">
        <v>3689</v>
      </c>
      <c r="F54" s="283"/>
      <c r="G54" s="279"/>
      <c r="H54" s="279"/>
      <c r="I54" s="279"/>
      <c r="J54" s="279"/>
      <c r="K54" s="279"/>
      <c r="L54" s="279"/>
      <c r="M54" s="279"/>
      <c r="N54" s="279"/>
      <c r="O54" s="279"/>
      <c r="P54" s="279"/>
      <c r="Q54" s="279"/>
    </row>
    <row r="55" spans="1:17">
      <c r="A55" s="475"/>
      <c r="B55" s="476"/>
      <c r="C55" s="290" t="s">
        <v>2999</v>
      </c>
      <c r="D55" s="284" t="s">
        <v>3652</v>
      </c>
      <c r="E55" s="283" t="s">
        <v>3690</v>
      </c>
      <c r="F55" s="283" t="s">
        <v>3662</v>
      </c>
      <c r="G55" s="279"/>
      <c r="H55" s="279"/>
      <c r="I55" s="279"/>
      <c r="J55" s="279"/>
      <c r="K55" s="279"/>
      <c r="L55" s="279"/>
      <c r="M55" s="279"/>
      <c r="N55" s="279"/>
      <c r="O55" s="279"/>
      <c r="P55" s="279"/>
      <c r="Q55" s="279"/>
    </row>
    <row r="56" spans="1:17">
      <c r="A56" s="475"/>
      <c r="B56" s="476"/>
      <c r="C56" s="290" t="s">
        <v>3003</v>
      </c>
      <c r="D56" s="284" t="s">
        <v>3652</v>
      </c>
      <c r="E56" s="283" t="s">
        <v>3691</v>
      </c>
      <c r="F56" s="283" t="s">
        <v>3662</v>
      </c>
      <c r="G56" s="279"/>
      <c r="H56" s="279"/>
      <c r="I56" s="279"/>
      <c r="J56" s="279"/>
      <c r="K56" s="279"/>
      <c r="L56" s="279"/>
      <c r="M56" s="279"/>
      <c r="N56" s="279"/>
      <c r="O56" s="279"/>
      <c r="P56" s="279"/>
      <c r="Q56" s="279"/>
    </row>
    <row r="57" spans="1:17">
      <c r="A57" s="475"/>
      <c r="B57" s="476"/>
      <c r="C57" s="290" t="s">
        <v>3008</v>
      </c>
      <c r="D57" s="284" t="s">
        <v>3652</v>
      </c>
      <c r="E57" s="283" t="s">
        <v>3690</v>
      </c>
      <c r="F57" s="283" t="s">
        <v>3657</v>
      </c>
      <c r="G57" s="279"/>
      <c r="H57" s="279"/>
      <c r="I57" s="279"/>
      <c r="J57" s="279"/>
      <c r="K57" s="279"/>
      <c r="L57" s="279"/>
      <c r="M57" s="279"/>
      <c r="N57" s="279"/>
      <c r="O57" s="279"/>
      <c r="P57" s="279"/>
      <c r="Q57" s="279"/>
    </row>
    <row r="58" spans="1:17">
      <c r="A58" s="475"/>
      <c r="B58" s="476"/>
      <c r="C58" s="290" t="s">
        <v>3012</v>
      </c>
      <c r="D58" s="284" t="s">
        <v>3652</v>
      </c>
      <c r="E58" s="283" t="s">
        <v>3692</v>
      </c>
      <c r="F58" s="283" t="s">
        <v>3693</v>
      </c>
      <c r="G58" s="279"/>
      <c r="H58" s="279"/>
      <c r="I58" s="279"/>
      <c r="J58" s="279"/>
      <c r="K58" s="279"/>
      <c r="L58" s="279"/>
      <c r="M58" s="279"/>
      <c r="N58" s="279"/>
      <c r="O58" s="279"/>
      <c r="P58" s="279"/>
      <c r="Q58" s="279"/>
    </row>
    <row r="59" spans="1:17">
      <c r="A59" s="475"/>
      <c r="B59" s="476"/>
      <c r="C59" s="290" t="s">
        <v>2072</v>
      </c>
      <c r="D59" s="284" t="s">
        <v>3652</v>
      </c>
      <c r="E59" s="283" t="s">
        <v>3694</v>
      </c>
      <c r="F59" s="283" t="s">
        <v>3695</v>
      </c>
      <c r="G59" s="279"/>
      <c r="H59" s="279"/>
      <c r="I59" s="279"/>
      <c r="J59" s="279"/>
      <c r="K59" s="279"/>
      <c r="L59" s="279"/>
      <c r="M59" s="279"/>
      <c r="N59" s="279"/>
      <c r="O59" s="279"/>
      <c r="P59" s="279"/>
      <c r="Q59" s="279"/>
    </row>
    <row r="60" spans="1:17">
      <c r="A60" s="475"/>
      <c r="B60" s="476"/>
      <c r="C60" s="285" t="s">
        <v>3017</v>
      </c>
      <c r="D60" s="284" t="s">
        <v>3652</v>
      </c>
      <c r="E60" s="287" t="s">
        <v>3696</v>
      </c>
      <c r="F60" s="283" t="s">
        <v>3697</v>
      </c>
      <c r="G60" s="279"/>
      <c r="H60" s="279"/>
      <c r="I60" s="279"/>
      <c r="J60" s="279"/>
      <c r="K60" s="279"/>
      <c r="L60" s="279"/>
      <c r="M60" s="279"/>
      <c r="N60" s="279"/>
      <c r="O60" s="279"/>
      <c r="P60" s="279"/>
      <c r="Q60" s="279"/>
    </row>
    <row r="61" spans="1:17">
      <c r="A61" s="475"/>
      <c r="B61" s="476"/>
      <c r="C61" s="283" t="s">
        <v>3698</v>
      </c>
      <c r="D61" s="284" t="s">
        <v>3652</v>
      </c>
      <c r="E61" s="283" t="s">
        <v>3699</v>
      </c>
      <c r="F61" s="283"/>
      <c r="G61" s="279"/>
      <c r="H61" s="279"/>
      <c r="I61" s="279"/>
      <c r="J61" s="279"/>
      <c r="K61" s="279"/>
      <c r="L61" s="279"/>
      <c r="M61" s="279"/>
      <c r="N61" s="279"/>
      <c r="O61" s="279"/>
      <c r="P61" s="279"/>
      <c r="Q61" s="279"/>
    </row>
    <row r="62" spans="1:17">
      <c r="A62" s="475"/>
      <c r="B62" s="476"/>
      <c r="C62" s="285" t="s">
        <v>3700</v>
      </c>
      <c r="D62" s="284" t="s">
        <v>3652</v>
      </c>
      <c r="E62" s="287" t="s">
        <v>3701</v>
      </c>
      <c r="F62" s="283" t="s">
        <v>3702</v>
      </c>
      <c r="G62" s="279"/>
      <c r="H62" s="279"/>
      <c r="I62" s="279"/>
      <c r="J62" s="279"/>
      <c r="K62" s="279"/>
      <c r="L62" s="279"/>
      <c r="M62" s="279"/>
      <c r="N62" s="279"/>
      <c r="O62" s="279"/>
      <c r="P62" s="279"/>
      <c r="Q62" s="279"/>
    </row>
    <row r="63" spans="1:17" ht="214.5" customHeight="1">
      <c r="A63" s="475"/>
      <c r="B63" s="476"/>
      <c r="C63" s="289" t="s">
        <v>3026</v>
      </c>
      <c r="D63" s="284" t="s">
        <v>3652</v>
      </c>
      <c r="E63" s="286" t="s">
        <v>3703</v>
      </c>
      <c r="F63" s="283" t="s">
        <v>3704</v>
      </c>
      <c r="G63" s="279"/>
      <c r="H63" s="279"/>
      <c r="I63" s="279"/>
      <c r="J63" s="279"/>
      <c r="K63" s="279"/>
      <c r="L63" s="279"/>
      <c r="M63" s="279"/>
      <c r="N63" s="279"/>
      <c r="O63" s="279"/>
      <c r="P63" s="279"/>
      <c r="Q63" s="279"/>
    </row>
    <row r="64" spans="1:17" ht="62.25" customHeight="1">
      <c r="A64" s="475"/>
      <c r="B64" s="476"/>
      <c r="C64" s="291" t="s">
        <v>3705</v>
      </c>
      <c r="D64" s="284" t="s">
        <v>3652</v>
      </c>
      <c r="E64" s="292" t="s">
        <v>3706</v>
      </c>
      <c r="F64" s="283" t="s">
        <v>3707</v>
      </c>
      <c r="G64" s="279"/>
      <c r="H64" s="279"/>
      <c r="I64" s="279"/>
      <c r="J64" s="279"/>
      <c r="K64" s="279"/>
      <c r="L64" s="279"/>
      <c r="M64" s="279"/>
      <c r="N64" s="279"/>
      <c r="O64" s="279"/>
      <c r="P64" s="279"/>
      <c r="Q64" s="279"/>
    </row>
    <row r="65" spans="1:17">
      <c r="A65" s="475"/>
      <c r="B65" s="476"/>
      <c r="C65" s="290" t="s">
        <v>3034</v>
      </c>
      <c r="D65" s="284" t="s">
        <v>3652</v>
      </c>
      <c r="E65" s="283" t="s">
        <v>3708</v>
      </c>
      <c r="F65" s="283" t="s">
        <v>3709</v>
      </c>
      <c r="G65" s="279"/>
      <c r="H65" s="279"/>
      <c r="I65" s="279"/>
      <c r="J65" s="279"/>
      <c r="K65" s="279"/>
      <c r="L65" s="279"/>
      <c r="M65" s="279"/>
      <c r="N65" s="279"/>
      <c r="O65" s="279"/>
      <c r="P65" s="279"/>
      <c r="Q65" s="279"/>
    </row>
    <row r="66" spans="1:17">
      <c r="A66" s="475"/>
      <c r="B66" s="476"/>
      <c r="C66" s="293" t="s">
        <v>3037</v>
      </c>
      <c r="D66" s="284" t="s">
        <v>3652</v>
      </c>
      <c r="E66" s="283" t="s">
        <v>3710</v>
      </c>
      <c r="F66" s="283" t="s">
        <v>3695</v>
      </c>
      <c r="G66" s="279"/>
      <c r="H66" s="279"/>
      <c r="I66" s="279"/>
      <c r="J66" s="279"/>
      <c r="K66" s="279"/>
      <c r="L66" s="279"/>
      <c r="M66" s="279"/>
      <c r="N66" s="279"/>
      <c r="O66" s="279"/>
      <c r="P66" s="279"/>
      <c r="Q66" s="279"/>
    </row>
    <row r="67" spans="1:17">
      <c r="A67" s="475"/>
      <c r="B67" s="476"/>
      <c r="C67" s="290" t="s">
        <v>3041</v>
      </c>
      <c r="D67" s="284" t="s">
        <v>3652</v>
      </c>
      <c r="E67" s="283" t="s">
        <v>3710</v>
      </c>
      <c r="F67" s="283" t="s">
        <v>3711</v>
      </c>
      <c r="G67" s="279"/>
      <c r="H67" s="279"/>
      <c r="I67" s="279"/>
      <c r="J67" s="279"/>
      <c r="K67" s="279"/>
      <c r="L67" s="279"/>
      <c r="M67" s="279"/>
      <c r="N67" s="279"/>
      <c r="O67" s="279"/>
      <c r="P67" s="279"/>
      <c r="Q67" s="279"/>
    </row>
    <row r="68" spans="1:17">
      <c r="A68" s="475"/>
      <c r="B68" s="476"/>
      <c r="C68" s="290" t="s">
        <v>3045</v>
      </c>
      <c r="D68" s="284" t="s">
        <v>3652</v>
      </c>
      <c r="E68" s="283" t="s">
        <v>3708</v>
      </c>
      <c r="F68" s="283" t="s">
        <v>3657</v>
      </c>
      <c r="G68" s="279"/>
      <c r="H68" s="279"/>
      <c r="I68" s="279"/>
      <c r="J68" s="279"/>
      <c r="K68" s="279"/>
      <c r="L68" s="279"/>
      <c r="M68" s="279"/>
      <c r="N68" s="279"/>
      <c r="O68" s="279"/>
      <c r="P68" s="279"/>
      <c r="Q68" s="279"/>
    </row>
    <row r="69" spans="1:17">
      <c r="A69" s="475"/>
      <c r="B69" s="476"/>
      <c r="C69" s="293" t="s">
        <v>3712</v>
      </c>
      <c r="D69" s="284" t="s">
        <v>3652</v>
      </c>
      <c r="E69" s="283" t="s">
        <v>3713</v>
      </c>
      <c r="F69" s="283" t="s">
        <v>3714</v>
      </c>
      <c r="G69" s="279"/>
      <c r="H69" s="279"/>
      <c r="I69" s="279"/>
      <c r="J69" s="279"/>
      <c r="K69" s="279"/>
      <c r="L69" s="279"/>
      <c r="M69" s="279"/>
      <c r="N69" s="279"/>
      <c r="O69" s="279"/>
      <c r="P69" s="279"/>
      <c r="Q69" s="279"/>
    </row>
    <row r="70" spans="1:17" ht="37.5">
      <c r="A70" s="475"/>
      <c r="B70" s="476"/>
      <c r="C70" s="293" t="s">
        <v>374</v>
      </c>
      <c r="D70" s="284" t="s">
        <v>3715</v>
      </c>
      <c r="E70" s="286" t="s">
        <v>3716</v>
      </c>
      <c r="F70" s="283" t="s">
        <v>3717</v>
      </c>
      <c r="G70" s="279"/>
      <c r="H70" s="279"/>
      <c r="I70" s="279"/>
      <c r="J70" s="279"/>
      <c r="K70" s="279"/>
      <c r="L70" s="279"/>
      <c r="M70" s="279"/>
      <c r="N70" s="279"/>
      <c r="O70" s="279"/>
      <c r="P70" s="279"/>
      <c r="Q70" s="279"/>
    </row>
    <row r="71" spans="1:17">
      <c r="A71" s="475"/>
      <c r="B71" s="476"/>
      <c r="C71" s="294" t="s">
        <v>309</v>
      </c>
      <c r="D71" s="284" t="s">
        <v>3652</v>
      </c>
      <c r="E71" s="283" t="s">
        <v>3718</v>
      </c>
      <c r="F71" s="283" t="s">
        <v>2943</v>
      </c>
      <c r="G71" s="279"/>
      <c r="H71" s="279"/>
      <c r="I71" s="279"/>
      <c r="J71" s="279"/>
      <c r="K71" s="279"/>
      <c r="L71" s="279"/>
      <c r="M71" s="279"/>
      <c r="N71" s="279"/>
      <c r="O71" s="279"/>
      <c r="P71" s="279"/>
      <c r="Q71" s="279"/>
    </row>
    <row r="72" spans="1:17" ht="24.75">
      <c r="A72" s="475"/>
      <c r="B72" s="476"/>
      <c r="C72" s="293" t="s">
        <v>294</v>
      </c>
      <c r="D72" s="284" t="s">
        <v>3652</v>
      </c>
      <c r="E72" s="286" t="s">
        <v>3719</v>
      </c>
      <c r="F72" s="283" t="s">
        <v>3720</v>
      </c>
      <c r="G72" s="279"/>
      <c r="H72" s="279"/>
      <c r="I72" s="279"/>
      <c r="J72" s="279"/>
      <c r="K72" s="279"/>
      <c r="L72" s="279"/>
      <c r="M72" s="279"/>
      <c r="N72" s="279"/>
      <c r="O72" s="279"/>
      <c r="P72" s="279"/>
      <c r="Q72" s="279"/>
    </row>
    <row r="73" spans="1:17" ht="73.5" customHeight="1">
      <c r="A73" s="475"/>
      <c r="B73" s="476"/>
      <c r="C73" s="293" t="s">
        <v>3049</v>
      </c>
      <c r="D73" s="284" t="s">
        <v>3652</v>
      </c>
      <c r="E73" s="292" t="s">
        <v>3721</v>
      </c>
      <c r="F73" s="283" t="s">
        <v>3707</v>
      </c>
      <c r="G73" s="279"/>
      <c r="H73" s="279"/>
      <c r="I73" s="279"/>
      <c r="J73" s="279"/>
      <c r="K73" s="279"/>
      <c r="L73" s="279"/>
      <c r="M73" s="279"/>
      <c r="N73" s="279"/>
      <c r="O73" s="279"/>
      <c r="P73" s="279"/>
      <c r="Q73" s="279"/>
    </row>
    <row r="74" spans="1:17">
      <c r="A74" s="475"/>
      <c r="B74" s="476"/>
      <c r="C74" s="295" t="s">
        <v>3722</v>
      </c>
      <c r="D74" s="284" t="s">
        <v>3652</v>
      </c>
      <c r="E74" s="296" t="s">
        <v>3723</v>
      </c>
      <c r="F74" s="296" t="s">
        <v>1241</v>
      </c>
      <c r="G74" s="279"/>
      <c r="H74" s="279"/>
      <c r="I74" s="279"/>
      <c r="J74" s="279"/>
      <c r="K74" s="279"/>
      <c r="L74" s="279"/>
      <c r="M74" s="279"/>
      <c r="N74" s="279"/>
      <c r="O74" s="279"/>
      <c r="P74" s="279"/>
      <c r="Q74" s="279"/>
    </row>
    <row r="75" spans="1:17">
      <c r="A75" s="475"/>
      <c r="B75" s="476"/>
      <c r="C75" s="297" t="s">
        <v>2077</v>
      </c>
      <c r="D75" s="284" t="s">
        <v>3652</v>
      </c>
      <c r="E75" s="296" t="s">
        <v>3724</v>
      </c>
      <c r="F75" s="283" t="s">
        <v>3662</v>
      </c>
      <c r="G75" s="279"/>
      <c r="H75" s="279"/>
      <c r="I75" s="279"/>
      <c r="J75" s="279"/>
      <c r="K75" s="279"/>
      <c r="L75" s="279"/>
      <c r="M75" s="279"/>
      <c r="N75" s="279"/>
      <c r="O75" s="279"/>
      <c r="P75" s="279"/>
      <c r="Q75" s="279"/>
    </row>
    <row r="76" spans="1:17">
      <c r="A76" s="475"/>
      <c r="B76" s="476"/>
      <c r="C76" s="297" t="s">
        <v>2067</v>
      </c>
      <c r="D76" s="284" t="s">
        <v>3652</v>
      </c>
      <c r="E76" s="296" t="s">
        <v>3725</v>
      </c>
      <c r="F76" s="296" t="s">
        <v>2951</v>
      </c>
      <c r="G76" s="279"/>
      <c r="H76" s="279"/>
      <c r="I76" s="279"/>
      <c r="J76" s="279"/>
      <c r="K76" s="279"/>
      <c r="L76" s="279"/>
      <c r="M76" s="279"/>
      <c r="N76" s="279"/>
      <c r="O76" s="279"/>
      <c r="P76" s="279"/>
      <c r="Q76" s="279"/>
    </row>
    <row r="77" spans="1:17">
      <c r="A77" s="475"/>
      <c r="B77" s="476"/>
      <c r="C77" s="297" t="s">
        <v>3061</v>
      </c>
      <c r="D77" s="284" t="s">
        <v>3652</v>
      </c>
      <c r="E77" s="296" t="s">
        <v>3725</v>
      </c>
      <c r="F77" s="296" t="s">
        <v>3060</v>
      </c>
      <c r="G77" s="279"/>
      <c r="H77" s="279"/>
      <c r="I77" s="279"/>
      <c r="J77" s="279"/>
      <c r="K77" s="279"/>
      <c r="L77" s="279"/>
      <c r="M77" s="279"/>
      <c r="N77" s="279"/>
      <c r="O77" s="279"/>
      <c r="P77" s="279"/>
      <c r="Q77" s="279"/>
    </row>
    <row r="78" spans="1:17">
      <c r="A78" s="475"/>
      <c r="B78" s="476"/>
      <c r="C78" s="298" t="s">
        <v>3726</v>
      </c>
      <c r="D78" s="284" t="s">
        <v>3652</v>
      </c>
      <c r="E78" s="296" t="s">
        <v>3723</v>
      </c>
      <c r="F78" s="296" t="s">
        <v>2951</v>
      </c>
      <c r="G78" s="279"/>
      <c r="H78" s="279"/>
      <c r="I78" s="279"/>
      <c r="J78" s="279"/>
      <c r="K78" s="279"/>
      <c r="L78" s="279"/>
      <c r="M78" s="279"/>
      <c r="N78" s="279"/>
      <c r="O78" s="279"/>
      <c r="P78" s="279"/>
      <c r="Q78" s="279"/>
    </row>
    <row r="79" spans="1:17">
      <c r="A79" s="475"/>
      <c r="B79" s="476"/>
      <c r="C79" s="299" t="s">
        <v>3727</v>
      </c>
      <c r="D79" s="284" t="s">
        <v>3652</v>
      </c>
      <c r="E79" s="296" t="s">
        <v>3728</v>
      </c>
      <c r="F79" s="283" t="s">
        <v>3729</v>
      </c>
      <c r="G79" s="279"/>
      <c r="H79" s="279"/>
      <c r="I79" s="279"/>
      <c r="J79" s="279"/>
      <c r="K79" s="279"/>
      <c r="L79" s="279"/>
      <c r="M79" s="279"/>
      <c r="N79" s="279"/>
      <c r="O79" s="279"/>
      <c r="P79" s="279"/>
      <c r="Q79" s="279"/>
    </row>
    <row r="80" spans="1:17">
      <c r="A80" s="475"/>
      <c r="B80" s="476"/>
      <c r="C80" s="296" t="s">
        <v>3730</v>
      </c>
      <c r="D80" s="284" t="s">
        <v>3652</v>
      </c>
      <c r="E80" s="296" t="s">
        <v>3731</v>
      </c>
      <c r="F80" s="283" t="s">
        <v>3729</v>
      </c>
      <c r="G80" s="279"/>
      <c r="H80" s="279"/>
      <c r="I80" s="279"/>
      <c r="J80" s="279"/>
      <c r="K80" s="279"/>
      <c r="L80" s="279"/>
      <c r="M80" s="279"/>
      <c r="N80" s="279"/>
      <c r="O80" s="279"/>
      <c r="P80" s="279"/>
      <c r="Q80" s="279"/>
    </row>
    <row r="81" spans="1:17">
      <c r="A81" s="475"/>
      <c r="B81" s="476"/>
      <c r="C81" s="296" t="s">
        <v>3732</v>
      </c>
      <c r="D81" s="284" t="s">
        <v>3652</v>
      </c>
      <c r="E81" s="296" t="s">
        <v>3731</v>
      </c>
      <c r="F81" s="283" t="s">
        <v>3729</v>
      </c>
      <c r="G81" s="279"/>
      <c r="H81" s="279"/>
      <c r="I81" s="279"/>
      <c r="J81" s="279"/>
      <c r="K81" s="279"/>
      <c r="L81" s="279"/>
      <c r="M81" s="279"/>
      <c r="N81" s="279"/>
      <c r="O81" s="279"/>
      <c r="P81" s="279"/>
      <c r="Q81" s="279"/>
    </row>
    <row r="82" spans="1:17">
      <c r="A82" s="475"/>
      <c r="B82" s="476"/>
      <c r="C82" s="296" t="s">
        <v>3733</v>
      </c>
      <c r="D82" s="284" t="s">
        <v>3652</v>
      </c>
      <c r="E82" s="296" t="s">
        <v>3731</v>
      </c>
      <c r="F82" s="283" t="s">
        <v>3729</v>
      </c>
      <c r="G82" s="279"/>
      <c r="H82" s="279"/>
      <c r="I82" s="279"/>
      <c r="J82" s="279"/>
      <c r="K82" s="279"/>
      <c r="L82" s="279"/>
      <c r="M82" s="279"/>
      <c r="N82" s="279"/>
      <c r="O82" s="279"/>
      <c r="P82" s="279"/>
      <c r="Q82" s="279"/>
    </row>
    <row r="83" spans="1:17">
      <c r="A83" s="475"/>
      <c r="B83" s="476"/>
      <c r="C83" s="300" t="s">
        <v>3734</v>
      </c>
      <c r="D83" s="284" t="s">
        <v>3652</v>
      </c>
      <c r="E83" s="296" t="s">
        <v>3735</v>
      </c>
      <c r="F83" s="283" t="s">
        <v>3729</v>
      </c>
    </row>
    <row r="84" spans="1:17">
      <c r="A84" s="475"/>
      <c r="B84" s="476"/>
      <c r="C84" s="296" t="s">
        <v>3736</v>
      </c>
      <c r="D84" s="284" t="s">
        <v>3652</v>
      </c>
      <c r="E84" s="296" t="s">
        <v>3735</v>
      </c>
      <c r="F84" s="283" t="s">
        <v>3729</v>
      </c>
    </row>
    <row r="85" spans="1:17">
      <c r="A85" s="475"/>
      <c r="B85" s="476"/>
      <c r="C85" s="296" t="s">
        <v>3737</v>
      </c>
      <c r="D85" s="284" t="s">
        <v>3652</v>
      </c>
      <c r="E85" s="296" t="s">
        <v>3738</v>
      </c>
      <c r="F85" s="283" t="s">
        <v>3729</v>
      </c>
    </row>
    <row r="86" spans="1:17">
      <c r="A86" s="475"/>
      <c r="B86" s="476"/>
      <c r="C86" s="296" t="s">
        <v>3739</v>
      </c>
      <c r="D86" s="284" t="s">
        <v>3652</v>
      </c>
      <c r="E86" s="296" t="s">
        <v>3738</v>
      </c>
      <c r="F86" s="283" t="s">
        <v>3729</v>
      </c>
    </row>
    <row r="87" spans="1:17">
      <c r="A87" s="475"/>
      <c r="B87" s="476"/>
      <c r="C87" s="283" t="s">
        <v>3740</v>
      </c>
      <c r="D87" s="284" t="s">
        <v>3652</v>
      </c>
      <c r="E87" s="296" t="s">
        <v>3735</v>
      </c>
      <c r="F87" s="283" t="s">
        <v>3729</v>
      </c>
    </row>
    <row r="88" spans="1:17">
      <c r="A88" s="475"/>
      <c r="B88" s="476"/>
      <c r="C88" s="283" t="s">
        <v>3741</v>
      </c>
      <c r="D88" s="284" t="s">
        <v>3652</v>
      </c>
      <c r="E88" s="296" t="s">
        <v>3742</v>
      </c>
      <c r="F88" s="283" t="s">
        <v>3729</v>
      </c>
    </row>
    <row r="89" spans="1:17">
      <c r="A89" s="475"/>
      <c r="B89" s="476"/>
      <c r="C89" s="283" t="s">
        <v>3743</v>
      </c>
      <c r="D89" s="284" t="s">
        <v>3652</v>
      </c>
      <c r="E89" s="296" t="s">
        <v>3742</v>
      </c>
      <c r="F89" s="283" t="s">
        <v>3729</v>
      </c>
    </row>
    <row r="90" spans="1:17">
      <c r="A90" s="475"/>
      <c r="B90" s="476"/>
      <c r="C90" s="283" t="s">
        <v>3744</v>
      </c>
      <c r="D90" s="284" t="s">
        <v>3652</v>
      </c>
      <c r="E90" s="296" t="s">
        <v>3742</v>
      </c>
      <c r="F90" s="283" t="s">
        <v>3729</v>
      </c>
    </row>
    <row r="91" spans="1:17">
      <c r="A91" s="475"/>
      <c r="B91" s="476"/>
      <c r="C91" s="283" t="s">
        <v>3745</v>
      </c>
      <c r="D91" s="284" t="s">
        <v>3652</v>
      </c>
      <c r="E91" s="296" t="s">
        <v>3742</v>
      </c>
      <c r="F91" s="283" t="s">
        <v>3729</v>
      </c>
    </row>
    <row r="92" spans="1:17" ht="72.75" customHeight="1">
      <c r="A92" s="475"/>
      <c r="B92" s="476"/>
      <c r="C92" s="285" t="s">
        <v>3746</v>
      </c>
      <c r="D92" s="284" t="s">
        <v>3652</v>
      </c>
      <c r="E92" s="301" t="s">
        <v>3747</v>
      </c>
      <c r="F92" s="283" t="s">
        <v>3748</v>
      </c>
    </row>
    <row r="93" spans="1:17">
      <c r="A93" s="475"/>
      <c r="B93" s="476"/>
      <c r="C93" s="300" t="s">
        <v>3749</v>
      </c>
      <c r="D93" s="284" t="s">
        <v>3652</v>
      </c>
      <c r="E93" s="296" t="s">
        <v>3742</v>
      </c>
      <c r="F93" s="283" t="s">
        <v>3729</v>
      </c>
    </row>
    <row r="94" spans="1:17">
      <c r="A94" s="275"/>
      <c r="B94" s="279"/>
      <c r="C94" s="300"/>
      <c r="D94" s="284"/>
      <c r="E94" s="296"/>
      <c r="F94" s="283"/>
    </row>
    <row r="95" spans="1:17" ht="206.25" customHeight="1">
      <c r="A95" s="471" t="s">
        <v>3750</v>
      </c>
      <c r="B95" s="480" t="s">
        <v>3751</v>
      </c>
      <c r="C95" s="302" t="s">
        <v>3752</v>
      </c>
      <c r="D95" s="303"/>
      <c r="E95" s="304" t="s">
        <v>3753</v>
      </c>
      <c r="F95" s="305" t="s">
        <v>3754</v>
      </c>
    </row>
    <row r="96" spans="1:17">
      <c r="A96" s="472"/>
      <c r="B96" s="481"/>
      <c r="C96" s="306" t="s">
        <v>311</v>
      </c>
      <c r="D96" s="306"/>
      <c r="E96" s="306" t="s">
        <v>3755</v>
      </c>
    </row>
    <row r="97" spans="1:6" ht="50.25">
      <c r="A97" s="472"/>
      <c r="B97" s="481"/>
      <c r="C97" s="306" t="s">
        <v>3756</v>
      </c>
      <c r="D97" s="306"/>
      <c r="E97" s="292" t="s">
        <v>3757</v>
      </c>
      <c r="F97" s="306" t="s">
        <v>3758</v>
      </c>
    </row>
    <row r="98" spans="1:6" ht="63.75" customHeight="1">
      <c r="A98" s="472"/>
      <c r="B98" s="481"/>
      <c r="C98" s="307" t="s">
        <v>3759</v>
      </c>
      <c r="D98" s="306"/>
      <c r="E98" s="292" t="s">
        <v>3760</v>
      </c>
      <c r="F98" s="283" t="s">
        <v>3761</v>
      </c>
    </row>
    <row r="99" spans="1:6" ht="24.75">
      <c r="A99" s="472"/>
      <c r="B99" s="481"/>
      <c r="C99" s="307" t="s">
        <v>311</v>
      </c>
      <c r="D99" s="284" t="s">
        <v>3652</v>
      </c>
      <c r="E99" s="300" t="s">
        <v>3762</v>
      </c>
    </row>
    <row r="100" spans="1:6">
      <c r="A100" s="472"/>
      <c r="B100" s="481"/>
      <c r="C100" s="285" t="s">
        <v>3017</v>
      </c>
      <c r="D100" s="284" t="s">
        <v>3652</v>
      </c>
      <c r="E100" s="287" t="s">
        <v>3763</v>
      </c>
      <c r="F100" s="283" t="s">
        <v>3702</v>
      </c>
    </row>
    <row r="101" spans="1:6">
      <c r="A101" s="472"/>
      <c r="B101" s="481"/>
      <c r="C101" s="283" t="s">
        <v>3764</v>
      </c>
      <c r="D101" s="284" t="s">
        <v>3652</v>
      </c>
      <c r="E101" s="283" t="s">
        <v>3765</v>
      </c>
      <c r="F101" s="283" t="s">
        <v>1241</v>
      </c>
    </row>
    <row r="102" spans="1:6" ht="24.75">
      <c r="A102" s="472"/>
      <c r="B102" s="481"/>
      <c r="C102" s="308" t="s">
        <v>3737</v>
      </c>
      <c r="D102" s="284" t="s">
        <v>3652</v>
      </c>
      <c r="E102" s="292" t="s">
        <v>3766</v>
      </c>
      <c r="F102" s="283" t="s">
        <v>3767</v>
      </c>
    </row>
    <row r="103" spans="1:6" ht="50.25">
      <c r="A103" s="472"/>
      <c r="B103" s="481"/>
      <c r="C103" s="307" t="s">
        <v>3768</v>
      </c>
      <c r="D103" s="284" t="s">
        <v>3652</v>
      </c>
      <c r="E103" s="292" t="s">
        <v>3769</v>
      </c>
      <c r="F103" s="283" t="s">
        <v>3770</v>
      </c>
    </row>
    <row r="104" spans="1:6" ht="61.5" customHeight="1">
      <c r="A104" s="472"/>
      <c r="B104" s="481"/>
      <c r="C104" s="307" t="s">
        <v>3771</v>
      </c>
      <c r="D104" s="284" t="s">
        <v>3652</v>
      </c>
      <c r="E104" s="292" t="s">
        <v>3772</v>
      </c>
      <c r="F104" s="283" t="s">
        <v>3770</v>
      </c>
    </row>
    <row r="105" spans="1:6" ht="212.25" customHeight="1">
      <c r="A105" s="472"/>
      <c r="B105" s="481"/>
      <c r="C105" s="309" t="s">
        <v>3773</v>
      </c>
      <c r="D105" s="284" t="s">
        <v>3652</v>
      </c>
      <c r="E105" s="310" t="s">
        <v>3774</v>
      </c>
    </row>
    <row r="106" spans="1:6" ht="37.5">
      <c r="A106" s="472"/>
      <c r="B106" s="481"/>
      <c r="C106" s="311" t="s">
        <v>3775</v>
      </c>
      <c r="D106" s="284" t="s">
        <v>3652</v>
      </c>
      <c r="E106" s="312" t="s">
        <v>3776</v>
      </c>
      <c r="F106" s="283" t="s">
        <v>3770</v>
      </c>
    </row>
    <row r="107" spans="1:6">
      <c r="A107" s="472"/>
      <c r="B107" s="481"/>
      <c r="C107" s="313" t="s">
        <v>3777</v>
      </c>
      <c r="D107" s="284" t="s">
        <v>3652</v>
      </c>
      <c r="E107" s="296" t="s">
        <v>3735</v>
      </c>
      <c r="F107" s="283" t="s">
        <v>3770</v>
      </c>
    </row>
    <row r="108" spans="1:6" ht="100.5">
      <c r="A108" s="472"/>
      <c r="B108" s="481"/>
      <c r="C108" s="307" t="s">
        <v>3778</v>
      </c>
      <c r="D108" s="284" t="s">
        <v>3652</v>
      </c>
      <c r="E108" s="292" t="s">
        <v>3779</v>
      </c>
      <c r="F108" s="283" t="s">
        <v>3770</v>
      </c>
    </row>
    <row r="109" spans="1:6" ht="37.5">
      <c r="A109" s="472"/>
      <c r="B109" s="481"/>
      <c r="C109" s="306" t="s">
        <v>1988</v>
      </c>
      <c r="D109" s="284" t="s">
        <v>3652</v>
      </c>
      <c r="E109" s="292" t="s">
        <v>3780</v>
      </c>
      <c r="F109" s="283" t="s">
        <v>3781</v>
      </c>
    </row>
    <row r="110" spans="1:6" ht="108.75" customHeight="1">
      <c r="A110" s="471" t="s">
        <v>3782</v>
      </c>
      <c r="B110" s="471" t="s">
        <v>3751</v>
      </c>
      <c r="C110" s="302" t="s">
        <v>3783</v>
      </c>
      <c r="D110" s="314" t="s">
        <v>3652</v>
      </c>
      <c r="E110" s="318" t="s">
        <v>3784</v>
      </c>
      <c r="F110" s="305" t="s">
        <v>3785</v>
      </c>
    </row>
    <row r="111" spans="1:6">
      <c r="A111" s="472"/>
      <c r="B111" s="472"/>
      <c r="C111" s="306" t="s">
        <v>3786</v>
      </c>
      <c r="D111" s="284" t="s">
        <v>3652</v>
      </c>
      <c r="E111" s="296" t="s">
        <v>3787</v>
      </c>
      <c r="F111" s="283" t="s">
        <v>3788</v>
      </c>
    </row>
    <row r="112" spans="1:6" ht="135.75" customHeight="1">
      <c r="A112" s="472"/>
      <c r="B112" s="472"/>
      <c r="C112" s="307" t="s">
        <v>3789</v>
      </c>
      <c r="D112" s="284" t="s">
        <v>3652</v>
      </c>
      <c r="E112" s="315" t="s">
        <v>3790</v>
      </c>
      <c r="F112" s="287" t="s">
        <v>3791</v>
      </c>
    </row>
    <row r="113" spans="1:6">
      <c r="A113" s="472"/>
      <c r="B113" s="472"/>
      <c r="C113" s="306" t="s">
        <v>3792</v>
      </c>
      <c r="D113" s="284" t="s">
        <v>3652</v>
      </c>
      <c r="E113" s="296" t="s">
        <v>3787</v>
      </c>
      <c r="F113" s="283" t="s">
        <v>3788</v>
      </c>
    </row>
    <row r="114" spans="1:6">
      <c r="A114" s="472"/>
      <c r="B114" s="472"/>
      <c r="C114" s="306" t="s">
        <v>3793</v>
      </c>
      <c r="D114" s="284" t="s">
        <v>3652</v>
      </c>
      <c r="E114" s="296" t="s">
        <v>3787</v>
      </c>
      <c r="F114" s="283"/>
    </row>
    <row r="115" spans="1:6">
      <c r="A115" s="472"/>
      <c r="B115" s="472"/>
      <c r="C115" s="306" t="s">
        <v>3794</v>
      </c>
      <c r="D115" s="284" t="s">
        <v>3652</v>
      </c>
      <c r="E115" s="296" t="s">
        <v>3787</v>
      </c>
      <c r="F115" s="283"/>
    </row>
    <row r="116" spans="1:6">
      <c r="A116" s="472"/>
      <c r="B116" s="472"/>
      <c r="C116" s="306" t="s">
        <v>3795</v>
      </c>
      <c r="D116" s="284" t="s">
        <v>3652</v>
      </c>
      <c r="E116" s="296" t="s">
        <v>3787</v>
      </c>
      <c r="F116" s="283"/>
    </row>
    <row r="117" spans="1:6">
      <c r="A117" s="472"/>
      <c r="B117" s="472"/>
      <c r="C117" s="306" t="s">
        <v>3796</v>
      </c>
      <c r="D117" s="284" t="s">
        <v>3652</v>
      </c>
      <c r="E117" s="296" t="s">
        <v>3787</v>
      </c>
      <c r="F117" s="283"/>
    </row>
    <row r="118" spans="1:6">
      <c r="A118" s="472"/>
      <c r="B118" s="472"/>
      <c r="C118" s="306" t="s">
        <v>3797</v>
      </c>
      <c r="D118" s="284" t="s">
        <v>3652</v>
      </c>
      <c r="E118" s="296" t="s">
        <v>3787</v>
      </c>
    </row>
    <row r="119" spans="1:6">
      <c r="A119" s="472"/>
      <c r="B119" s="472"/>
      <c r="C119" s="306" t="s">
        <v>3798</v>
      </c>
      <c r="D119" s="284" t="s">
        <v>3652</v>
      </c>
      <c r="E119" s="296" t="s">
        <v>3799</v>
      </c>
    </row>
    <row r="120" spans="1:6">
      <c r="A120" s="472"/>
      <c r="B120" s="472"/>
      <c r="C120" s="316" t="s">
        <v>3800</v>
      </c>
      <c r="D120" s="284" t="s">
        <v>3652</v>
      </c>
      <c r="E120" s="296" t="s">
        <v>3799</v>
      </c>
    </row>
    <row r="121" spans="1:6">
      <c r="A121" s="472"/>
      <c r="B121" s="472"/>
      <c r="C121" s="306" t="s">
        <v>3801</v>
      </c>
      <c r="D121" s="284" t="s">
        <v>3652</v>
      </c>
      <c r="E121" s="296" t="s">
        <v>3799</v>
      </c>
    </row>
    <row r="122" spans="1:6">
      <c r="A122" s="472"/>
      <c r="B122" s="472"/>
      <c r="C122" s="306" t="s">
        <v>3802</v>
      </c>
      <c r="D122" s="284" t="s">
        <v>3652</v>
      </c>
      <c r="E122" s="296" t="s">
        <v>3799</v>
      </c>
    </row>
    <row r="123" spans="1:6">
      <c r="A123" s="472"/>
      <c r="B123" s="472" t="s">
        <v>3751</v>
      </c>
      <c r="C123" s="283" t="s">
        <v>3658</v>
      </c>
      <c r="D123" s="284" t="s">
        <v>3652</v>
      </c>
      <c r="E123" s="283" t="s">
        <v>3803</v>
      </c>
      <c r="F123" s="283" t="s">
        <v>3657</v>
      </c>
    </row>
    <row r="124" spans="1:6">
      <c r="A124" s="472"/>
      <c r="B124" s="472"/>
      <c r="C124" s="283" t="s">
        <v>2090</v>
      </c>
      <c r="D124" s="284" t="s">
        <v>3652</v>
      </c>
      <c r="E124" s="283" t="s">
        <v>3803</v>
      </c>
      <c r="F124" s="283" t="s">
        <v>3657</v>
      </c>
    </row>
    <row r="125" spans="1:6">
      <c r="A125" s="472"/>
      <c r="B125" s="472"/>
      <c r="C125" s="283" t="s">
        <v>3651</v>
      </c>
      <c r="D125" s="284" t="s">
        <v>3652</v>
      </c>
      <c r="E125" s="283" t="s">
        <v>3804</v>
      </c>
      <c r="F125" s="283" t="s">
        <v>3654</v>
      </c>
    </row>
    <row r="126" spans="1:6" ht="74.25" customHeight="1">
      <c r="A126" s="472"/>
      <c r="B126" s="472"/>
      <c r="C126" s="306" t="s">
        <v>3805</v>
      </c>
      <c r="D126" s="284" t="s">
        <v>3652</v>
      </c>
      <c r="E126" s="292" t="s">
        <v>3806</v>
      </c>
      <c r="F126" s="306" t="s">
        <v>3807</v>
      </c>
    </row>
    <row r="127" spans="1:6" ht="75.75">
      <c r="A127" s="472"/>
      <c r="B127" s="472"/>
      <c r="C127" s="306" t="s">
        <v>3808</v>
      </c>
      <c r="D127" s="284" t="s">
        <v>3652</v>
      </c>
      <c r="E127" s="301" t="s">
        <v>3809</v>
      </c>
      <c r="F127" s="306" t="s">
        <v>3810</v>
      </c>
    </row>
    <row r="128" spans="1:6" ht="168" customHeight="1">
      <c r="A128" s="472"/>
      <c r="B128" s="472"/>
      <c r="C128" s="283" t="s">
        <v>3663</v>
      </c>
      <c r="D128" s="284" t="s">
        <v>3652</v>
      </c>
      <c r="E128" s="292" t="s">
        <v>3811</v>
      </c>
      <c r="F128" s="283" t="s">
        <v>3812</v>
      </c>
    </row>
    <row r="129" spans="1:6" ht="231" customHeight="1">
      <c r="A129" s="472"/>
      <c r="B129" s="472"/>
      <c r="C129" s="306" t="s">
        <v>302</v>
      </c>
      <c r="D129" s="284" t="s">
        <v>3652</v>
      </c>
      <c r="E129" s="292" t="s">
        <v>3813</v>
      </c>
      <c r="F129" s="306"/>
    </row>
    <row r="130" spans="1:6">
      <c r="A130" s="472"/>
      <c r="B130" s="472"/>
      <c r="C130" s="313" t="s">
        <v>3814</v>
      </c>
      <c r="D130" s="284" t="s">
        <v>3652</v>
      </c>
      <c r="E130" s="287" t="s">
        <v>3815</v>
      </c>
      <c r="F130" s="306" t="s">
        <v>3816</v>
      </c>
    </row>
    <row r="131" spans="1:6">
      <c r="A131" s="472"/>
      <c r="B131" s="472"/>
      <c r="C131" s="306" t="s">
        <v>3817</v>
      </c>
      <c r="D131" s="284" t="s">
        <v>3652</v>
      </c>
      <c r="E131" s="287" t="s">
        <v>3815</v>
      </c>
      <c r="F131" s="306"/>
    </row>
    <row r="132" spans="1:6">
      <c r="A132" s="472"/>
      <c r="B132" s="472"/>
      <c r="C132" s="306" t="s">
        <v>3818</v>
      </c>
      <c r="D132" s="284" t="s">
        <v>3652</v>
      </c>
      <c r="E132" s="287" t="s">
        <v>3815</v>
      </c>
      <c r="F132" s="306"/>
    </row>
    <row r="133" spans="1:6">
      <c r="A133" s="472"/>
      <c r="B133" s="472"/>
      <c r="C133" s="306" t="s">
        <v>3819</v>
      </c>
      <c r="D133" s="284" t="s">
        <v>3652</v>
      </c>
      <c r="E133" s="287" t="s">
        <v>3815</v>
      </c>
      <c r="F133" s="306"/>
    </row>
    <row r="134" spans="1:6">
      <c r="A134" s="472"/>
      <c r="B134" s="472"/>
      <c r="C134" s="306" t="s">
        <v>3820</v>
      </c>
      <c r="D134" s="284" t="s">
        <v>3652</v>
      </c>
      <c r="E134" s="287" t="s">
        <v>3821</v>
      </c>
    </row>
    <row r="135" spans="1:6" ht="75" customHeight="1">
      <c r="A135" s="472"/>
      <c r="B135" s="472"/>
      <c r="C135" s="306" t="s">
        <v>3822</v>
      </c>
      <c r="D135" s="284" t="s">
        <v>3652</v>
      </c>
      <c r="E135" s="317" t="s">
        <v>3823</v>
      </c>
      <c r="F135" s="306" t="s">
        <v>3824</v>
      </c>
    </row>
    <row r="136" spans="1:6">
      <c r="A136" s="479">
        <v>37810</v>
      </c>
      <c r="B136" s="471" t="s">
        <v>3751</v>
      </c>
      <c r="C136" s="319" t="s">
        <v>3822</v>
      </c>
      <c r="D136" s="314" t="s">
        <v>3652</v>
      </c>
      <c r="E136" s="319" t="s">
        <v>3825</v>
      </c>
      <c r="F136" s="303"/>
    </row>
    <row r="137" spans="1:6">
      <c r="A137" s="472"/>
      <c r="B137" s="472"/>
      <c r="C137" s="306" t="s">
        <v>3826</v>
      </c>
      <c r="D137" s="284" t="s">
        <v>3652</v>
      </c>
      <c r="E137" s="296" t="s">
        <v>3827</v>
      </c>
    </row>
    <row r="138" spans="1:6" ht="62.25">
      <c r="A138" s="472"/>
      <c r="B138" s="472"/>
      <c r="C138" s="291" t="s">
        <v>3705</v>
      </c>
      <c r="D138" s="284" t="s">
        <v>3652</v>
      </c>
      <c r="E138" s="292" t="s">
        <v>3828</v>
      </c>
      <c r="F138" s="283" t="s">
        <v>3707</v>
      </c>
    </row>
    <row r="139" spans="1:6" ht="88.5">
      <c r="A139" s="472"/>
      <c r="B139" s="472"/>
      <c r="C139" s="293" t="s">
        <v>3049</v>
      </c>
      <c r="D139" s="284" t="s">
        <v>3652</v>
      </c>
      <c r="E139" s="292" t="s">
        <v>3829</v>
      </c>
      <c r="F139" s="283" t="s">
        <v>3707</v>
      </c>
    </row>
    <row r="140" spans="1:6">
      <c r="A140" s="472"/>
      <c r="B140" s="472"/>
      <c r="C140" s="306" t="s">
        <v>3830</v>
      </c>
      <c r="D140" s="284" t="s">
        <v>3652</v>
      </c>
      <c r="E140" s="287" t="s">
        <v>3831</v>
      </c>
    </row>
    <row r="141" spans="1:6" ht="50.25">
      <c r="A141" s="472"/>
      <c r="B141" s="472"/>
      <c r="C141" s="307" t="s">
        <v>3768</v>
      </c>
      <c r="D141" s="284" t="s">
        <v>3652</v>
      </c>
      <c r="E141" s="292" t="s">
        <v>3832</v>
      </c>
      <c r="F141" s="283" t="s">
        <v>3770</v>
      </c>
    </row>
    <row r="142" spans="1:6" ht="208.5" customHeight="1">
      <c r="A142" s="472"/>
      <c r="B142" s="472"/>
      <c r="C142" s="309" t="s">
        <v>3773</v>
      </c>
      <c r="D142" s="284" t="s">
        <v>3652</v>
      </c>
      <c r="E142" s="310" t="s">
        <v>3833</v>
      </c>
    </row>
    <row r="143" spans="1:6" ht="36.75" customHeight="1">
      <c r="A143" s="472"/>
      <c r="B143" s="472"/>
      <c r="C143" s="311" t="s">
        <v>3775</v>
      </c>
      <c r="D143" s="284" t="s">
        <v>3652</v>
      </c>
      <c r="E143" s="310" t="s">
        <v>3834</v>
      </c>
      <c r="F143" s="283"/>
    </row>
    <row r="144" spans="1:6" ht="98.25" customHeight="1">
      <c r="A144" s="472"/>
      <c r="B144" s="472"/>
      <c r="C144" s="307" t="s">
        <v>3835</v>
      </c>
      <c r="D144" s="284" t="s">
        <v>3652</v>
      </c>
      <c r="E144" s="292" t="s">
        <v>3836</v>
      </c>
      <c r="F144" s="283" t="s">
        <v>3837</v>
      </c>
    </row>
    <row r="145" spans="1:6">
      <c r="A145" s="472"/>
      <c r="B145" s="472"/>
      <c r="C145" s="296" t="s">
        <v>2930</v>
      </c>
      <c r="D145" s="284" t="s">
        <v>3652</v>
      </c>
      <c r="E145" s="283" t="s">
        <v>3838</v>
      </c>
      <c r="F145" s="283" t="s">
        <v>3839</v>
      </c>
    </row>
    <row r="146" spans="1:6">
      <c r="A146" s="472"/>
      <c r="B146" s="472"/>
      <c r="C146" s="297" t="s">
        <v>2072</v>
      </c>
      <c r="D146" s="284" t="s">
        <v>3652</v>
      </c>
      <c r="E146" s="283" t="s">
        <v>3840</v>
      </c>
      <c r="F146" s="283" t="s">
        <v>3839</v>
      </c>
    </row>
    <row r="147" spans="1:6">
      <c r="A147" s="472"/>
      <c r="B147" s="472"/>
      <c r="C147" s="297" t="s">
        <v>2067</v>
      </c>
      <c r="D147" s="284" t="s">
        <v>3652</v>
      </c>
      <c r="E147" s="296" t="s">
        <v>3841</v>
      </c>
      <c r="F147" s="283" t="s">
        <v>3839</v>
      </c>
    </row>
    <row r="148" spans="1:6">
      <c r="A148" s="472"/>
      <c r="B148" s="472"/>
      <c r="C148" s="296" t="s">
        <v>3658</v>
      </c>
      <c r="D148" s="284" t="s">
        <v>3652</v>
      </c>
      <c r="E148" s="283" t="s">
        <v>3842</v>
      </c>
      <c r="F148" s="283" t="s">
        <v>3839</v>
      </c>
    </row>
    <row r="149" spans="1:6">
      <c r="A149" s="472"/>
      <c r="B149" s="472"/>
      <c r="C149" s="297" t="s">
        <v>3843</v>
      </c>
      <c r="D149" s="284" t="s">
        <v>3652</v>
      </c>
      <c r="E149" s="283" t="s">
        <v>3844</v>
      </c>
      <c r="F149" s="283" t="s">
        <v>3839</v>
      </c>
    </row>
    <row r="150" spans="1:6">
      <c r="A150" s="472"/>
      <c r="B150" s="472"/>
      <c r="C150" s="306" t="s">
        <v>3845</v>
      </c>
      <c r="D150" s="284" t="s">
        <v>3652</v>
      </c>
      <c r="E150" s="283" t="s">
        <v>3844</v>
      </c>
      <c r="F150" s="283" t="s">
        <v>3839</v>
      </c>
    </row>
    <row r="151" spans="1:6">
      <c r="A151" s="472"/>
      <c r="B151" s="472"/>
      <c r="C151" s="306" t="s">
        <v>3846</v>
      </c>
      <c r="D151" s="284" t="s">
        <v>3652</v>
      </c>
      <c r="E151" s="283" t="s">
        <v>3844</v>
      </c>
      <c r="F151" s="283" t="s">
        <v>3839</v>
      </c>
    </row>
    <row r="152" spans="1:6">
      <c r="A152" s="472"/>
      <c r="B152" s="472"/>
      <c r="C152" s="306" t="s">
        <v>3847</v>
      </c>
      <c r="D152" s="284" t="s">
        <v>3652</v>
      </c>
      <c r="E152" s="283" t="s">
        <v>3844</v>
      </c>
      <c r="F152" s="283" t="s">
        <v>3839</v>
      </c>
    </row>
    <row r="153" spans="1:6">
      <c r="A153" s="472"/>
      <c r="B153" s="472"/>
      <c r="C153" s="316" t="s">
        <v>3800</v>
      </c>
      <c r="D153" s="284" t="s">
        <v>3652</v>
      </c>
      <c r="E153" s="296" t="s">
        <v>3848</v>
      </c>
      <c r="F153" s="283" t="s">
        <v>3839</v>
      </c>
    </row>
    <row r="154" spans="1:6" ht="50.25">
      <c r="A154" s="472"/>
      <c r="B154" s="472"/>
      <c r="C154" s="307" t="s">
        <v>3768</v>
      </c>
      <c r="D154" s="284" t="s">
        <v>3652</v>
      </c>
      <c r="E154" s="292" t="s">
        <v>3849</v>
      </c>
      <c r="F154" s="283"/>
    </row>
    <row r="155" spans="1:6" ht="213.75">
      <c r="A155" s="472"/>
      <c r="B155" s="472"/>
      <c r="C155" s="307" t="s">
        <v>3789</v>
      </c>
      <c r="D155" s="284" t="s">
        <v>3652</v>
      </c>
      <c r="E155" s="315" t="s">
        <v>3850</v>
      </c>
    </row>
    <row r="156" spans="1:6">
      <c r="A156" s="472"/>
      <c r="B156" s="472"/>
      <c r="C156" s="297" t="s">
        <v>3851</v>
      </c>
      <c r="D156" s="284" t="s">
        <v>3652</v>
      </c>
      <c r="E156" s="283" t="s">
        <v>3844</v>
      </c>
      <c r="F156" s="283" t="s">
        <v>3839</v>
      </c>
    </row>
    <row r="157" spans="1:6">
      <c r="A157" s="472"/>
      <c r="B157" s="472"/>
      <c r="C157" s="306" t="s">
        <v>3852</v>
      </c>
      <c r="D157" s="284" t="s">
        <v>3652</v>
      </c>
      <c r="E157" s="283" t="s">
        <v>3844</v>
      </c>
      <c r="F157" s="283" t="s">
        <v>3839</v>
      </c>
    </row>
    <row r="158" spans="1:6">
      <c r="A158" s="472"/>
      <c r="B158" s="472"/>
      <c r="C158" s="306" t="s">
        <v>3853</v>
      </c>
      <c r="D158" s="284" t="s">
        <v>3652</v>
      </c>
      <c r="E158" s="283" t="s">
        <v>3844</v>
      </c>
      <c r="F158" s="283" t="s">
        <v>3839</v>
      </c>
    </row>
    <row r="159" spans="1:6">
      <c r="A159" s="472"/>
      <c r="B159" s="472"/>
      <c r="C159" s="306" t="s">
        <v>3854</v>
      </c>
      <c r="D159" s="284" t="s">
        <v>3652</v>
      </c>
      <c r="E159" s="283" t="s">
        <v>3844</v>
      </c>
      <c r="F159" s="283" t="s">
        <v>3657</v>
      </c>
    </row>
    <row r="160" spans="1:6">
      <c r="A160" s="472"/>
      <c r="B160" s="472"/>
      <c r="C160" s="306" t="s">
        <v>3855</v>
      </c>
      <c r="D160" s="284" t="s">
        <v>3652</v>
      </c>
      <c r="E160" s="283" t="s">
        <v>3844</v>
      </c>
      <c r="F160" s="283" t="s">
        <v>3657</v>
      </c>
    </row>
    <row r="161" spans="1:6">
      <c r="A161" s="472"/>
      <c r="B161" s="472"/>
      <c r="C161" s="306" t="s">
        <v>3856</v>
      </c>
      <c r="D161" s="284" t="s">
        <v>3652</v>
      </c>
      <c r="E161" s="283" t="s">
        <v>3844</v>
      </c>
      <c r="F161" s="283" t="s">
        <v>3657</v>
      </c>
    </row>
    <row r="162" spans="1:6">
      <c r="B162" s="472"/>
      <c r="C162" s="306" t="s">
        <v>3857</v>
      </c>
      <c r="D162" s="284" t="s">
        <v>3652</v>
      </c>
      <c r="E162" s="283" t="s">
        <v>3844</v>
      </c>
    </row>
    <row r="163" spans="1:6">
      <c r="B163" s="472"/>
      <c r="C163" s="306" t="s">
        <v>3858</v>
      </c>
      <c r="D163" s="284" t="s">
        <v>3652</v>
      </c>
      <c r="E163" s="283" t="s">
        <v>3844</v>
      </c>
    </row>
    <row r="164" spans="1:6">
      <c r="B164" s="472"/>
      <c r="C164" s="306" t="s">
        <v>3859</v>
      </c>
      <c r="D164" s="284" t="s">
        <v>3652</v>
      </c>
      <c r="E164" s="283" t="s">
        <v>3844</v>
      </c>
    </row>
    <row r="165" spans="1:6" ht="82.5">
      <c r="B165" s="472"/>
      <c r="C165" s="307" t="s">
        <v>3783</v>
      </c>
      <c r="D165" s="284" t="s">
        <v>3652</v>
      </c>
      <c r="E165" s="320" t="s">
        <v>3860</v>
      </c>
      <c r="F165" s="306" t="s">
        <v>3861</v>
      </c>
    </row>
    <row r="166" spans="1:6">
      <c r="B166" s="472"/>
      <c r="C166" s="306" t="s">
        <v>3862</v>
      </c>
      <c r="D166" s="284" t="s">
        <v>3652</v>
      </c>
      <c r="E166" s="283" t="s">
        <v>3863</v>
      </c>
      <c r="F166" s="306" t="s">
        <v>3864</v>
      </c>
    </row>
    <row r="167" spans="1:6">
      <c r="B167" s="472"/>
      <c r="C167" s="309" t="s">
        <v>3865</v>
      </c>
      <c r="D167" s="284" t="s">
        <v>3652</v>
      </c>
      <c r="E167" s="283" t="s">
        <v>3863</v>
      </c>
      <c r="F167" s="306" t="s">
        <v>3864</v>
      </c>
    </row>
    <row r="168" spans="1:6" ht="246.75" customHeight="1">
      <c r="B168" s="472"/>
      <c r="C168" s="321" t="s">
        <v>366</v>
      </c>
      <c r="D168" s="284" t="s">
        <v>3866</v>
      </c>
      <c r="E168" s="315" t="s">
        <v>3867</v>
      </c>
      <c r="F168" s="306" t="s">
        <v>3868</v>
      </c>
    </row>
    <row r="169" spans="1:6" ht="219.75" customHeight="1">
      <c r="B169" s="472"/>
      <c r="C169" s="309" t="s">
        <v>374</v>
      </c>
      <c r="D169" s="284" t="s">
        <v>3866</v>
      </c>
      <c r="E169" s="315" t="s">
        <v>3869</v>
      </c>
    </row>
    <row r="170" spans="1:6" ht="407.25" customHeight="1">
      <c r="B170" s="472"/>
      <c r="C170" s="307" t="s">
        <v>3778</v>
      </c>
      <c r="D170" s="284" t="s">
        <v>3652</v>
      </c>
      <c r="E170" s="315" t="s">
        <v>3870</v>
      </c>
    </row>
    <row r="171" spans="1:6">
      <c r="B171" s="472"/>
      <c r="C171" s="287" t="s">
        <v>3871</v>
      </c>
      <c r="D171" s="322" t="s">
        <v>3652</v>
      </c>
      <c r="E171" s="296" t="s">
        <v>3872</v>
      </c>
      <c r="F171" s="323" t="s">
        <v>3873</v>
      </c>
    </row>
    <row r="172" spans="1:6">
      <c r="B172" s="472"/>
      <c r="C172" s="306" t="s">
        <v>3874</v>
      </c>
      <c r="D172" s="322" t="s">
        <v>3652</v>
      </c>
      <c r="E172" s="296" t="s">
        <v>3872</v>
      </c>
      <c r="F172" s="323" t="s">
        <v>3873</v>
      </c>
    </row>
    <row r="173" spans="1:6">
      <c r="B173" s="472"/>
      <c r="C173" s="306" t="s">
        <v>3875</v>
      </c>
      <c r="D173" s="322" t="s">
        <v>3652</v>
      </c>
      <c r="E173" s="296" t="s">
        <v>3872</v>
      </c>
      <c r="F173" s="323" t="s">
        <v>3873</v>
      </c>
    </row>
    <row r="174" spans="1:6" ht="75.75">
      <c r="B174" s="472"/>
      <c r="C174" s="306" t="s">
        <v>3876</v>
      </c>
      <c r="D174" s="322" t="s">
        <v>3652</v>
      </c>
      <c r="E174" s="296" t="s">
        <v>3872</v>
      </c>
      <c r="F174" s="292" t="s">
        <v>3877</v>
      </c>
    </row>
    <row r="175" spans="1:6" ht="90.75" customHeight="1">
      <c r="B175" s="472"/>
      <c r="C175" s="306" t="s">
        <v>352</v>
      </c>
      <c r="D175" s="322" t="s">
        <v>3652</v>
      </c>
      <c r="E175" s="296" t="s">
        <v>3872</v>
      </c>
      <c r="F175" s="315" t="s">
        <v>3878</v>
      </c>
    </row>
    <row r="176" spans="1:6" ht="62.25">
      <c r="B176" s="473"/>
      <c r="C176" s="283" t="s">
        <v>1988</v>
      </c>
      <c r="D176" s="284" t="s">
        <v>3652</v>
      </c>
      <c r="E176" s="315" t="s">
        <v>3879</v>
      </c>
    </row>
    <row r="177" spans="1:6">
      <c r="A177" s="471" t="s">
        <v>3880</v>
      </c>
      <c r="B177" s="468" t="s">
        <v>3751</v>
      </c>
      <c r="C177" s="319" t="s">
        <v>3881</v>
      </c>
      <c r="D177" s="314" t="s">
        <v>3652</v>
      </c>
      <c r="E177" s="305" t="s">
        <v>3882</v>
      </c>
      <c r="F177" s="303"/>
    </row>
    <row r="178" spans="1:6" ht="125.25">
      <c r="A178" s="472"/>
      <c r="B178" s="469"/>
      <c r="C178" s="306" t="s">
        <v>3883</v>
      </c>
      <c r="D178" s="306" t="s">
        <v>3884</v>
      </c>
      <c r="E178" s="312" t="s">
        <v>3885</v>
      </c>
    </row>
    <row r="179" spans="1:6" ht="188.25">
      <c r="A179" s="472"/>
      <c r="B179" s="469"/>
      <c r="C179" s="307" t="s">
        <v>3759</v>
      </c>
      <c r="D179" s="306"/>
      <c r="E179" s="324" t="s">
        <v>3886</v>
      </c>
      <c r="F179" s="283" t="s">
        <v>3887</v>
      </c>
    </row>
    <row r="180" spans="1:6">
      <c r="A180" s="472"/>
      <c r="B180" s="469"/>
      <c r="C180" s="306" t="s">
        <v>3888</v>
      </c>
      <c r="D180" s="284" t="s">
        <v>3652</v>
      </c>
      <c r="E180" s="283" t="s">
        <v>3889</v>
      </c>
    </row>
    <row r="181" spans="1:6">
      <c r="A181" s="472"/>
      <c r="B181" s="469"/>
      <c r="C181" s="306" t="s">
        <v>3890</v>
      </c>
      <c r="D181" s="284" t="s">
        <v>3652</v>
      </c>
      <c r="E181" s="283" t="s">
        <v>3889</v>
      </c>
    </row>
    <row r="182" spans="1:6">
      <c r="A182" s="472"/>
      <c r="B182" s="469"/>
      <c r="C182" s="306" t="s">
        <v>3891</v>
      </c>
      <c r="D182" s="284" t="s">
        <v>3652</v>
      </c>
      <c r="E182" s="283" t="s">
        <v>3889</v>
      </c>
      <c r="F182" s="306" t="s">
        <v>3892</v>
      </c>
    </row>
    <row r="183" spans="1:6" ht="37.5">
      <c r="A183" s="472"/>
      <c r="B183" s="469"/>
      <c r="C183" s="306" t="s">
        <v>3893</v>
      </c>
      <c r="D183" s="284" t="s">
        <v>3652</v>
      </c>
      <c r="E183" s="286" t="s">
        <v>3894</v>
      </c>
      <c r="F183" s="283" t="s">
        <v>3839</v>
      </c>
    </row>
    <row r="184" spans="1:6">
      <c r="A184" s="472"/>
      <c r="B184" s="469"/>
      <c r="C184" s="306" t="s">
        <v>3895</v>
      </c>
      <c r="D184" s="284" t="s">
        <v>3652</v>
      </c>
      <c r="E184" s="283" t="s">
        <v>3896</v>
      </c>
    </row>
    <row r="185" spans="1:6">
      <c r="A185" s="472"/>
      <c r="B185" s="469"/>
      <c r="C185" s="306" t="s">
        <v>3897</v>
      </c>
      <c r="D185" s="284" t="s">
        <v>3652</v>
      </c>
      <c r="E185" s="283" t="s">
        <v>3896</v>
      </c>
    </row>
    <row r="186" spans="1:6">
      <c r="A186" s="472"/>
      <c r="B186" s="469"/>
      <c r="C186" s="306" t="s">
        <v>3898</v>
      </c>
      <c r="D186" s="284" t="s">
        <v>3652</v>
      </c>
      <c r="E186" s="283" t="s">
        <v>3896</v>
      </c>
    </row>
    <row r="187" spans="1:6" ht="162.75">
      <c r="A187" s="472"/>
      <c r="B187" s="469"/>
      <c r="C187" s="307" t="s">
        <v>3817</v>
      </c>
      <c r="D187" s="284" t="s">
        <v>3652</v>
      </c>
      <c r="E187" s="312" t="s">
        <v>3899</v>
      </c>
      <c r="F187" s="306" t="s">
        <v>3900</v>
      </c>
    </row>
    <row r="188" spans="1:6">
      <c r="A188" s="472"/>
      <c r="B188" s="469"/>
      <c r="C188" s="306" t="s">
        <v>3901</v>
      </c>
      <c r="D188" s="284" t="s">
        <v>3652</v>
      </c>
      <c r="E188" s="283" t="s">
        <v>3902</v>
      </c>
    </row>
    <row r="189" spans="1:6">
      <c r="A189" s="472"/>
      <c r="B189" s="469"/>
      <c r="C189" s="306" t="s">
        <v>3903</v>
      </c>
      <c r="D189" s="284" t="s">
        <v>3652</v>
      </c>
      <c r="E189" s="283" t="s">
        <v>3902</v>
      </c>
    </row>
    <row r="190" spans="1:6">
      <c r="A190" s="472"/>
      <c r="B190" s="469"/>
      <c r="C190" s="306" t="s">
        <v>3904</v>
      </c>
      <c r="D190" s="284" t="s">
        <v>3652</v>
      </c>
      <c r="E190" s="283" t="s">
        <v>3902</v>
      </c>
    </row>
    <row r="191" spans="1:6">
      <c r="A191" s="472"/>
      <c r="B191" s="469"/>
      <c r="C191" s="306" t="s">
        <v>3905</v>
      </c>
      <c r="D191" s="284" t="s">
        <v>3652</v>
      </c>
      <c r="E191" s="283" t="s">
        <v>3902</v>
      </c>
    </row>
    <row r="192" spans="1:6">
      <c r="A192" s="472"/>
      <c r="B192" s="469"/>
      <c r="C192" s="306" t="s">
        <v>3906</v>
      </c>
      <c r="D192" s="284" t="s">
        <v>3652</v>
      </c>
      <c r="E192" s="283" t="s">
        <v>3902</v>
      </c>
    </row>
    <row r="193" spans="1:6">
      <c r="A193" s="472"/>
      <c r="B193" s="469"/>
      <c r="C193" s="306" t="s">
        <v>3907</v>
      </c>
      <c r="D193" s="284" t="s">
        <v>3652</v>
      </c>
      <c r="E193" s="283" t="s">
        <v>3902</v>
      </c>
    </row>
    <row r="194" spans="1:6">
      <c r="A194" s="472"/>
      <c r="B194" s="469"/>
      <c r="C194" s="306" t="s">
        <v>3908</v>
      </c>
      <c r="D194" s="284" t="s">
        <v>3652</v>
      </c>
      <c r="E194" s="283" t="s">
        <v>3902</v>
      </c>
    </row>
    <row r="195" spans="1:6" ht="117.75" customHeight="1">
      <c r="A195" s="472"/>
      <c r="B195" s="469"/>
      <c r="C195" s="283" t="s">
        <v>3663</v>
      </c>
      <c r="D195" s="284" t="s">
        <v>3652</v>
      </c>
      <c r="E195" s="315" t="s">
        <v>3909</v>
      </c>
      <c r="F195" s="306" t="s">
        <v>3910</v>
      </c>
    </row>
    <row r="196" spans="1:6">
      <c r="A196" s="472"/>
      <c r="B196" s="469"/>
      <c r="C196" s="306" t="s">
        <v>3911</v>
      </c>
      <c r="D196" s="284" t="s">
        <v>3652</v>
      </c>
      <c r="E196" s="283" t="s">
        <v>3902</v>
      </c>
    </row>
    <row r="197" spans="1:6" ht="162.75">
      <c r="A197" s="472"/>
      <c r="B197" s="469"/>
      <c r="C197" s="307" t="s">
        <v>3783</v>
      </c>
      <c r="D197" s="284" t="s">
        <v>3652</v>
      </c>
      <c r="E197" s="315" t="s">
        <v>3912</v>
      </c>
    </row>
    <row r="198" spans="1:6" ht="115.5" customHeight="1">
      <c r="A198" s="473"/>
      <c r="B198" s="470"/>
      <c r="C198" s="306" t="s">
        <v>2660</v>
      </c>
      <c r="D198" s="284" t="s">
        <v>3652</v>
      </c>
      <c r="E198" s="315" t="s">
        <v>3913</v>
      </c>
    </row>
    <row r="199" spans="1:6">
      <c r="A199" s="303"/>
      <c r="B199" s="303"/>
      <c r="C199" s="303"/>
      <c r="D199" s="303"/>
      <c r="E199" s="303"/>
      <c r="F199" s="303"/>
    </row>
  </sheetData>
  <mergeCells count="21">
    <mergeCell ref="A3:A20"/>
    <mergeCell ref="B8:B15"/>
    <mergeCell ref="A110:A135"/>
    <mergeCell ref="B123:B135"/>
    <mergeCell ref="B136:B176"/>
    <mergeCell ref="B177:B198"/>
    <mergeCell ref="A177:A198"/>
    <mergeCell ref="G8:G15"/>
    <mergeCell ref="A37:A93"/>
    <mergeCell ref="B37:B93"/>
    <mergeCell ref="A21:A26"/>
    <mergeCell ref="G22:G23"/>
    <mergeCell ref="A27:A33"/>
    <mergeCell ref="B27:B33"/>
    <mergeCell ref="A34:A36"/>
    <mergeCell ref="B34:B36"/>
    <mergeCell ref="G35:G36"/>
    <mergeCell ref="A136:A161"/>
    <mergeCell ref="B110:B122"/>
    <mergeCell ref="A95:A109"/>
    <mergeCell ref="B95:B109"/>
  </mergeCells>
  <phoneticPr fontId="3" type="noConversion"/>
  <dataValidations count="1">
    <dataValidation type="list" allowBlank="1" showInputMessage="1" showErrorMessage="1" promptTitle="유형 선택 / Select Type" prompt="드롭다운에서 선택하세요_x000a_Select from dropdown" sqref="D3:D36" xr:uid="{6B1330CA-5D23-4BCE-A2C3-194341A47B7A}">
      <formula1>"API이슈,프로모션제안,요금문제,시스템장애,기타"</formula1>
    </dataValidation>
  </dataValidations>
  <hyperlinks>
    <hyperlink ref="E110" r:id="rId1" display="Meeting notes recap, proposed: https://roomforless.net/ Sales(New account) meeting 11/7:" xr:uid="{A78A9905-DF7F-434D-8CB5-F2829A8E31F7}"/>
    <hyperlink ref="F171" r:id="rId2" xr:uid="{35B06179-544E-4753-90AD-28DE5F7DAB73}"/>
    <hyperlink ref="F172" r:id="rId3" xr:uid="{24B83B86-00FB-4A44-A0B5-28D65A54FDE2}"/>
    <hyperlink ref="F173" r:id="rId4" xr:uid="{AA0DAD60-6463-4469-BC4F-ED3C82E570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2025-11-13T03:28:02Z</dcterms:created>
  <dcterms:modified xsi:type="dcterms:W3CDTF">2026-08-22T02:36:28Z</dcterms:modified>
  <cp:category/>
  <cp:contentStatus/>
</cp:coreProperties>
</file>