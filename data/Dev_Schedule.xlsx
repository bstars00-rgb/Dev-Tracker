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hreadedComments/threadedComment3.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6667" documentId="1_{94EE5439-A970-484B-BF37-FAEC4E6D4083}" xr6:coauthVersionLast="47" xr6:coauthVersionMax="47" xr10:uidLastSave="{6A99D0B3-5403-496C-8FCA-7081959A4FC3}"/>
  <bookViews>
    <workbookView xWindow="-110" yWindow="-110" windowWidth="29020" windowHeight="17500" tabRatio="648" firstSheet="5" activeTab="5" xr2:uid="{00000000-000D-0000-FFFF-FFFF00000000}"/>
  </bookViews>
  <sheets>
    <sheet name="CRM Dashboard" sheetId="25" r:id="rId1"/>
    <sheet name="Dev Dashboard (EN)" sheetId="30" r:id="rId2"/>
    <sheet name="트래블마트 통합" sheetId="27" r:id="rId3"/>
    <sheet name="일정 체크리스트" sheetId="28" r:id="rId4"/>
    <sheet name="CRM" sheetId="9" r:id="rId5"/>
    <sheet name="Dev Tracker (IT)" sheetId="29" r:id="rId6"/>
    <sheet name="Dev Schedule 2025-26" sheetId="6" r:id="rId7"/>
    <sheet name="Sheet1" sheetId="26" r:id="rId8"/>
    <sheet name="마진변동 트래킹" sheetId="11" r:id="rId9"/>
    <sheet name="계약변경" sheetId="21" r:id="rId10"/>
    <sheet name="Mapping Schedule" sheetId="23" r:id="rId11"/>
    <sheet name="Jane" sheetId="19" r:id="rId12"/>
    <sheet name="Bryant" sheetId="24" r:id="rId13"/>
    <sheet name="Grace" sheetId="18" r:id="rId14"/>
    <sheet name="Award" sheetId="22" r:id="rId15"/>
    <sheet name="Jasmine" sheetId="20" r:id="rId16"/>
    <sheet name="Ben" sheetId="13" r:id="rId17"/>
  </sheets>
  <definedNames>
    <definedName name="_xlnm._FilterDatabase" localSheetId="4" hidden="1">CRM!$A$2:$BA$384</definedName>
    <definedName name="_xlnm._FilterDatabase" localSheetId="6" hidden="1">'Dev Schedule 2025-26'!$A$3:$AN$83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30" l="1"/>
  <c r="A7" i="30" s="1"/>
  <c r="C7" i="30"/>
  <c r="D7" i="30"/>
  <c r="E7" i="30"/>
  <c r="F7" i="30"/>
  <c r="G7" i="30"/>
  <c r="H7" i="30"/>
  <c r="I7" i="30"/>
  <c r="J7" i="30"/>
  <c r="B8" i="30"/>
  <c r="A8" i="30" s="1"/>
  <c r="C8" i="30"/>
  <c r="D8" i="30"/>
  <c r="E8" i="30"/>
  <c r="F8" i="30"/>
  <c r="G8" i="30"/>
  <c r="H8" i="30"/>
  <c r="I8" i="30"/>
  <c r="J8" i="30"/>
  <c r="B9" i="30"/>
  <c r="A9" i="30" s="1"/>
  <c r="C9" i="30"/>
  <c r="D9" i="30"/>
  <c r="E9" i="30"/>
  <c r="F9" i="30"/>
  <c r="G9" i="30"/>
  <c r="H9" i="30"/>
  <c r="I9" i="30"/>
  <c r="J9" i="30"/>
  <c r="B10" i="30"/>
  <c r="A10" i="30" s="1"/>
  <c r="C10" i="30"/>
  <c r="D10" i="30"/>
  <c r="E10" i="30"/>
  <c r="F10" i="30"/>
  <c r="G10" i="30"/>
  <c r="H10" i="30"/>
  <c r="I10" i="30"/>
  <c r="J10" i="30"/>
  <c r="B11" i="30"/>
  <c r="A11" i="30" s="1"/>
  <c r="C11" i="30"/>
  <c r="D11" i="30"/>
  <c r="E11" i="30"/>
  <c r="F11" i="30"/>
  <c r="G11" i="30"/>
  <c r="H11" i="30"/>
  <c r="I11" i="30"/>
  <c r="J11" i="30"/>
  <c r="B12" i="30"/>
  <c r="A12" i="30" s="1"/>
  <c r="C12" i="30"/>
  <c r="D12" i="30"/>
  <c r="E12" i="30"/>
  <c r="F12" i="30"/>
  <c r="G12" i="30"/>
  <c r="H12" i="30"/>
  <c r="I12" i="30"/>
  <c r="J12" i="30"/>
  <c r="B13" i="30"/>
  <c r="A13" i="30" s="1"/>
  <c r="C13" i="30"/>
  <c r="D13" i="30"/>
  <c r="E13" i="30"/>
  <c r="F13" i="30"/>
  <c r="G13" i="30"/>
  <c r="H13" i="30"/>
  <c r="I13" i="30"/>
  <c r="J13" i="30"/>
  <c r="B14" i="30"/>
  <c r="A14" i="30" s="1"/>
  <c r="C14" i="30"/>
  <c r="D14" i="30"/>
  <c r="E14" i="30"/>
  <c r="F14" i="30"/>
  <c r="G14" i="30"/>
  <c r="H14" i="30"/>
  <c r="I14" i="30"/>
  <c r="J14" i="30"/>
  <c r="B15" i="30"/>
  <c r="A15" i="30" s="1"/>
  <c r="C15" i="30"/>
  <c r="D15" i="30"/>
  <c r="E15" i="30"/>
  <c r="F15" i="30"/>
  <c r="G15" i="30"/>
  <c r="H15" i="30"/>
  <c r="I15" i="30"/>
  <c r="J15" i="30"/>
  <c r="B16" i="30"/>
  <c r="A16" i="30" s="1"/>
  <c r="C16" i="30"/>
  <c r="D16" i="30"/>
  <c r="E16" i="30"/>
  <c r="F16" i="30"/>
  <c r="G16" i="30"/>
  <c r="H16" i="30"/>
  <c r="I16" i="30"/>
  <c r="J16" i="30"/>
  <c r="B17" i="30"/>
  <c r="A17" i="30" s="1"/>
  <c r="C17" i="30"/>
  <c r="D17" i="30"/>
  <c r="E17" i="30"/>
  <c r="F17" i="30"/>
  <c r="G17" i="30"/>
  <c r="H17" i="30"/>
  <c r="I17" i="30"/>
  <c r="J17" i="30"/>
  <c r="B18" i="30"/>
  <c r="A18" i="30" s="1"/>
  <c r="C18" i="30"/>
  <c r="D18" i="30"/>
  <c r="E18" i="30"/>
  <c r="F18" i="30"/>
  <c r="G18" i="30"/>
  <c r="H18" i="30"/>
  <c r="I18" i="30"/>
  <c r="J18" i="30"/>
  <c r="B19" i="30"/>
  <c r="A19" i="30" s="1"/>
  <c r="C19" i="30"/>
  <c r="D19" i="30"/>
  <c r="E19" i="30"/>
  <c r="F19" i="30"/>
  <c r="G19" i="30"/>
  <c r="H19" i="30"/>
  <c r="I19" i="30"/>
  <c r="J19" i="30"/>
  <c r="B20" i="30"/>
  <c r="A20" i="30" s="1"/>
  <c r="C20" i="30"/>
  <c r="D20" i="30"/>
  <c r="E20" i="30"/>
  <c r="F20" i="30"/>
  <c r="G20" i="30"/>
  <c r="H20" i="30"/>
  <c r="I20" i="30"/>
  <c r="J20" i="30"/>
  <c r="B21" i="30"/>
  <c r="A21" i="30" s="1"/>
  <c r="C21" i="30"/>
  <c r="D21" i="30"/>
  <c r="E21" i="30"/>
  <c r="F21" i="30"/>
  <c r="G21" i="30"/>
  <c r="H21" i="30"/>
  <c r="I21" i="30"/>
  <c r="J21" i="30"/>
  <c r="B22" i="30"/>
  <c r="A22" i="30" s="1"/>
  <c r="C22" i="30"/>
  <c r="D22" i="30"/>
  <c r="E22" i="30"/>
  <c r="F22" i="30"/>
  <c r="G22" i="30"/>
  <c r="H22" i="30"/>
  <c r="I22" i="30"/>
  <c r="J22" i="30"/>
  <c r="B23" i="30"/>
  <c r="A23" i="30" s="1"/>
  <c r="C23" i="30"/>
  <c r="D23" i="30"/>
  <c r="E23" i="30"/>
  <c r="F23" i="30"/>
  <c r="G23" i="30"/>
  <c r="H23" i="30"/>
  <c r="I23" i="30"/>
  <c r="J23" i="30"/>
  <c r="B24" i="30"/>
  <c r="A24" i="30" s="1"/>
  <c r="C24" i="30"/>
  <c r="D24" i="30"/>
  <c r="E24" i="30"/>
  <c r="F24" i="30"/>
  <c r="G24" i="30"/>
  <c r="H24" i="30"/>
  <c r="I24" i="30"/>
  <c r="J24" i="30"/>
  <c r="B25" i="30"/>
  <c r="A25" i="30" s="1"/>
  <c r="C25" i="30"/>
  <c r="D25" i="30"/>
  <c r="E25" i="30"/>
  <c r="F25" i="30"/>
  <c r="G25" i="30"/>
  <c r="H25" i="30"/>
  <c r="I25" i="30"/>
  <c r="J25" i="30"/>
  <c r="B26" i="30"/>
  <c r="A26" i="30" s="1"/>
  <c r="C26" i="30"/>
  <c r="D26" i="30"/>
  <c r="E26" i="30"/>
  <c r="F26" i="30"/>
  <c r="G26" i="30"/>
  <c r="H26" i="30"/>
  <c r="I26" i="30"/>
  <c r="J26" i="30"/>
  <c r="B27" i="30"/>
  <c r="A27" i="30" s="1"/>
  <c r="C27" i="30"/>
  <c r="D27" i="30"/>
  <c r="E27" i="30"/>
  <c r="F27" i="30"/>
  <c r="G27" i="30"/>
  <c r="H27" i="30"/>
  <c r="I27" i="30"/>
  <c r="J27" i="30"/>
  <c r="B28" i="30"/>
  <c r="A28" i="30" s="1"/>
  <c r="C28" i="30"/>
  <c r="D28" i="30"/>
  <c r="E28" i="30"/>
  <c r="F28" i="30"/>
  <c r="G28" i="30"/>
  <c r="H28" i="30"/>
  <c r="I28" i="30"/>
  <c r="J28" i="30"/>
  <c r="B29" i="30"/>
  <c r="A29" i="30" s="1"/>
  <c r="C29" i="30"/>
  <c r="D29" i="30"/>
  <c r="E29" i="30"/>
  <c r="F29" i="30"/>
  <c r="G29" i="30"/>
  <c r="H29" i="30"/>
  <c r="I29" i="30"/>
  <c r="J29" i="30"/>
  <c r="B30" i="30"/>
  <c r="A30" i="30" s="1"/>
  <c r="C30" i="30"/>
  <c r="D30" i="30"/>
  <c r="E30" i="30"/>
  <c r="F30" i="30"/>
  <c r="G30" i="30"/>
  <c r="H30" i="30"/>
  <c r="I30" i="30"/>
  <c r="J30" i="30"/>
  <c r="B31" i="30"/>
  <c r="A31" i="30" s="1"/>
  <c r="C31" i="30"/>
  <c r="D31" i="30"/>
  <c r="E31" i="30"/>
  <c r="F31" i="30"/>
  <c r="G31" i="30"/>
  <c r="H31" i="30"/>
  <c r="I31" i="30"/>
  <c r="J31" i="30"/>
  <c r="B32" i="30"/>
  <c r="A32" i="30" s="1"/>
  <c r="C32" i="30"/>
  <c r="D32" i="30"/>
  <c r="E32" i="30"/>
  <c r="F32" i="30"/>
  <c r="G32" i="30"/>
  <c r="H32" i="30"/>
  <c r="I32" i="30"/>
  <c r="J32" i="30"/>
  <c r="B33" i="30"/>
  <c r="A33" i="30" s="1"/>
  <c r="C33" i="30"/>
  <c r="D33" i="30"/>
  <c r="E33" i="30"/>
  <c r="F33" i="30"/>
  <c r="G33" i="30"/>
  <c r="H33" i="30"/>
  <c r="I33" i="30"/>
  <c r="J33" i="30"/>
  <c r="B34" i="30"/>
  <c r="A34" i="30" s="1"/>
  <c r="C34" i="30"/>
  <c r="D34" i="30"/>
  <c r="E34" i="30"/>
  <c r="F34" i="30"/>
  <c r="G34" i="30"/>
  <c r="H34" i="30"/>
  <c r="I34" i="30"/>
  <c r="J34" i="30"/>
  <c r="B35" i="30"/>
  <c r="A35" i="30" s="1"/>
  <c r="C35" i="30"/>
  <c r="D35" i="30"/>
  <c r="E35" i="30"/>
  <c r="F35" i="30"/>
  <c r="G35" i="30"/>
  <c r="H35" i="30"/>
  <c r="I35" i="30"/>
  <c r="J35" i="30"/>
  <c r="B36" i="30"/>
  <c r="A36" i="30" s="1"/>
  <c r="C36" i="30"/>
  <c r="D36" i="30"/>
  <c r="E36" i="30"/>
  <c r="F36" i="30"/>
  <c r="G36" i="30"/>
  <c r="H36" i="30"/>
  <c r="I36" i="30"/>
  <c r="J36" i="30"/>
  <c r="B37" i="30"/>
  <c r="A37" i="30" s="1"/>
  <c r="C37" i="30"/>
  <c r="D37" i="30"/>
  <c r="E37" i="30"/>
  <c r="F37" i="30"/>
  <c r="G37" i="30"/>
  <c r="H37" i="30"/>
  <c r="I37" i="30"/>
  <c r="J37" i="30"/>
  <c r="B38" i="30"/>
  <c r="A38" i="30" s="1"/>
  <c r="C38" i="30"/>
  <c r="D38" i="30"/>
  <c r="E38" i="30"/>
  <c r="F38" i="30"/>
  <c r="G38" i="30"/>
  <c r="H38" i="30"/>
  <c r="I38" i="30"/>
  <c r="J38" i="30"/>
  <c r="B39" i="30"/>
  <c r="A39" i="30" s="1"/>
  <c r="C39" i="30"/>
  <c r="D39" i="30"/>
  <c r="E39" i="30"/>
  <c r="F39" i="30"/>
  <c r="G39" i="30"/>
  <c r="H39" i="30"/>
  <c r="I39" i="30"/>
  <c r="J39" i="30"/>
  <c r="B40" i="30"/>
  <c r="A40" i="30" s="1"/>
  <c r="C40" i="30"/>
  <c r="D40" i="30"/>
  <c r="E40" i="30"/>
  <c r="F40" i="30"/>
  <c r="G40" i="30"/>
  <c r="H40" i="30"/>
  <c r="I40" i="30"/>
  <c r="J40" i="30"/>
  <c r="B41" i="30"/>
  <c r="A41" i="30" s="1"/>
  <c r="C41" i="30"/>
  <c r="D41" i="30"/>
  <c r="E41" i="30"/>
  <c r="F41" i="30"/>
  <c r="G41" i="30"/>
  <c r="H41" i="30"/>
  <c r="I41" i="30"/>
  <c r="J41" i="30"/>
  <c r="B42" i="30"/>
  <c r="A42" i="30" s="1"/>
  <c r="C42" i="30"/>
  <c r="D42" i="30"/>
  <c r="E42" i="30"/>
  <c r="F42" i="30"/>
  <c r="G42" i="30"/>
  <c r="H42" i="30"/>
  <c r="I42" i="30"/>
  <c r="J42" i="30"/>
  <c r="B43" i="30"/>
  <c r="A43" i="30" s="1"/>
  <c r="C43" i="30"/>
  <c r="D43" i="30"/>
  <c r="E43" i="30"/>
  <c r="F43" i="30"/>
  <c r="G43" i="30"/>
  <c r="H43" i="30"/>
  <c r="I43" i="30"/>
  <c r="J43" i="30"/>
  <c r="B44" i="30"/>
  <c r="A44" i="30" s="1"/>
  <c r="C44" i="30"/>
  <c r="D44" i="30"/>
  <c r="E44" i="30"/>
  <c r="F44" i="30"/>
  <c r="G44" i="30"/>
  <c r="H44" i="30"/>
  <c r="I44" i="30"/>
  <c r="J44" i="30"/>
  <c r="B45" i="30"/>
  <c r="A45" i="30" s="1"/>
  <c r="C45" i="30"/>
  <c r="D45" i="30"/>
  <c r="E45" i="30"/>
  <c r="F45" i="30"/>
  <c r="G45" i="30"/>
  <c r="H45" i="30"/>
  <c r="I45" i="30"/>
  <c r="J45" i="30"/>
  <c r="B46" i="30"/>
  <c r="A46" i="30" s="1"/>
  <c r="C46" i="30"/>
  <c r="D46" i="30"/>
  <c r="E46" i="30"/>
  <c r="F46" i="30"/>
  <c r="G46" i="30"/>
  <c r="H46" i="30"/>
  <c r="I46" i="30"/>
  <c r="J46" i="30"/>
  <c r="B47" i="30"/>
  <c r="A47" i="30" s="1"/>
  <c r="C47" i="30"/>
  <c r="D47" i="30"/>
  <c r="E47" i="30"/>
  <c r="F47" i="30"/>
  <c r="G47" i="30"/>
  <c r="H47" i="30"/>
  <c r="I47" i="30"/>
  <c r="J47" i="30"/>
  <c r="B48" i="30"/>
  <c r="A48" i="30" s="1"/>
  <c r="C48" i="30"/>
  <c r="D48" i="30"/>
  <c r="E48" i="30"/>
  <c r="F48" i="30"/>
  <c r="G48" i="30"/>
  <c r="H48" i="30"/>
  <c r="I48" i="30"/>
  <c r="J48" i="30"/>
  <c r="B49" i="30"/>
  <c r="A49" i="30" s="1"/>
  <c r="C49" i="30"/>
  <c r="D49" i="30"/>
  <c r="E49" i="30"/>
  <c r="F49" i="30"/>
  <c r="G49" i="30"/>
  <c r="H49" i="30"/>
  <c r="I49" i="30"/>
  <c r="J49" i="30"/>
  <c r="B50" i="30"/>
  <c r="A50" i="30" s="1"/>
  <c r="C50" i="30"/>
  <c r="D50" i="30"/>
  <c r="E50" i="30"/>
  <c r="F50" i="30"/>
  <c r="G50" i="30"/>
  <c r="H50" i="30"/>
  <c r="I50" i="30"/>
  <c r="J50" i="30"/>
  <c r="B51" i="30"/>
  <c r="A51" i="30" s="1"/>
  <c r="C51" i="30"/>
  <c r="D51" i="30"/>
  <c r="E51" i="30"/>
  <c r="F51" i="30"/>
  <c r="G51" i="30"/>
  <c r="H51" i="30"/>
  <c r="I51" i="30"/>
  <c r="J51" i="30"/>
  <c r="B52" i="30"/>
  <c r="A52" i="30" s="1"/>
  <c r="C52" i="30"/>
  <c r="D52" i="30"/>
  <c r="E52" i="30"/>
  <c r="F52" i="30"/>
  <c r="G52" i="30"/>
  <c r="H52" i="30"/>
  <c r="I52" i="30"/>
  <c r="J52" i="30"/>
  <c r="B53" i="30"/>
  <c r="A53" i="30" s="1"/>
  <c r="C53" i="30"/>
  <c r="D53" i="30"/>
  <c r="E53" i="30"/>
  <c r="F53" i="30"/>
  <c r="G53" i="30"/>
  <c r="H53" i="30"/>
  <c r="I53" i="30"/>
  <c r="J53" i="30"/>
  <c r="B54" i="30"/>
  <c r="A54" i="30" s="1"/>
  <c r="C54" i="30"/>
  <c r="D54" i="30"/>
  <c r="E54" i="30"/>
  <c r="F54" i="30"/>
  <c r="G54" i="30"/>
  <c r="H54" i="30"/>
  <c r="I54" i="30"/>
  <c r="J54" i="30"/>
  <c r="B55" i="30"/>
  <c r="A55" i="30" s="1"/>
  <c r="C55" i="30"/>
  <c r="D55" i="30"/>
  <c r="E55" i="30"/>
  <c r="F55" i="30"/>
  <c r="G55" i="30"/>
  <c r="H55" i="30"/>
  <c r="I55" i="30"/>
  <c r="J55" i="30"/>
  <c r="B56" i="30"/>
  <c r="A56" i="30" s="1"/>
  <c r="C56" i="30"/>
  <c r="D56" i="30"/>
  <c r="E56" i="30"/>
  <c r="F56" i="30"/>
  <c r="G56" i="30"/>
  <c r="H56" i="30"/>
  <c r="I56" i="30"/>
  <c r="J56" i="30"/>
  <c r="B57" i="30"/>
  <c r="A57" i="30" s="1"/>
  <c r="C57" i="30"/>
  <c r="D57" i="30"/>
  <c r="E57" i="30"/>
  <c r="F57" i="30"/>
  <c r="G57" i="30"/>
  <c r="H57" i="30"/>
  <c r="I57" i="30"/>
  <c r="J57" i="30"/>
  <c r="B58" i="30"/>
  <c r="A58" i="30" s="1"/>
  <c r="C58" i="30"/>
  <c r="D58" i="30"/>
  <c r="E58" i="30"/>
  <c r="F58" i="30"/>
  <c r="G58" i="30"/>
  <c r="H58" i="30"/>
  <c r="I58" i="30"/>
  <c r="J58" i="30"/>
  <c r="B59" i="30"/>
  <c r="A59" i="30" s="1"/>
  <c r="C59" i="30"/>
  <c r="D59" i="30"/>
  <c r="E59" i="30"/>
  <c r="F59" i="30"/>
  <c r="G59" i="30"/>
  <c r="H59" i="30"/>
  <c r="I59" i="30"/>
  <c r="J59" i="30"/>
  <c r="B60" i="30"/>
  <c r="A60" i="30" s="1"/>
  <c r="C60" i="30"/>
  <c r="D60" i="30"/>
  <c r="E60" i="30"/>
  <c r="F60" i="30"/>
  <c r="G60" i="30"/>
  <c r="H60" i="30"/>
  <c r="I60" i="30"/>
  <c r="J60" i="30"/>
  <c r="B61" i="30"/>
  <c r="A61" i="30" s="1"/>
  <c r="C61" i="30"/>
  <c r="D61" i="30"/>
  <c r="E61" i="30"/>
  <c r="F61" i="30"/>
  <c r="G61" i="30"/>
  <c r="H61" i="30"/>
  <c r="I61" i="30"/>
  <c r="J61" i="30"/>
  <c r="B62" i="30"/>
  <c r="A62" i="30" s="1"/>
  <c r="C62" i="30"/>
  <c r="D62" i="30"/>
  <c r="E62" i="30"/>
  <c r="F62" i="30"/>
  <c r="G62" i="30"/>
  <c r="H62" i="30"/>
  <c r="I62" i="30"/>
  <c r="J62" i="30"/>
  <c r="B63" i="30"/>
  <c r="A63" i="30" s="1"/>
  <c r="C63" i="30"/>
  <c r="D63" i="30"/>
  <c r="E63" i="30"/>
  <c r="F63" i="30"/>
  <c r="G63" i="30"/>
  <c r="H63" i="30"/>
  <c r="I63" i="30"/>
  <c r="J63" i="30"/>
  <c r="B64" i="30"/>
  <c r="A64" i="30" s="1"/>
  <c r="C64" i="30"/>
  <c r="D64" i="30"/>
  <c r="E64" i="30"/>
  <c r="F64" i="30"/>
  <c r="G64" i="30"/>
  <c r="H64" i="30"/>
  <c r="I64" i="30"/>
  <c r="J64" i="30"/>
  <c r="B65" i="30"/>
  <c r="A65" i="30" s="1"/>
  <c r="C65" i="30"/>
  <c r="D65" i="30"/>
  <c r="E65" i="30"/>
  <c r="F65" i="30"/>
  <c r="G65" i="30"/>
  <c r="H65" i="30"/>
  <c r="I65" i="30"/>
  <c r="J65" i="30"/>
  <c r="B66" i="30"/>
  <c r="A66" i="30" s="1"/>
  <c r="C66" i="30"/>
  <c r="D66" i="30"/>
  <c r="E66" i="30"/>
  <c r="F66" i="30"/>
  <c r="G66" i="30"/>
  <c r="H66" i="30"/>
  <c r="I66" i="30"/>
  <c r="J66" i="30"/>
  <c r="B67" i="30"/>
  <c r="A67" i="30" s="1"/>
  <c r="C67" i="30"/>
  <c r="D67" i="30"/>
  <c r="E67" i="30"/>
  <c r="F67" i="30"/>
  <c r="G67" i="30"/>
  <c r="H67" i="30"/>
  <c r="I67" i="30"/>
  <c r="J67" i="30"/>
  <c r="B68" i="30"/>
  <c r="A68" i="30" s="1"/>
  <c r="C68" i="30"/>
  <c r="D68" i="30"/>
  <c r="E68" i="30"/>
  <c r="F68" i="30"/>
  <c r="G68" i="30"/>
  <c r="H68" i="30"/>
  <c r="I68" i="30"/>
  <c r="J68" i="30"/>
  <c r="B69" i="30"/>
  <c r="A69" i="30" s="1"/>
  <c r="C69" i="30"/>
  <c r="D69" i="30"/>
  <c r="E69" i="30"/>
  <c r="F69" i="30"/>
  <c r="G69" i="30"/>
  <c r="H69" i="30"/>
  <c r="I69" i="30"/>
  <c r="J69" i="30"/>
  <c r="B70" i="30"/>
  <c r="A70" i="30" s="1"/>
  <c r="C70" i="30"/>
  <c r="D70" i="30"/>
  <c r="E70" i="30"/>
  <c r="F70" i="30"/>
  <c r="G70" i="30"/>
  <c r="H70" i="30"/>
  <c r="I70" i="30"/>
  <c r="J70" i="30"/>
  <c r="B71" i="30"/>
  <c r="A71" i="30" s="1"/>
  <c r="C71" i="30"/>
  <c r="D71" i="30"/>
  <c r="E71" i="30"/>
  <c r="F71" i="30"/>
  <c r="G71" i="30"/>
  <c r="H71" i="30"/>
  <c r="I71" i="30"/>
  <c r="J71" i="30"/>
  <c r="B72" i="30"/>
  <c r="A72" i="30" s="1"/>
  <c r="C72" i="30"/>
  <c r="D72" i="30"/>
  <c r="E72" i="30"/>
  <c r="F72" i="30"/>
  <c r="G72" i="30"/>
  <c r="H72" i="30"/>
  <c r="I72" i="30"/>
  <c r="J72" i="30"/>
  <c r="B73" i="30"/>
  <c r="A73" i="30" s="1"/>
  <c r="C73" i="30"/>
  <c r="D73" i="30"/>
  <c r="E73" i="30"/>
  <c r="F73" i="30"/>
  <c r="G73" i="30"/>
  <c r="H73" i="30"/>
  <c r="I73" i="30"/>
  <c r="J73" i="30"/>
  <c r="B74" i="30"/>
  <c r="A74" i="30" s="1"/>
  <c r="C74" i="30"/>
  <c r="D74" i="30"/>
  <c r="E74" i="30"/>
  <c r="F74" i="30"/>
  <c r="G74" i="30"/>
  <c r="H74" i="30"/>
  <c r="I74" i="30"/>
  <c r="J74" i="30"/>
  <c r="B75" i="30"/>
  <c r="A75" i="30" s="1"/>
  <c r="C75" i="30"/>
  <c r="D75" i="30"/>
  <c r="E75" i="30"/>
  <c r="F75" i="30"/>
  <c r="G75" i="30"/>
  <c r="H75" i="30"/>
  <c r="I75" i="30"/>
  <c r="J75" i="30"/>
  <c r="B76" i="30"/>
  <c r="A76" i="30" s="1"/>
  <c r="C76" i="30"/>
  <c r="D76" i="30"/>
  <c r="E76" i="30"/>
  <c r="F76" i="30"/>
  <c r="G76" i="30"/>
  <c r="H76" i="30"/>
  <c r="I76" i="30"/>
  <c r="J76" i="30"/>
  <c r="B77" i="30"/>
  <c r="A77" i="30" s="1"/>
  <c r="C77" i="30"/>
  <c r="D77" i="30"/>
  <c r="E77" i="30"/>
  <c r="F77" i="30"/>
  <c r="G77" i="30"/>
  <c r="H77" i="30"/>
  <c r="I77" i="30"/>
  <c r="J77" i="30"/>
  <c r="B78" i="30"/>
  <c r="A78" i="30" s="1"/>
  <c r="C78" i="30"/>
  <c r="D78" i="30"/>
  <c r="E78" i="30"/>
  <c r="F78" i="30"/>
  <c r="G78" i="30"/>
  <c r="H78" i="30"/>
  <c r="I78" i="30"/>
  <c r="J78" i="30"/>
  <c r="B79" i="30"/>
  <c r="A79" i="30" s="1"/>
  <c r="C79" i="30"/>
  <c r="D79" i="30"/>
  <c r="E79" i="30"/>
  <c r="F79" i="30"/>
  <c r="G79" i="30"/>
  <c r="H79" i="30"/>
  <c r="I79" i="30"/>
  <c r="J79" i="30"/>
  <c r="B80" i="30"/>
  <c r="A80" i="30" s="1"/>
  <c r="C80" i="30"/>
  <c r="D80" i="30"/>
  <c r="E80" i="30"/>
  <c r="F80" i="30"/>
  <c r="G80" i="30"/>
  <c r="H80" i="30"/>
  <c r="I80" i="30"/>
  <c r="J80" i="30"/>
  <c r="B81" i="30"/>
  <c r="A81" i="30" s="1"/>
  <c r="C81" i="30"/>
  <c r="D81" i="30"/>
  <c r="E81" i="30"/>
  <c r="F81" i="30"/>
  <c r="G81" i="30"/>
  <c r="H81" i="30"/>
  <c r="I81" i="30"/>
  <c r="J81" i="30"/>
  <c r="B82" i="30"/>
  <c r="A82" i="30" s="1"/>
  <c r="C82" i="30"/>
  <c r="D82" i="30"/>
  <c r="E82" i="30"/>
  <c r="F82" i="30"/>
  <c r="G82" i="30"/>
  <c r="H82" i="30"/>
  <c r="I82" i="30"/>
  <c r="J82" i="30"/>
  <c r="B83" i="30"/>
  <c r="A83" i="30" s="1"/>
  <c r="C83" i="30"/>
  <c r="D83" i="30"/>
  <c r="E83" i="30"/>
  <c r="F83" i="30"/>
  <c r="G83" i="30"/>
  <c r="H83" i="30"/>
  <c r="I83" i="30"/>
  <c r="J83" i="30"/>
  <c r="B84" i="30"/>
  <c r="A84" i="30" s="1"/>
  <c r="C84" i="30"/>
  <c r="D84" i="30"/>
  <c r="E84" i="30"/>
  <c r="F84" i="30"/>
  <c r="G84" i="30"/>
  <c r="H84" i="30"/>
  <c r="I84" i="30"/>
  <c r="J84" i="30"/>
  <c r="B85" i="30"/>
  <c r="A85" i="30" s="1"/>
  <c r="C85" i="30"/>
  <c r="D85" i="30"/>
  <c r="E85" i="30"/>
  <c r="F85" i="30"/>
  <c r="G85" i="30"/>
  <c r="H85" i="30"/>
  <c r="I85" i="30"/>
  <c r="J85" i="30"/>
  <c r="I4" i="30"/>
  <c r="G4" i="30"/>
  <c r="E4" i="30"/>
  <c r="C4" i="30"/>
  <c r="A4" i="30"/>
  <c r="C4" i="29"/>
  <c r="C5" i="29"/>
  <c r="C6" i="29"/>
  <c r="C7" i="29"/>
  <c r="C8" i="29"/>
  <c r="C9" i="29"/>
  <c r="C10" i="29"/>
  <c r="C11" i="29"/>
  <c r="C12" i="29"/>
  <c r="C13" i="29"/>
  <c r="C14" i="29"/>
  <c r="C15" i="29"/>
  <c r="C16" i="29"/>
  <c r="C17" i="29"/>
  <c r="C18" i="29"/>
  <c r="C19" i="29"/>
  <c r="C20" i="29"/>
  <c r="C21" i="29"/>
  <c r="C22" i="29"/>
  <c r="C23" i="29"/>
  <c r="C24" i="29"/>
  <c r="C25" i="29"/>
  <c r="C26" i="29"/>
  <c r="C27" i="29"/>
  <c r="C28" i="29"/>
  <c r="C29" i="29"/>
  <c r="C30" i="29"/>
  <c r="C31" i="29"/>
  <c r="C32" i="29"/>
  <c r="C33" i="29"/>
  <c r="C34" i="29"/>
  <c r="C35" i="29"/>
  <c r="C36" i="29"/>
  <c r="C37" i="29"/>
  <c r="C38" i="29"/>
  <c r="C39" i="29"/>
  <c r="C40" i="29"/>
  <c r="C41" i="29"/>
  <c r="C42" i="29"/>
  <c r="C43" i="29"/>
  <c r="C44" i="29"/>
  <c r="C45" i="29"/>
  <c r="C46" i="29"/>
  <c r="C47" i="29"/>
  <c r="C48" i="29"/>
  <c r="C49" i="29"/>
  <c r="C50" i="29"/>
  <c r="C51" i="29"/>
  <c r="C52" i="29"/>
  <c r="C53" i="29"/>
  <c r="C54" i="29"/>
  <c r="C55" i="29"/>
  <c r="C56" i="29"/>
  <c r="C57" i="29"/>
  <c r="C58" i="29"/>
  <c r="C59" i="29"/>
  <c r="C60" i="29"/>
  <c r="C61" i="29"/>
  <c r="C62" i="29"/>
  <c r="C63" i="29"/>
  <c r="C64" i="29"/>
  <c r="C65" i="29"/>
  <c r="C66" i="29"/>
  <c r="C67" i="29"/>
  <c r="C68" i="29"/>
  <c r="C69" i="29"/>
  <c r="C70" i="29"/>
  <c r="C71" i="29"/>
  <c r="C72" i="29"/>
  <c r="C73" i="29"/>
  <c r="C74" i="29"/>
  <c r="C75" i="29"/>
  <c r="C76" i="29"/>
  <c r="C77" i="29"/>
  <c r="C78" i="29"/>
  <c r="C79" i="29"/>
  <c r="C80" i="29"/>
  <c r="C81" i="29"/>
  <c r="C82" i="29"/>
  <c r="B4" i="29"/>
  <c r="B5" i="29"/>
  <c r="B6" i="29"/>
  <c r="B7" i="29"/>
  <c r="B8" i="29"/>
  <c r="B9" i="29"/>
  <c r="B10" i="29"/>
  <c r="B11" i="29"/>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77" i="29"/>
  <c r="B78" i="29"/>
  <c r="B79" i="29"/>
  <c r="B80" i="29"/>
  <c r="B81" i="29"/>
  <c r="B82" i="29"/>
  <c r="F4" i="29"/>
  <c r="G4" i="29"/>
  <c r="H4" i="29"/>
  <c r="I4" i="29"/>
  <c r="J4" i="29"/>
  <c r="K4" i="29"/>
  <c r="L4" i="29"/>
  <c r="F5" i="29"/>
  <c r="G5" i="29"/>
  <c r="H5" i="29"/>
  <c r="I5" i="29"/>
  <c r="J5" i="29"/>
  <c r="K5" i="29"/>
  <c r="L5" i="29"/>
  <c r="F6" i="29"/>
  <c r="G6" i="29"/>
  <c r="H6" i="29"/>
  <c r="I6" i="29"/>
  <c r="J6" i="29"/>
  <c r="K6" i="29"/>
  <c r="L6" i="29"/>
  <c r="F7" i="29"/>
  <c r="G7" i="29"/>
  <c r="H7" i="29"/>
  <c r="I7" i="29"/>
  <c r="J7" i="29"/>
  <c r="K7" i="29"/>
  <c r="L7" i="29"/>
  <c r="F8" i="29"/>
  <c r="G8" i="29"/>
  <c r="H8" i="29"/>
  <c r="I8" i="29"/>
  <c r="J8" i="29"/>
  <c r="K8" i="29"/>
  <c r="L8" i="29"/>
  <c r="F9" i="29"/>
  <c r="G9" i="29"/>
  <c r="H9" i="29"/>
  <c r="I9" i="29"/>
  <c r="J9" i="29"/>
  <c r="K9" i="29"/>
  <c r="L9" i="29"/>
  <c r="F10" i="29"/>
  <c r="G10" i="29"/>
  <c r="H10" i="29"/>
  <c r="I10" i="29"/>
  <c r="J10" i="29"/>
  <c r="K10" i="29"/>
  <c r="L10" i="29"/>
  <c r="F11" i="29"/>
  <c r="G11" i="29"/>
  <c r="H11" i="29"/>
  <c r="I11" i="29"/>
  <c r="J11" i="29"/>
  <c r="K11" i="29"/>
  <c r="L11" i="29"/>
  <c r="F12" i="29"/>
  <c r="G12" i="29"/>
  <c r="H12" i="29"/>
  <c r="I12" i="29"/>
  <c r="J12" i="29"/>
  <c r="K12" i="29"/>
  <c r="L12" i="29"/>
  <c r="F13" i="29"/>
  <c r="G13" i="29"/>
  <c r="H13" i="29"/>
  <c r="I13" i="29"/>
  <c r="J13" i="29"/>
  <c r="K13" i="29"/>
  <c r="L13" i="29"/>
  <c r="F14" i="29"/>
  <c r="G14" i="29"/>
  <c r="H14" i="29"/>
  <c r="I14" i="29"/>
  <c r="J14" i="29"/>
  <c r="K14" i="29"/>
  <c r="L14" i="29"/>
  <c r="F15" i="29"/>
  <c r="G15" i="29"/>
  <c r="H15" i="29"/>
  <c r="I15" i="29"/>
  <c r="J15" i="29"/>
  <c r="K15" i="29"/>
  <c r="L15" i="29"/>
  <c r="F16" i="29"/>
  <c r="G16" i="29"/>
  <c r="H16" i="29"/>
  <c r="I16" i="29"/>
  <c r="J16" i="29"/>
  <c r="K16" i="29"/>
  <c r="L16" i="29"/>
  <c r="F17" i="29"/>
  <c r="G17" i="29"/>
  <c r="H17" i="29"/>
  <c r="I17" i="29"/>
  <c r="J17" i="29"/>
  <c r="K17" i="29"/>
  <c r="L17" i="29"/>
  <c r="F18" i="29"/>
  <c r="G18" i="29"/>
  <c r="H18" i="29"/>
  <c r="I18" i="29"/>
  <c r="J18" i="29"/>
  <c r="K18" i="29"/>
  <c r="L18" i="29"/>
  <c r="F19" i="29"/>
  <c r="G19" i="29"/>
  <c r="H19" i="29"/>
  <c r="I19" i="29"/>
  <c r="J19" i="29"/>
  <c r="K19" i="29"/>
  <c r="L19" i="29"/>
  <c r="F20" i="29"/>
  <c r="G20" i="29"/>
  <c r="H20" i="29"/>
  <c r="I20" i="29"/>
  <c r="J20" i="29"/>
  <c r="K20" i="29"/>
  <c r="L20" i="29"/>
  <c r="F21" i="29"/>
  <c r="G21" i="29"/>
  <c r="H21" i="29"/>
  <c r="I21" i="29"/>
  <c r="J21" i="29"/>
  <c r="K21" i="29"/>
  <c r="L21" i="29"/>
  <c r="F22" i="29"/>
  <c r="G22" i="29"/>
  <c r="H22" i="29"/>
  <c r="I22" i="29"/>
  <c r="J22" i="29"/>
  <c r="K22" i="29"/>
  <c r="L22" i="29"/>
  <c r="F23" i="29"/>
  <c r="G23" i="29"/>
  <c r="H23" i="29"/>
  <c r="I23" i="29"/>
  <c r="J23" i="29"/>
  <c r="K23" i="29"/>
  <c r="L23" i="29"/>
  <c r="F24" i="29"/>
  <c r="G24" i="29"/>
  <c r="H24" i="29"/>
  <c r="I24" i="29"/>
  <c r="J24" i="29"/>
  <c r="K24" i="29"/>
  <c r="L24" i="29"/>
  <c r="F25" i="29"/>
  <c r="G25" i="29"/>
  <c r="H25" i="29"/>
  <c r="I25" i="29"/>
  <c r="J25" i="29"/>
  <c r="K25" i="29"/>
  <c r="L25" i="29"/>
  <c r="F26" i="29"/>
  <c r="G26" i="29"/>
  <c r="H26" i="29"/>
  <c r="I26" i="29"/>
  <c r="J26" i="29"/>
  <c r="K26" i="29"/>
  <c r="L26" i="29"/>
  <c r="F27" i="29"/>
  <c r="G27" i="29"/>
  <c r="H27" i="29"/>
  <c r="I27" i="29"/>
  <c r="J27" i="29"/>
  <c r="K27" i="29"/>
  <c r="L27" i="29"/>
  <c r="F28" i="29"/>
  <c r="G28" i="29"/>
  <c r="H28" i="29"/>
  <c r="I28" i="29"/>
  <c r="J28" i="29"/>
  <c r="K28" i="29"/>
  <c r="L28" i="29"/>
  <c r="F29" i="29"/>
  <c r="G29" i="29"/>
  <c r="H29" i="29"/>
  <c r="I29" i="29"/>
  <c r="J29" i="29"/>
  <c r="K29" i="29"/>
  <c r="L29" i="29"/>
  <c r="F30" i="29"/>
  <c r="G30" i="29"/>
  <c r="H30" i="29"/>
  <c r="I30" i="29"/>
  <c r="J30" i="29"/>
  <c r="K30" i="29"/>
  <c r="L30" i="29"/>
  <c r="F31" i="29"/>
  <c r="G31" i="29"/>
  <c r="H31" i="29"/>
  <c r="I31" i="29"/>
  <c r="J31" i="29"/>
  <c r="K31" i="29"/>
  <c r="L31" i="29"/>
  <c r="F32" i="29"/>
  <c r="G32" i="29"/>
  <c r="H32" i="29"/>
  <c r="I32" i="29"/>
  <c r="J32" i="29"/>
  <c r="K32" i="29"/>
  <c r="L32" i="29"/>
  <c r="F33" i="29"/>
  <c r="G33" i="29"/>
  <c r="H33" i="29"/>
  <c r="I33" i="29"/>
  <c r="J33" i="29"/>
  <c r="K33" i="29"/>
  <c r="L33" i="29"/>
  <c r="F34" i="29"/>
  <c r="G34" i="29"/>
  <c r="H34" i="29"/>
  <c r="I34" i="29"/>
  <c r="J34" i="29"/>
  <c r="K34" i="29"/>
  <c r="L34" i="29"/>
  <c r="F35" i="29"/>
  <c r="G35" i="29"/>
  <c r="H35" i="29"/>
  <c r="I35" i="29"/>
  <c r="J35" i="29"/>
  <c r="K35" i="29"/>
  <c r="L35" i="29"/>
  <c r="F36" i="29"/>
  <c r="G36" i="29"/>
  <c r="H36" i="29"/>
  <c r="I36" i="29"/>
  <c r="J36" i="29"/>
  <c r="K36" i="29"/>
  <c r="L36" i="29"/>
  <c r="F37" i="29"/>
  <c r="G37" i="29"/>
  <c r="H37" i="29"/>
  <c r="I37" i="29"/>
  <c r="J37" i="29"/>
  <c r="K37" i="29"/>
  <c r="L37" i="29"/>
  <c r="F38" i="29"/>
  <c r="G38" i="29"/>
  <c r="H38" i="29"/>
  <c r="I38" i="29"/>
  <c r="J38" i="29"/>
  <c r="K38" i="29"/>
  <c r="L38" i="29"/>
  <c r="F39" i="29"/>
  <c r="G39" i="29"/>
  <c r="H39" i="29"/>
  <c r="I39" i="29"/>
  <c r="J39" i="29"/>
  <c r="K39" i="29"/>
  <c r="L39" i="29"/>
  <c r="F40" i="29"/>
  <c r="G40" i="29"/>
  <c r="H40" i="29"/>
  <c r="I40" i="29"/>
  <c r="J40" i="29"/>
  <c r="K40" i="29"/>
  <c r="L40" i="29"/>
  <c r="F41" i="29"/>
  <c r="G41" i="29"/>
  <c r="H41" i="29"/>
  <c r="I41" i="29"/>
  <c r="J41" i="29"/>
  <c r="K41" i="29"/>
  <c r="L41" i="29"/>
  <c r="F42" i="29"/>
  <c r="G42" i="29"/>
  <c r="H42" i="29"/>
  <c r="I42" i="29"/>
  <c r="J42" i="29"/>
  <c r="K42" i="29"/>
  <c r="L42" i="29"/>
  <c r="F43" i="29"/>
  <c r="G43" i="29"/>
  <c r="H43" i="29"/>
  <c r="I43" i="29"/>
  <c r="J43" i="29"/>
  <c r="K43" i="29"/>
  <c r="L43" i="29"/>
  <c r="F44" i="29"/>
  <c r="G44" i="29"/>
  <c r="H44" i="29"/>
  <c r="I44" i="29"/>
  <c r="J44" i="29"/>
  <c r="K44" i="29"/>
  <c r="L44" i="29"/>
  <c r="F45" i="29"/>
  <c r="G45" i="29"/>
  <c r="H45" i="29"/>
  <c r="I45" i="29"/>
  <c r="J45" i="29"/>
  <c r="K45" i="29"/>
  <c r="L45" i="29"/>
  <c r="F46" i="29"/>
  <c r="G46" i="29"/>
  <c r="H46" i="29"/>
  <c r="I46" i="29"/>
  <c r="J46" i="29"/>
  <c r="K46" i="29"/>
  <c r="L46" i="29"/>
  <c r="F47" i="29"/>
  <c r="G47" i="29"/>
  <c r="H47" i="29"/>
  <c r="I47" i="29"/>
  <c r="J47" i="29"/>
  <c r="K47" i="29"/>
  <c r="L47" i="29"/>
  <c r="F48" i="29"/>
  <c r="G48" i="29"/>
  <c r="H48" i="29"/>
  <c r="I48" i="29"/>
  <c r="J48" i="29"/>
  <c r="K48" i="29"/>
  <c r="L48" i="29"/>
  <c r="F49" i="29"/>
  <c r="G49" i="29"/>
  <c r="H49" i="29"/>
  <c r="I49" i="29"/>
  <c r="J49" i="29"/>
  <c r="K49" i="29"/>
  <c r="L49" i="29"/>
  <c r="F50" i="29"/>
  <c r="G50" i="29"/>
  <c r="H50" i="29"/>
  <c r="I50" i="29"/>
  <c r="J50" i="29"/>
  <c r="K50" i="29"/>
  <c r="L50" i="29"/>
  <c r="F51" i="29"/>
  <c r="G51" i="29"/>
  <c r="H51" i="29"/>
  <c r="I51" i="29"/>
  <c r="J51" i="29"/>
  <c r="K51" i="29"/>
  <c r="L51" i="29"/>
  <c r="F52" i="29"/>
  <c r="G52" i="29"/>
  <c r="H52" i="29"/>
  <c r="I52" i="29"/>
  <c r="J52" i="29"/>
  <c r="K52" i="29"/>
  <c r="L52" i="29"/>
  <c r="F53" i="29"/>
  <c r="G53" i="29"/>
  <c r="H53" i="29"/>
  <c r="I53" i="29"/>
  <c r="J53" i="29"/>
  <c r="K53" i="29"/>
  <c r="L53" i="29"/>
  <c r="F54" i="29"/>
  <c r="G54" i="29"/>
  <c r="H54" i="29"/>
  <c r="I54" i="29"/>
  <c r="J54" i="29"/>
  <c r="K54" i="29"/>
  <c r="L54" i="29"/>
  <c r="F55" i="29"/>
  <c r="G55" i="29"/>
  <c r="H55" i="29"/>
  <c r="I55" i="29"/>
  <c r="J55" i="29"/>
  <c r="K55" i="29"/>
  <c r="L55" i="29"/>
  <c r="F56" i="29"/>
  <c r="G56" i="29"/>
  <c r="H56" i="29"/>
  <c r="I56" i="29"/>
  <c r="J56" i="29"/>
  <c r="K56" i="29"/>
  <c r="L56" i="29"/>
  <c r="F57" i="29"/>
  <c r="G57" i="29"/>
  <c r="H57" i="29"/>
  <c r="I57" i="29"/>
  <c r="J57" i="29"/>
  <c r="K57" i="29"/>
  <c r="L57" i="29"/>
  <c r="F58" i="29"/>
  <c r="G58" i="29"/>
  <c r="H58" i="29"/>
  <c r="I58" i="29"/>
  <c r="J58" i="29"/>
  <c r="K58" i="29"/>
  <c r="L58" i="29"/>
  <c r="F59" i="29"/>
  <c r="G59" i="29"/>
  <c r="H59" i="29"/>
  <c r="I59" i="29"/>
  <c r="J59" i="29"/>
  <c r="K59" i="29"/>
  <c r="L59" i="29"/>
  <c r="F60" i="29"/>
  <c r="G60" i="29"/>
  <c r="H60" i="29"/>
  <c r="I60" i="29"/>
  <c r="J60" i="29"/>
  <c r="K60" i="29"/>
  <c r="L60" i="29"/>
  <c r="F61" i="29"/>
  <c r="G61" i="29"/>
  <c r="H61" i="29"/>
  <c r="I61" i="29"/>
  <c r="J61" i="29"/>
  <c r="K61" i="29"/>
  <c r="L61" i="29"/>
  <c r="F62" i="29"/>
  <c r="G62" i="29"/>
  <c r="H62" i="29"/>
  <c r="I62" i="29"/>
  <c r="J62" i="29"/>
  <c r="K62" i="29"/>
  <c r="L62" i="29"/>
  <c r="F63" i="29"/>
  <c r="G63" i="29"/>
  <c r="H63" i="29"/>
  <c r="I63" i="29"/>
  <c r="J63" i="29"/>
  <c r="K63" i="29"/>
  <c r="L63" i="29"/>
  <c r="F64" i="29"/>
  <c r="G64" i="29"/>
  <c r="H64" i="29"/>
  <c r="I64" i="29"/>
  <c r="J64" i="29"/>
  <c r="K64" i="29"/>
  <c r="L64" i="29"/>
  <c r="F65" i="29"/>
  <c r="G65" i="29"/>
  <c r="H65" i="29"/>
  <c r="I65" i="29"/>
  <c r="J65" i="29"/>
  <c r="K65" i="29"/>
  <c r="L65" i="29"/>
  <c r="F66" i="29"/>
  <c r="G66" i="29"/>
  <c r="H66" i="29"/>
  <c r="I66" i="29"/>
  <c r="J66" i="29"/>
  <c r="K66" i="29"/>
  <c r="L66" i="29"/>
  <c r="F67" i="29"/>
  <c r="G67" i="29"/>
  <c r="H67" i="29"/>
  <c r="I67" i="29"/>
  <c r="J67" i="29"/>
  <c r="K67" i="29"/>
  <c r="L67" i="29"/>
  <c r="F68" i="29"/>
  <c r="G68" i="29"/>
  <c r="H68" i="29"/>
  <c r="I68" i="29"/>
  <c r="J68" i="29"/>
  <c r="K68" i="29"/>
  <c r="L68" i="29"/>
  <c r="F69" i="29"/>
  <c r="G69" i="29"/>
  <c r="H69" i="29"/>
  <c r="I69" i="29"/>
  <c r="J69" i="29"/>
  <c r="K69" i="29"/>
  <c r="L69" i="29"/>
  <c r="F70" i="29"/>
  <c r="G70" i="29"/>
  <c r="H70" i="29"/>
  <c r="I70" i="29"/>
  <c r="J70" i="29"/>
  <c r="K70" i="29"/>
  <c r="L70" i="29"/>
  <c r="F71" i="29"/>
  <c r="G71" i="29"/>
  <c r="H71" i="29"/>
  <c r="I71" i="29"/>
  <c r="J71" i="29"/>
  <c r="K71" i="29"/>
  <c r="L71" i="29"/>
  <c r="F72" i="29"/>
  <c r="G72" i="29"/>
  <c r="H72" i="29"/>
  <c r="I72" i="29"/>
  <c r="J72" i="29"/>
  <c r="K72" i="29"/>
  <c r="L72" i="29"/>
  <c r="F73" i="29"/>
  <c r="G73" i="29"/>
  <c r="H73" i="29"/>
  <c r="I73" i="29"/>
  <c r="J73" i="29"/>
  <c r="K73" i="29"/>
  <c r="L73" i="29"/>
  <c r="F74" i="29"/>
  <c r="G74" i="29"/>
  <c r="H74" i="29"/>
  <c r="I74" i="29"/>
  <c r="J74" i="29"/>
  <c r="K74" i="29"/>
  <c r="L74" i="29"/>
  <c r="F75" i="29"/>
  <c r="G75" i="29"/>
  <c r="H75" i="29"/>
  <c r="I75" i="29"/>
  <c r="J75" i="29"/>
  <c r="K75" i="29"/>
  <c r="L75" i="29"/>
  <c r="F76" i="29"/>
  <c r="G76" i="29"/>
  <c r="H76" i="29"/>
  <c r="I76" i="29"/>
  <c r="J76" i="29"/>
  <c r="K76" i="29"/>
  <c r="L76" i="29"/>
  <c r="F77" i="29"/>
  <c r="G77" i="29"/>
  <c r="H77" i="29"/>
  <c r="I77" i="29"/>
  <c r="J77" i="29"/>
  <c r="K77" i="29"/>
  <c r="L77" i="29"/>
  <c r="F78" i="29"/>
  <c r="G78" i="29"/>
  <c r="H78" i="29"/>
  <c r="I78" i="29"/>
  <c r="J78" i="29"/>
  <c r="K78" i="29"/>
  <c r="L78" i="29"/>
  <c r="F79" i="29"/>
  <c r="G79" i="29"/>
  <c r="H79" i="29"/>
  <c r="I79" i="29"/>
  <c r="J79" i="29"/>
  <c r="K79" i="29"/>
  <c r="L79" i="29"/>
  <c r="F80" i="29"/>
  <c r="G80" i="29"/>
  <c r="H80" i="29"/>
  <c r="I80" i="29"/>
  <c r="J80" i="29"/>
  <c r="K80" i="29"/>
  <c r="L80" i="29"/>
  <c r="F81" i="29"/>
  <c r="G81" i="29"/>
  <c r="H81" i="29"/>
  <c r="I81" i="29"/>
  <c r="J81" i="29"/>
  <c r="K81" i="29"/>
  <c r="L81" i="29"/>
  <c r="F82" i="29"/>
  <c r="G82" i="29"/>
  <c r="H82" i="29"/>
  <c r="I82" i="29"/>
  <c r="J82" i="29"/>
  <c r="K82" i="29"/>
  <c r="L82" i="29"/>
  <c r="AN18" i="29"/>
  <c r="AN17" i="29"/>
  <c r="AN16" i="29"/>
  <c r="R82" i="29"/>
  <c r="S82" i="29" s="1"/>
  <c r="K85" i="30" s="1"/>
  <c r="R81" i="29"/>
  <c r="S81" i="29" s="1"/>
  <c r="K84" i="30" s="1"/>
  <c r="R80" i="29"/>
  <c r="S80" i="29" s="1"/>
  <c r="K83" i="30" s="1"/>
  <c r="R79" i="29"/>
  <c r="S79" i="29" s="1"/>
  <c r="K82" i="30" s="1"/>
  <c r="R78" i="29"/>
  <c r="S78" i="29" s="1"/>
  <c r="K81" i="30" s="1"/>
  <c r="R77" i="29"/>
  <c r="S77" i="29" s="1"/>
  <c r="K80" i="30" s="1"/>
  <c r="R76" i="29"/>
  <c r="S76" i="29" s="1"/>
  <c r="K79" i="30" s="1"/>
  <c r="R75" i="29"/>
  <c r="S75" i="29" s="1"/>
  <c r="K78" i="30" s="1"/>
  <c r="R74" i="29"/>
  <c r="S74" i="29" s="1"/>
  <c r="K77" i="30" s="1"/>
  <c r="R73" i="29"/>
  <c r="S73" i="29" s="1"/>
  <c r="K76" i="30" s="1"/>
  <c r="R72" i="29"/>
  <c r="S72" i="29" s="1"/>
  <c r="K75" i="30" s="1"/>
  <c r="R71" i="29"/>
  <c r="S71" i="29" s="1"/>
  <c r="K74" i="30" s="1"/>
  <c r="R70" i="29"/>
  <c r="S70" i="29" s="1"/>
  <c r="K73" i="30" s="1"/>
  <c r="R69" i="29"/>
  <c r="S69" i="29" s="1"/>
  <c r="K72" i="30" s="1"/>
  <c r="R68" i="29"/>
  <c r="S68" i="29" s="1"/>
  <c r="K71" i="30" s="1"/>
  <c r="R67" i="29"/>
  <c r="S67" i="29" s="1"/>
  <c r="K70" i="30" s="1"/>
  <c r="R66" i="29"/>
  <c r="S66" i="29" s="1"/>
  <c r="K69" i="30" s="1"/>
  <c r="R65" i="29"/>
  <c r="S65" i="29" s="1"/>
  <c r="K68" i="30" s="1"/>
  <c r="R64" i="29"/>
  <c r="S64" i="29" s="1"/>
  <c r="K67" i="30" s="1"/>
  <c r="R63" i="29"/>
  <c r="S63" i="29" s="1"/>
  <c r="K66" i="30" s="1"/>
  <c r="R62" i="29"/>
  <c r="S62" i="29" s="1"/>
  <c r="K65" i="30" s="1"/>
  <c r="R61" i="29"/>
  <c r="S61" i="29" s="1"/>
  <c r="K64" i="30" s="1"/>
  <c r="R60" i="29"/>
  <c r="S60" i="29" s="1"/>
  <c r="K63" i="30" s="1"/>
  <c r="R59" i="29"/>
  <c r="S59" i="29" s="1"/>
  <c r="K62" i="30" s="1"/>
  <c r="R58" i="29"/>
  <c r="S58" i="29" s="1"/>
  <c r="K61" i="30" s="1"/>
  <c r="R57" i="29"/>
  <c r="S57" i="29" s="1"/>
  <c r="K60" i="30" s="1"/>
  <c r="R56" i="29"/>
  <c r="S56" i="29" s="1"/>
  <c r="K59" i="30" s="1"/>
  <c r="R55" i="29"/>
  <c r="S55" i="29" s="1"/>
  <c r="K58" i="30" s="1"/>
  <c r="R54" i="29"/>
  <c r="S54" i="29" s="1"/>
  <c r="K57" i="30" s="1"/>
  <c r="R53" i="29"/>
  <c r="S53" i="29" s="1"/>
  <c r="K56" i="30" s="1"/>
  <c r="R52" i="29"/>
  <c r="S52" i="29" s="1"/>
  <c r="K55" i="30" s="1"/>
  <c r="R51" i="29"/>
  <c r="S51" i="29" s="1"/>
  <c r="K54" i="30" s="1"/>
  <c r="R50" i="29"/>
  <c r="S50" i="29" s="1"/>
  <c r="K53" i="30" s="1"/>
  <c r="R49" i="29"/>
  <c r="S49" i="29" s="1"/>
  <c r="K52" i="30" s="1"/>
  <c r="R48" i="29"/>
  <c r="S48" i="29" s="1"/>
  <c r="K51" i="30" s="1"/>
  <c r="R47" i="29"/>
  <c r="S47" i="29" s="1"/>
  <c r="K50" i="30" s="1"/>
  <c r="R46" i="29"/>
  <c r="S46" i="29" s="1"/>
  <c r="K49" i="30" s="1"/>
  <c r="R45" i="29"/>
  <c r="S45" i="29" s="1"/>
  <c r="K48" i="30" s="1"/>
  <c r="R44" i="29"/>
  <c r="S44" i="29" s="1"/>
  <c r="K47" i="30" s="1"/>
  <c r="R43" i="29"/>
  <c r="S43" i="29" s="1"/>
  <c r="K46" i="30" s="1"/>
  <c r="R42" i="29"/>
  <c r="S42" i="29" s="1"/>
  <c r="K45" i="30" s="1"/>
  <c r="R41" i="29"/>
  <c r="S41" i="29" s="1"/>
  <c r="K44" i="30" s="1"/>
  <c r="R40" i="29"/>
  <c r="S40" i="29" s="1"/>
  <c r="K43" i="30" s="1"/>
  <c r="R39" i="29"/>
  <c r="S39" i="29" s="1"/>
  <c r="K42" i="30" s="1"/>
  <c r="R38" i="29"/>
  <c r="S38" i="29" s="1"/>
  <c r="K41" i="30" s="1"/>
  <c r="R37" i="29"/>
  <c r="S37" i="29" s="1"/>
  <c r="K40" i="30" s="1"/>
  <c r="R36" i="29"/>
  <c r="S36" i="29" s="1"/>
  <c r="K39" i="30" s="1"/>
  <c r="R35" i="29"/>
  <c r="S35" i="29" s="1"/>
  <c r="K38" i="30" s="1"/>
  <c r="R34" i="29"/>
  <c r="S34" i="29" s="1"/>
  <c r="K37" i="30" s="1"/>
  <c r="R33" i="29"/>
  <c r="S33" i="29" s="1"/>
  <c r="K36" i="30" s="1"/>
  <c r="R32" i="29"/>
  <c r="S32" i="29" s="1"/>
  <c r="K35" i="30" s="1"/>
  <c r="R31" i="29"/>
  <c r="S31" i="29" s="1"/>
  <c r="K34" i="30" s="1"/>
  <c r="R30" i="29"/>
  <c r="S30" i="29" s="1"/>
  <c r="K33" i="30" s="1"/>
  <c r="R29" i="29"/>
  <c r="S29" i="29" s="1"/>
  <c r="K32" i="30" s="1"/>
  <c r="R28" i="29"/>
  <c r="S28" i="29" s="1"/>
  <c r="K31" i="30" s="1"/>
  <c r="R27" i="29"/>
  <c r="S27" i="29" s="1"/>
  <c r="K30" i="30" s="1"/>
  <c r="R26" i="29"/>
  <c r="S26" i="29" s="1"/>
  <c r="K29" i="30" s="1"/>
  <c r="R25" i="29"/>
  <c r="S25" i="29" s="1"/>
  <c r="K28" i="30" s="1"/>
  <c r="R24" i="29"/>
  <c r="S24" i="29" s="1"/>
  <c r="K27" i="30" s="1"/>
  <c r="R23" i="29"/>
  <c r="S23" i="29" s="1"/>
  <c r="K26" i="30" s="1"/>
  <c r="R22" i="29"/>
  <c r="S22" i="29" s="1"/>
  <c r="K25" i="30" s="1"/>
  <c r="R21" i="29"/>
  <c r="S21" i="29" s="1"/>
  <c r="K24" i="30" s="1"/>
  <c r="R20" i="29"/>
  <c r="S20" i="29" s="1"/>
  <c r="K23" i="30" s="1"/>
  <c r="R19" i="29"/>
  <c r="S19" i="29" s="1"/>
  <c r="K22" i="30" s="1"/>
  <c r="R18" i="29"/>
  <c r="S18" i="29" s="1"/>
  <c r="K21" i="30" s="1"/>
  <c r="R17" i="29"/>
  <c r="S17" i="29" s="1"/>
  <c r="K20" i="30" s="1"/>
  <c r="R16" i="29"/>
  <c r="S16" i="29" s="1"/>
  <c r="K19" i="30" s="1"/>
  <c r="R15" i="29"/>
  <c r="S15" i="29" s="1"/>
  <c r="K18" i="30" s="1"/>
  <c r="R14" i="29"/>
  <c r="S14" i="29" s="1"/>
  <c r="K17" i="30" s="1"/>
  <c r="R13" i="29"/>
  <c r="S13" i="29" s="1"/>
  <c r="K16" i="30" s="1"/>
  <c r="R12" i="29"/>
  <c r="S12" i="29" s="1"/>
  <c r="K15" i="30" s="1"/>
  <c r="R11" i="29"/>
  <c r="S11" i="29" s="1"/>
  <c r="K14" i="30" s="1"/>
  <c r="R10" i="29"/>
  <c r="S10" i="29" s="1"/>
  <c r="K13" i="30" s="1"/>
  <c r="R9" i="29"/>
  <c r="S9" i="29" s="1"/>
  <c r="K12" i="30" s="1"/>
  <c r="R8" i="29"/>
  <c r="S8" i="29" s="1"/>
  <c r="K11" i="30" s="1"/>
  <c r="R7" i="29"/>
  <c r="S7" i="29" s="1"/>
  <c r="K10" i="30" s="1"/>
  <c r="R6" i="29"/>
  <c r="S6" i="29" s="1"/>
  <c r="K9" i="30" s="1"/>
  <c r="R5" i="29"/>
  <c r="S5" i="29" s="1"/>
  <c r="K8" i="30" s="1"/>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K66" i="6"/>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8" i="28"/>
  <c r="B48" i="28"/>
  <c r="C48" i="28"/>
  <c r="D48" i="28"/>
  <c r="E48" i="28"/>
  <c r="H48" i="28"/>
  <c r="I48"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E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K58" i="6"/>
  <c r="K57" i="6"/>
  <c r="K56" i="6"/>
  <c r="K50" i="6"/>
  <c r="Z83" i="6"/>
  <c r="AA83" i="6"/>
  <c r="AB83" i="6"/>
  <c r="AC83" i="6"/>
  <c r="AD83" i="6"/>
  <c r="AE83" i="6"/>
  <c r="AF83" i="6"/>
  <c r="AG83" i="6"/>
  <c r="AH83" i="6"/>
  <c r="AI83" i="6"/>
  <c r="AJ83" i="6"/>
  <c r="AK83" i="6"/>
  <c r="AK82" i="6"/>
  <c r="Z82" i="6"/>
  <c r="AA72" i="6"/>
  <c r="AC71" i="6"/>
  <c r="Z69" i="6"/>
  <c r="AB68" i="6"/>
  <c r="AA68" i="6"/>
  <c r="Z68" i="6"/>
  <c r="Z60" i="6"/>
  <c r="AK58" i="6"/>
  <c r="AJ58" i="6"/>
  <c r="AI58" i="6"/>
  <c r="AH58" i="6"/>
  <c r="AG58" i="6"/>
  <c r="AF58" i="6"/>
  <c r="AE58" i="6"/>
  <c r="AD58" i="6"/>
  <c r="AC58" i="6"/>
  <c r="AB58" i="6"/>
  <c r="AA58" i="6"/>
  <c r="Z58" i="6"/>
  <c r="AK57" i="6"/>
  <c r="AJ57" i="6"/>
  <c r="AI57" i="6"/>
  <c r="AH57" i="6"/>
  <c r="AG57" i="6"/>
  <c r="AF57" i="6"/>
  <c r="AE57" i="6"/>
  <c r="AD57" i="6"/>
  <c r="AC57" i="6"/>
  <c r="AB57" i="6"/>
  <c r="AA57" i="6"/>
  <c r="Z57" i="6"/>
  <c r="AK56" i="6"/>
  <c r="AJ56" i="6"/>
  <c r="AI56" i="6"/>
  <c r="AH56" i="6"/>
  <c r="AG56" i="6"/>
  <c r="AF56" i="6"/>
  <c r="AE56" i="6"/>
  <c r="AD56" i="6"/>
  <c r="AC56" i="6"/>
  <c r="AB56" i="6"/>
  <c r="AA56" i="6"/>
  <c r="Z56" i="6"/>
  <c r="AA54" i="6"/>
  <c r="AA53" i="6"/>
  <c r="Z53" i="6"/>
  <c r="AK52" i="6"/>
  <c r="AJ52" i="6"/>
  <c r="AI52" i="6"/>
  <c r="AH52" i="6"/>
  <c r="AG52" i="6"/>
  <c r="AF52" i="6"/>
  <c r="AE52" i="6"/>
  <c r="AD52" i="6"/>
  <c r="AC52" i="6"/>
  <c r="AB52" i="6"/>
  <c r="AA52" i="6"/>
  <c r="Z52" i="6"/>
  <c r="AA51" i="6"/>
  <c r="Z51" i="6"/>
  <c r="AK50" i="6"/>
  <c r="AJ50" i="6"/>
  <c r="AI50" i="6"/>
  <c r="AH50" i="6"/>
  <c r="AG50" i="6"/>
  <c r="AF50" i="6"/>
  <c r="AE50" i="6"/>
  <c r="AD50" i="6"/>
  <c r="AC50" i="6"/>
  <c r="AB50" i="6"/>
  <c r="AA50" i="6"/>
  <c r="Z50" i="6"/>
  <c r="AA49" i="6"/>
  <c r="Z49" i="6"/>
  <c r="AC48" i="6"/>
  <c r="AA48" i="6"/>
  <c r="AA46" i="6"/>
  <c r="AA45" i="6"/>
  <c r="Z45" i="6"/>
  <c r="AA43" i="6"/>
  <c r="Z43" i="6"/>
  <c r="AC42" i="6"/>
  <c r="AB42" i="6"/>
  <c r="AA42" i="6"/>
  <c r="Z42" i="6"/>
  <c r="Z41" i="6"/>
  <c r="Z37" i="6"/>
  <c r="AC34" i="6"/>
  <c r="AA34" i="6"/>
  <c r="AC24" i="6"/>
  <c r="Z23" i="6"/>
  <c r="AB22" i="6"/>
  <c r="AA22" i="6"/>
  <c r="Z22" i="6"/>
  <c r="AD21" i="6"/>
  <c r="AB19" i="6"/>
  <c r="AA19" i="6"/>
  <c r="Z17" i="6"/>
  <c r="AB16" i="6"/>
  <c r="AA16" i="6"/>
  <c r="Z16" i="6"/>
  <c r="AC15" i="6"/>
  <c r="AA12" i="6"/>
  <c r="AA11" i="6"/>
  <c r="AC10" i="6"/>
  <c r="AB10" i="6"/>
  <c r="AA10" i="6"/>
  <c r="Z10" i="6"/>
  <c r="Z9" i="6"/>
  <c r="Z7" i="6"/>
  <c r="Z6" i="6"/>
  <c r="AK5" i="6"/>
  <c r="AJ5" i="6"/>
  <c r="AI5" i="6"/>
  <c r="AH5" i="6"/>
  <c r="AG5" i="6"/>
  <c r="AF5" i="6"/>
  <c r="AE5" i="6"/>
  <c r="AD5" i="6"/>
  <c r="AC5" i="6"/>
  <c r="AB5" i="6"/>
  <c r="AA5" i="6"/>
  <c r="Z5" i="6"/>
  <c r="T13" i="25"/>
  <c r="N13" i="25"/>
  <c r="H13" i="25"/>
  <c r="B13" i="25"/>
  <c r="H68" i="25"/>
  <c r="F68" i="25"/>
  <c r="E68" i="25"/>
  <c r="D68" i="25"/>
  <c r="H67" i="25"/>
  <c r="F67" i="25"/>
  <c r="E67" i="25"/>
  <c r="D67" i="25"/>
  <c r="H66" i="25"/>
  <c r="F66" i="25"/>
  <c r="E66" i="25"/>
  <c r="D66" i="25"/>
  <c r="H65" i="25"/>
  <c r="F65" i="25"/>
  <c r="E65" i="25"/>
  <c r="D65" i="25"/>
  <c r="G65" i="25" s="1"/>
  <c r="H64" i="25"/>
  <c r="F64" i="25"/>
  <c r="E64" i="25"/>
  <c r="D64" i="25"/>
  <c r="Y56" i="6"/>
  <c r="X56" i="6"/>
  <c r="W56" i="6"/>
  <c r="V56" i="6"/>
  <c r="U56" i="6"/>
  <c r="T56" i="6"/>
  <c r="S56" i="6"/>
  <c r="R56" i="6"/>
  <c r="Q56" i="6"/>
  <c r="P56" i="6"/>
  <c r="O56" i="6"/>
  <c r="N56" i="6"/>
  <c r="M56" i="6"/>
  <c r="L56" i="6"/>
  <c r="Y52" i="6"/>
  <c r="X52" i="6"/>
  <c r="W52" i="6"/>
  <c r="V52" i="6"/>
  <c r="U52" i="6"/>
  <c r="T52" i="6"/>
  <c r="S52" i="6"/>
  <c r="R52" i="6"/>
  <c r="Q52" i="6"/>
  <c r="P52" i="6"/>
  <c r="O52" i="6"/>
  <c r="N52" i="6"/>
  <c r="M52" i="6"/>
  <c r="L52" i="6"/>
  <c r="K52" i="6"/>
  <c r="Y50" i="6"/>
  <c r="X50" i="6"/>
  <c r="W50" i="6"/>
  <c r="V50" i="6"/>
  <c r="U50" i="6"/>
  <c r="T50" i="6"/>
  <c r="S50" i="6"/>
  <c r="R50" i="6"/>
  <c r="Q50" i="6"/>
  <c r="P50" i="6"/>
  <c r="O50" i="6"/>
  <c r="N50" i="6"/>
  <c r="M50" i="6"/>
  <c r="L50" i="6"/>
  <c r="B7" i="25"/>
  <c r="AB37" i="25"/>
  <c r="AB36" i="25"/>
  <c r="AB35" i="25"/>
  <c r="AB34" i="25"/>
  <c r="AB38" i="25" s="1"/>
  <c r="AB30" i="25"/>
  <c r="AB29" i="25"/>
  <c r="AB28" i="25"/>
  <c r="AB27" i="25"/>
  <c r="AB26" i="25"/>
  <c r="AB31" i="25" s="1"/>
  <c r="AB22" i="25"/>
  <c r="AB21" i="25"/>
  <c r="AB20" i="25"/>
  <c r="AB19" i="25"/>
  <c r="AB23" i="25" s="1"/>
  <c r="AB16" i="25"/>
  <c r="AB15" i="25"/>
  <c r="AB14" i="25"/>
  <c r="AB13" i="25"/>
  <c r="AB10" i="25"/>
  <c r="AB9" i="25"/>
  <c r="AB8" i="25"/>
  <c r="AB4" i="25"/>
  <c r="H7" i="25" s="1"/>
  <c r="AB3" i="25"/>
  <c r="N7" i="25" s="1"/>
  <c r="AB2" i="25"/>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Y5" i="6"/>
  <c r="X5" i="6"/>
  <c r="W5" i="6"/>
  <c r="V5" i="6"/>
  <c r="U5" i="6"/>
  <c r="T5" i="6"/>
  <c r="S5" i="6"/>
  <c r="R5" i="6"/>
  <c r="Q5" i="6"/>
  <c r="P5" i="6"/>
  <c r="O5" i="6"/>
  <c r="N5" i="6"/>
  <c r="M5" i="6"/>
  <c r="L5" i="6"/>
  <c r="K5" i="6"/>
  <c r="AN229" i="9" a="1"/>
  <c r="AN229" i="9"/>
  <c r="AN228" i="9" a="1"/>
  <c r="AN228" i="9"/>
  <c r="AN227" i="9" a="1"/>
  <c r="AN227" i="9"/>
  <c r="AN226" i="9" a="1"/>
  <c r="AN226" i="9"/>
  <c r="AN225" i="9" a="1"/>
  <c r="AN225" i="9"/>
  <c r="AN224" i="9" a="1"/>
  <c r="AN224" i="9"/>
  <c r="AN223" i="9" a="1"/>
  <c r="AN223" i="9"/>
  <c r="AN222" i="9" a="1"/>
  <c r="AN222" i="9"/>
  <c r="AN221" i="9" a="1"/>
  <c r="AN221" i="9"/>
  <c r="AN220" i="9" a="1"/>
  <c r="AN220" i="9"/>
  <c r="AN219" i="9" a="1"/>
  <c r="AN219" i="9"/>
  <c r="AN218" i="9" a="1"/>
  <c r="AN218" i="9"/>
  <c r="AN217" i="9" a="1"/>
  <c r="AN217" i="9"/>
  <c r="AN216" i="9" a="1"/>
  <c r="AN216" i="9"/>
  <c r="AN215" i="9" a="1"/>
  <c r="AN215" i="9"/>
  <c r="AN214" i="9" a="1"/>
  <c r="AN214" i="9"/>
  <c r="AN213" i="9" a="1"/>
  <c r="AN213" i="9"/>
  <c r="AN212" i="9" a="1"/>
  <c r="AN212" i="9"/>
  <c r="AN211" i="9" a="1"/>
  <c r="AN211" i="9"/>
  <c r="AN210" i="9" a="1"/>
  <c r="AN210" i="9"/>
  <c r="AN209" i="9" a="1"/>
  <c r="AN209" i="9"/>
  <c r="AN208" i="9" a="1"/>
  <c r="AN208" i="9"/>
  <c r="AN207" i="9" a="1"/>
  <c r="AN207" i="9"/>
  <c r="AN206" i="9" a="1"/>
  <c r="AN206" i="9"/>
  <c r="AN186" i="9" a="1"/>
  <c r="AN186" i="9"/>
  <c r="AN161" i="9" a="1"/>
  <c r="AN161" i="9"/>
  <c r="AN150" i="9" a="1"/>
  <c r="AN150" i="9"/>
  <c r="AN149" i="9" a="1"/>
  <c r="AN149" i="9"/>
  <c r="AN133" i="9" a="1"/>
  <c r="AN133" i="9"/>
  <c r="AN132" i="9" a="1"/>
  <c r="AN132" i="9"/>
  <c r="AN131" i="9" a="1"/>
  <c r="AN131" i="9"/>
  <c r="AN130" i="9" a="1"/>
  <c r="AN130" i="9"/>
  <c r="AN129" i="9" a="1"/>
  <c r="AN129" i="9"/>
  <c r="AN128" i="9" a="1"/>
  <c r="AN128" i="9"/>
  <c r="AN127" i="9" a="1"/>
  <c r="AN127" i="9"/>
  <c r="AN126" i="9" a="1"/>
  <c r="AN126" i="9"/>
  <c r="AN125" i="9" a="1"/>
  <c r="AN125" i="9"/>
  <c r="AN123" i="9" a="1"/>
  <c r="AN123" i="9"/>
  <c r="AN122" i="9" a="1"/>
  <c r="AN122" i="9"/>
  <c r="AN121" i="9" a="1"/>
  <c r="AN121" i="9"/>
  <c r="AN120" i="9" a="1"/>
  <c r="AN120" i="9"/>
  <c r="AN119" i="9" a="1"/>
  <c r="AN119" i="9"/>
  <c r="AN118" i="9" a="1"/>
  <c r="AN118" i="9"/>
  <c r="AN117" i="9" a="1"/>
  <c r="AN117" i="9"/>
  <c r="AN116" i="9" a="1"/>
  <c r="AN116" i="9"/>
  <c r="AN115" i="9" a="1"/>
  <c r="AN115" i="9"/>
  <c r="AN114" i="9" a="1"/>
  <c r="AN114" i="9"/>
  <c r="AN113" i="9" a="1"/>
  <c r="AN113" i="9"/>
  <c r="AN112" i="9" a="1"/>
  <c r="AN112" i="9"/>
  <c r="AN111" i="9" a="1"/>
  <c r="AN111" i="9"/>
  <c r="AN110" i="9" a="1"/>
  <c r="AN110" i="9"/>
  <c r="AN109" i="9" a="1"/>
  <c r="AN109" i="9"/>
  <c r="AN108" i="9" a="1"/>
  <c r="AN108" i="9"/>
  <c r="AN107" i="9" a="1"/>
  <c r="AN107" i="9"/>
  <c r="AN106" i="9" a="1"/>
  <c r="AN106" i="9"/>
  <c r="AN105" i="9" a="1"/>
  <c r="AN105" i="9"/>
  <c r="AN104" i="9" a="1"/>
  <c r="AN104" i="9"/>
  <c r="AN103" i="9" a="1"/>
  <c r="AN103" i="9"/>
  <c r="AN102" i="9" a="1"/>
  <c r="AN102" i="9"/>
  <c r="AN101" i="9" a="1"/>
  <c r="AN101" i="9"/>
  <c r="AN99" i="9" a="1"/>
  <c r="AN99" i="9"/>
  <c r="AN98" i="9" a="1"/>
  <c r="AN98" i="9"/>
  <c r="AN97" i="9" a="1"/>
  <c r="AN97" i="9"/>
  <c r="AN96" i="9" a="1"/>
  <c r="AN96" i="9"/>
  <c r="AN95" i="9" a="1"/>
  <c r="AN95" i="9"/>
  <c r="AN94" i="9" a="1"/>
  <c r="AN94" i="9"/>
  <c r="AN93" i="9" a="1"/>
  <c r="AN93" i="9"/>
  <c r="AN92" i="9" a="1"/>
  <c r="AN92" i="9"/>
  <c r="AN91" i="9" a="1"/>
  <c r="AN91" i="9"/>
  <c r="AN90" i="9" a="1"/>
  <c r="AN90" i="9"/>
  <c r="AN89" i="9" a="1"/>
  <c r="AN89" i="9"/>
  <c r="AN88" i="9" a="1"/>
  <c r="AN88" i="9"/>
  <c r="AN87" i="9" a="1"/>
  <c r="AN87" i="9"/>
  <c r="AN86" i="9" a="1"/>
  <c r="AN86" i="9"/>
  <c r="AN85" i="9" a="1"/>
  <c r="AN85" i="9"/>
  <c r="AN84" i="9" a="1"/>
  <c r="AN84" i="9"/>
  <c r="AN83" i="9" a="1"/>
  <c r="AN83" i="9"/>
  <c r="AN82" i="9" a="1"/>
  <c r="AN82" i="9"/>
  <c r="AN81" i="9" a="1"/>
  <c r="AN81" i="9"/>
  <c r="AN80" i="9" a="1"/>
  <c r="AN80" i="9"/>
  <c r="AN79" i="9" a="1"/>
  <c r="AN79" i="9"/>
  <c r="AN78" i="9" a="1"/>
  <c r="AN78" i="9"/>
  <c r="AN77" i="9" a="1"/>
  <c r="AN77" i="9"/>
  <c r="AN76" i="9" a="1"/>
  <c r="AN76" i="9"/>
  <c r="AN75" i="9" a="1"/>
  <c r="AN75" i="9"/>
  <c r="AN74" i="9" a="1"/>
  <c r="AN74" i="9"/>
  <c r="AN73" i="9" a="1"/>
  <c r="AN73" i="9"/>
  <c r="AN72" i="9" a="1"/>
  <c r="AN72" i="9"/>
  <c r="AN71" i="9" a="1"/>
  <c r="AN71" i="9"/>
  <c r="AN70" i="9" a="1"/>
  <c r="AN70" i="9"/>
  <c r="AN69" i="9" a="1"/>
  <c r="AN69" i="9"/>
  <c r="AN68" i="9" a="1"/>
  <c r="AN68" i="9"/>
  <c r="AN67" i="9" a="1"/>
  <c r="AN67" i="9"/>
  <c r="AN66" i="9" a="1"/>
  <c r="AN66" i="9"/>
  <c r="AN65" i="9" a="1"/>
  <c r="AN65" i="9"/>
  <c r="AN64" i="9" a="1"/>
  <c r="AN64" i="9"/>
  <c r="AN63" i="9" a="1"/>
  <c r="AN63" i="9"/>
  <c r="AN62" i="9" a="1"/>
  <c r="AN62" i="9"/>
  <c r="AN61" i="9" a="1"/>
  <c r="AN61" i="9"/>
  <c r="AN60" i="9" a="1"/>
  <c r="AN60" i="9"/>
  <c r="AN59" i="9" a="1"/>
  <c r="AN59" i="9"/>
  <c r="AN58" i="9" a="1"/>
  <c r="AN58" i="9"/>
  <c r="AN57" i="9" a="1"/>
  <c r="AN57" i="9"/>
  <c r="AN56" i="9" a="1"/>
  <c r="AN56" i="9"/>
  <c r="AN55" i="9" a="1"/>
  <c r="AN55" i="9"/>
  <c r="AN54" i="9" a="1"/>
  <c r="AN54" i="9"/>
  <c r="AN53" i="9" a="1"/>
  <c r="AN53" i="9"/>
  <c r="AN52" i="9" a="1"/>
  <c r="AN52" i="9"/>
  <c r="AN51" i="9" a="1"/>
  <c r="AN51" i="9"/>
  <c r="AN50" i="9" a="1"/>
  <c r="AN50" i="9"/>
  <c r="AN49" i="9" a="1"/>
  <c r="AN49" i="9"/>
  <c r="AN48" i="9" a="1"/>
  <c r="AN48" i="9"/>
  <c r="AN47" i="9" a="1"/>
  <c r="AN47" i="9"/>
  <c r="AN46" i="9" a="1"/>
  <c r="AN46" i="9"/>
  <c r="AN45" i="9" a="1"/>
  <c r="AN45" i="9"/>
  <c r="AN44" i="9" a="1"/>
  <c r="AN44" i="9"/>
  <c r="AN43" i="9" a="1"/>
  <c r="AN43" i="9"/>
  <c r="AN42" i="9" a="1"/>
  <c r="AN42" i="9"/>
  <c r="AN41" i="9" a="1"/>
  <c r="AN41" i="9"/>
  <c r="AN40" i="9" a="1"/>
  <c r="AN40" i="9"/>
  <c r="AN39" i="9" a="1"/>
  <c r="AN39" i="9"/>
  <c r="AN38" i="9" a="1"/>
  <c r="AN38" i="9"/>
  <c r="AN37" i="9" a="1"/>
  <c r="AN37" i="9"/>
  <c r="AN36" i="9" a="1"/>
  <c r="AN36" i="9"/>
  <c r="AN35" i="9" a="1"/>
  <c r="AN35" i="9"/>
  <c r="AN34" i="9" a="1"/>
  <c r="AN34" i="9"/>
  <c r="AN33" i="9" a="1"/>
  <c r="AN33" i="9"/>
  <c r="AN32" i="9" a="1"/>
  <c r="AN32" i="9"/>
  <c r="AN31" i="9" a="1"/>
  <c r="AN31" i="9"/>
  <c r="AN30" i="9" a="1"/>
  <c r="AN30" i="9"/>
  <c r="AN29" i="9" a="1"/>
  <c r="AN29" i="9"/>
  <c r="AN28" i="9" a="1"/>
  <c r="AN28" i="9"/>
  <c r="AN27" i="9" a="1"/>
  <c r="AN27" i="9"/>
  <c r="AN26" i="9" a="1"/>
  <c r="AN26" i="9"/>
  <c r="AN25" i="9" a="1"/>
  <c r="AN25" i="9"/>
  <c r="AN24" i="9" a="1"/>
  <c r="AN24" i="9"/>
  <c r="AN23" i="9" a="1"/>
  <c r="AN23" i="9"/>
  <c r="AN22" i="9" a="1"/>
  <c r="AN22" i="9"/>
  <c r="AN21" i="9" a="1"/>
  <c r="AN21" i="9"/>
  <c r="AN20" i="9" a="1"/>
  <c r="AN20" i="9"/>
  <c r="AN19" i="9" a="1"/>
  <c r="AN19" i="9"/>
  <c r="AN18" i="9" a="1"/>
  <c r="AN18" i="9"/>
  <c r="AN17" i="9" a="1"/>
  <c r="AN17" i="9"/>
  <c r="AN16" i="9" a="1"/>
  <c r="AN16" i="9"/>
  <c r="AN15" i="9" a="1"/>
  <c r="AN15" i="9"/>
  <c r="AN14" i="9" a="1"/>
  <c r="AN14" i="9"/>
  <c r="AN13" i="9" a="1"/>
  <c r="AN13" i="9"/>
  <c r="AN12" i="9" a="1"/>
  <c r="AN12" i="9"/>
  <c r="AN11" i="9" a="1"/>
  <c r="AN11" i="9"/>
  <c r="AN10" i="9" a="1"/>
  <c r="AN10" i="9"/>
  <c r="AN9" i="9" a="1"/>
  <c r="AN9" i="9"/>
  <c r="AN8" i="9" a="1"/>
  <c r="AN8" i="9"/>
  <c r="AN7" i="9" a="1"/>
  <c r="AN7" i="9"/>
  <c r="AN6" i="9" a="1"/>
  <c r="AN6" i="9"/>
  <c r="AN5" i="9" a="1"/>
  <c r="AN5" i="9"/>
  <c r="AN4" i="9" a="1"/>
  <c r="AN4" i="9"/>
  <c r="AN3" i="9" a="1"/>
  <c r="AN3" i="9"/>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L57" i="6"/>
  <c r="M57" i="6"/>
  <c r="N57" i="6"/>
  <c r="O57" i="6"/>
  <c r="P57" i="6"/>
  <c r="Q57" i="6"/>
  <c r="R57" i="6"/>
  <c r="S57" i="6"/>
  <c r="T57" i="6"/>
  <c r="U57" i="6"/>
  <c r="V57" i="6"/>
  <c r="W57" i="6"/>
  <c r="X57" i="6"/>
  <c r="Y57" i="6"/>
  <c r="L58" i="6"/>
  <c r="M58" i="6"/>
  <c r="N58" i="6"/>
  <c r="O58" i="6"/>
  <c r="P58" i="6"/>
  <c r="Q58" i="6"/>
  <c r="R58" i="6"/>
  <c r="S58" i="6"/>
  <c r="T58" i="6"/>
  <c r="U58" i="6"/>
  <c r="V58" i="6"/>
  <c r="W58" i="6"/>
  <c r="X58" i="6"/>
  <c r="Y58" i="6"/>
  <c r="K83" i="6"/>
  <c r="K59" i="6" s="1"/>
  <c r="L83" i="6"/>
  <c r="L59" i="6" s="1"/>
  <c r="M83" i="6"/>
  <c r="N83" i="6"/>
  <c r="N59" i="6" s="1"/>
  <c r="O83" i="6"/>
  <c r="O59" i="6" s="1"/>
  <c r="P83" i="6"/>
  <c r="P59" i="6" s="1"/>
  <c r="Q83" i="6"/>
  <c r="R83" i="6"/>
  <c r="R59" i="6" s="1"/>
  <c r="S83" i="6"/>
  <c r="S59" i="6" s="1"/>
  <c r="T83" i="6"/>
  <c r="U83" i="6"/>
  <c r="U59" i="6" s="1"/>
  <c r="V83" i="6"/>
  <c r="V59" i="6" s="1"/>
  <c r="W83" i="6"/>
  <c r="W59" i="6" s="1"/>
  <c r="X83" i="6"/>
  <c r="X59" i="6" s="1"/>
  <c r="Y83" i="6"/>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AN19" i="29" l="1"/>
  <c r="AN9" i="29"/>
  <c r="AN6" i="29"/>
  <c r="T74" i="6"/>
  <c r="T59" i="6"/>
  <c r="Q74" i="6"/>
  <c r="Q59" i="6"/>
  <c r="M74" i="6"/>
  <c r="M59" i="6"/>
  <c r="H1" i="28"/>
  <c r="F1" i="28"/>
  <c r="D4" i="29"/>
  <c r="R4" i="29"/>
  <c r="S4" i="29" s="1"/>
  <c r="K7" i="30" s="1"/>
  <c r="K4" i="30" s="1"/>
  <c r="N4" i="29" a="1"/>
  <c r="N4" i="29" s="1"/>
  <c r="N5" i="29" a="1"/>
  <c r="N5" i="29" s="1"/>
  <c r="AK5" i="29" s="1"/>
  <c r="D5" i="29"/>
  <c r="N6" i="29" a="1"/>
  <c r="N6" i="29" s="1"/>
  <c r="AK6" i="29" s="1"/>
  <c r="D6" i="29"/>
  <c r="N7" i="29" a="1"/>
  <c r="N7" i="29" s="1"/>
  <c r="AK7" i="29" s="1"/>
  <c r="D7" i="29"/>
  <c r="N8" i="29" a="1"/>
  <c r="N8" i="29" s="1"/>
  <c r="AK8" i="29" s="1"/>
  <c r="D8" i="29"/>
  <c r="N9" i="29" a="1"/>
  <c r="N9" i="29" s="1"/>
  <c r="AK9" i="29" s="1"/>
  <c r="D9" i="29"/>
  <c r="N10" i="29" a="1"/>
  <c r="N10" i="29" s="1"/>
  <c r="AK10" i="29" s="1"/>
  <c r="D10" i="29"/>
  <c r="N11" i="29" a="1"/>
  <c r="N11" i="29" s="1"/>
  <c r="AK11" i="29" s="1"/>
  <c r="D11" i="29"/>
  <c r="N12" i="29" a="1"/>
  <c r="N12" i="29" s="1"/>
  <c r="AK12" i="29" s="1"/>
  <c r="D12" i="29"/>
  <c r="N13" i="29" a="1"/>
  <c r="N13" i="29" s="1"/>
  <c r="AK13" i="29" s="1"/>
  <c r="D13" i="29"/>
  <c r="N14" i="29" a="1"/>
  <c r="N14" i="29" s="1"/>
  <c r="AK14" i="29" s="1"/>
  <c r="D14" i="29"/>
  <c r="N15" i="29" a="1"/>
  <c r="N15" i="29" s="1"/>
  <c r="AK15" i="29" s="1"/>
  <c r="D15" i="29"/>
  <c r="N16" i="29" a="1"/>
  <c r="N16" i="29" s="1"/>
  <c r="AK16" i="29" s="1"/>
  <c r="D16" i="29"/>
  <c r="N17" i="29" a="1"/>
  <c r="N17" i="29" s="1"/>
  <c r="AK17" i="29" s="1"/>
  <c r="D17" i="29"/>
  <c r="N18" i="29" a="1"/>
  <c r="N18" i="29" s="1"/>
  <c r="AK18" i="29" s="1"/>
  <c r="D18" i="29"/>
  <c r="N19" i="29" a="1"/>
  <c r="N19" i="29" s="1"/>
  <c r="AK19" i="29" s="1"/>
  <c r="D19" i="29"/>
  <c r="N20" i="29" a="1"/>
  <c r="N20" i="29" s="1"/>
  <c r="AK20" i="29" s="1"/>
  <c r="D20" i="29"/>
  <c r="N21" i="29" a="1"/>
  <c r="N21" i="29" s="1"/>
  <c r="AK21" i="29" s="1"/>
  <c r="D21" i="29"/>
  <c r="N22" i="29" a="1"/>
  <c r="N22" i="29" s="1"/>
  <c r="AK22" i="29" s="1"/>
  <c r="D22" i="29"/>
  <c r="N23" i="29" a="1"/>
  <c r="N23" i="29" s="1"/>
  <c r="AK23" i="29" s="1"/>
  <c r="D23" i="29"/>
  <c r="N24" i="29" a="1"/>
  <c r="N24" i="29" s="1"/>
  <c r="AK24" i="29" s="1"/>
  <c r="D24" i="29"/>
  <c r="N25" i="29" a="1"/>
  <c r="N25" i="29" s="1"/>
  <c r="AK25" i="29" s="1"/>
  <c r="D25" i="29"/>
  <c r="N26" i="29" a="1"/>
  <c r="N26" i="29" s="1"/>
  <c r="AK26" i="29" s="1"/>
  <c r="D26" i="29"/>
  <c r="N27" i="29" a="1"/>
  <c r="N27" i="29" s="1"/>
  <c r="AK27" i="29" s="1"/>
  <c r="D27" i="29"/>
  <c r="N28" i="29" a="1"/>
  <c r="N28" i="29" s="1"/>
  <c r="AK28" i="29" s="1"/>
  <c r="D28" i="29"/>
  <c r="N29" i="29" a="1"/>
  <c r="N29" i="29" s="1"/>
  <c r="AK29" i="29" s="1"/>
  <c r="D29" i="29"/>
  <c r="N30" i="29" a="1"/>
  <c r="N30" i="29" s="1"/>
  <c r="AK30" i="29" s="1"/>
  <c r="D30" i="29"/>
  <c r="N31" i="29" a="1"/>
  <c r="N31" i="29" s="1"/>
  <c r="AK31" i="29" s="1"/>
  <c r="D31" i="29"/>
  <c r="N32" i="29" a="1"/>
  <c r="N32" i="29" s="1"/>
  <c r="AK32" i="29" s="1"/>
  <c r="D32" i="29"/>
  <c r="N33" i="29" a="1"/>
  <c r="N33" i="29" s="1"/>
  <c r="AK33" i="29" s="1"/>
  <c r="D33" i="29"/>
  <c r="N34" i="29" a="1"/>
  <c r="N34" i="29" s="1"/>
  <c r="AK34" i="29" s="1"/>
  <c r="D34" i="29"/>
  <c r="N35" i="29" a="1"/>
  <c r="N35" i="29" s="1"/>
  <c r="AK35" i="29" s="1"/>
  <c r="D35" i="29"/>
  <c r="N36" i="29" a="1"/>
  <c r="N36" i="29" s="1"/>
  <c r="AK36" i="29" s="1"/>
  <c r="D36" i="29"/>
  <c r="N37" i="29" a="1"/>
  <c r="N37" i="29" s="1"/>
  <c r="AK37" i="29" s="1"/>
  <c r="D37" i="29"/>
  <c r="N38" i="29" a="1"/>
  <c r="N38" i="29" s="1"/>
  <c r="AK38" i="29" s="1"/>
  <c r="D38" i="29"/>
  <c r="N39" i="29" a="1"/>
  <c r="N39" i="29" s="1"/>
  <c r="AK39" i="29" s="1"/>
  <c r="D39" i="29"/>
  <c r="N40" i="29" a="1"/>
  <c r="N40" i="29" s="1"/>
  <c r="AK40" i="29" s="1"/>
  <c r="D40" i="29"/>
  <c r="N41" i="29" a="1"/>
  <c r="N41" i="29" s="1"/>
  <c r="AK41" i="29" s="1"/>
  <c r="D41" i="29"/>
  <c r="N42" i="29" a="1"/>
  <c r="N42" i="29" s="1"/>
  <c r="AK42" i="29" s="1"/>
  <c r="D42" i="29"/>
  <c r="N43" i="29" a="1"/>
  <c r="N43" i="29" s="1"/>
  <c r="AK43" i="29" s="1"/>
  <c r="D43" i="29"/>
  <c r="N44" i="29" a="1"/>
  <c r="N44" i="29" s="1"/>
  <c r="AK44" i="29" s="1"/>
  <c r="D44" i="29"/>
  <c r="N45" i="29" a="1"/>
  <c r="N45" i="29" s="1"/>
  <c r="AK45" i="29" s="1"/>
  <c r="D45" i="29"/>
  <c r="N46" i="29" a="1"/>
  <c r="N46" i="29" s="1"/>
  <c r="AK46" i="29" s="1"/>
  <c r="D46" i="29"/>
  <c r="N47" i="29" a="1"/>
  <c r="N47" i="29" s="1"/>
  <c r="AK47" i="29" s="1"/>
  <c r="D47" i="29"/>
  <c r="N48" i="29" a="1"/>
  <c r="N48" i="29" s="1"/>
  <c r="AK48" i="29" s="1"/>
  <c r="D48" i="29"/>
  <c r="N49" i="29" a="1"/>
  <c r="N49" i="29" s="1"/>
  <c r="AK49" i="29" s="1"/>
  <c r="D49" i="29"/>
  <c r="N50" i="29" a="1"/>
  <c r="N50" i="29" s="1"/>
  <c r="AK50" i="29" s="1"/>
  <c r="D50" i="29"/>
  <c r="N51" i="29" a="1"/>
  <c r="N51" i="29" s="1"/>
  <c r="AK51" i="29" s="1"/>
  <c r="D51" i="29"/>
  <c r="N52" i="29" a="1"/>
  <c r="N52" i="29" s="1"/>
  <c r="AK52" i="29" s="1"/>
  <c r="D52" i="29"/>
  <c r="N53" i="29" a="1"/>
  <c r="N53" i="29" s="1"/>
  <c r="AK53" i="29" s="1"/>
  <c r="D53" i="29"/>
  <c r="N54" i="29" a="1"/>
  <c r="N54" i="29" s="1"/>
  <c r="AK54" i="29" s="1"/>
  <c r="D54" i="29"/>
  <c r="N55" i="29" a="1"/>
  <c r="N55" i="29" s="1"/>
  <c r="AK55" i="29" s="1"/>
  <c r="D55" i="29"/>
  <c r="N56" i="29" a="1"/>
  <c r="N56" i="29" s="1"/>
  <c r="AK56" i="29" s="1"/>
  <c r="D56" i="29"/>
  <c r="N57" i="29" a="1"/>
  <c r="N57" i="29" s="1"/>
  <c r="AK57" i="29" s="1"/>
  <c r="D57" i="29"/>
  <c r="N58" i="29" a="1"/>
  <c r="N58" i="29" s="1"/>
  <c r="AK58" i="29" s="1"/>
  <c r="D58" i="29"/>
  <c r="N59" i="29" a="1"/>
  <c r="N59" i="29" s="1"/>
  <c r="AK59" i="29" s="1"/>
  <c r="D59" i="29"/>
  <c r="N60" i="29" a="1"/>
  <c r="N60" i="29" s="1"/>
  <c r="AK60" i="29" s="1"/>
  <c r="D60" i="29"/>
  <c r="N61" i="29" a="1"/>
  <c r="N61" i="29" s="1"/>
  <c r="AK61" i="29" s="1"/>
  <c r="D61" i="29"/>
  <c r="N62" i="29" a="1"/>
  <c r="N62" i="29" s="1"/>
  <c r="AK62" i="29" s="1"/>
  <c r="D62" i="29"/>
  <c r="N63" i="29" a="1"/>
  <c r="N63" i="29" s="1"/>
  <c r="AK63" i="29" s="1"/>
  <c r="D63" i="29"/>
  <c r="N64" i="29" a="1"/>
  <c r="N64" i="29" s="1"/>
  <c r="AK64" i="29" s="1"/>
  <c r="D64" i="29"/>
  <c r="N65" i="29" a="1"/>
  <c r="N65" i="29" s="1"/>
  <c r="AK65" i="29" s="1"/>
  <c r="D65" i="29"/>
  <c r="N66" i="29" a="1"/>
  <c r="N66" i="29" s="1"/>
  <c r="AK66" i="29" s="1"/>
  <c r="D66" i="29"/>
  <c r="N67" i="29" a="1"/>
  <c r="N67" i="29" s="1"/>
  <c r="AK67" i="29" s="1"/>
  <c r="D67" i="29"/>
  <c r="N68" i="29" a="1"/>
  <c r="N68" i="29" s="1"/>
  <c r="AK68" i="29" s="1"/>
  <c r="D68" i="29"/>
  <c r="N69" i="29" a="1"/>
  <c r="N69" i="29" s="1"/>
  <c r="AK69" i="29" s="1"/>
  <c r="D69" i="29"/>
  <c r="N70" i="29" a="1"/>
  <c r="N70" i="29" s="1"/>
  <c r="AK70" i="29" s="1"/>
  <c r="D70" i="29"/>
  <c r="N71" i="29" a="1"/>
  <c r="N71" i="29" s="1"/>
  <c r="AK71" i="29" s="1"/>
  <c r="D71" i="29"/>
  <c r="N72" i="29" a="1"/>
  <c r="N72" i="29" s="1"/>
  <c r="AK72" i="29" s="1"/>
  <c r="D72" i="29"/>
  <c r="N73" i="29" a="1"/>
  <c r="N73" i="29" s="1"/>
  <c r="AK73" i="29" s="1"/>
  <c r="D73" i="29"/>
  <c r="N74" i="29" a="1"/>
  <c r="N74" i="29" s="1"/>
  <c r="AK74" i="29" s="1"/>
  <c r="D74" i="29"/>
  <c r="N75" i="29" a="1"/>
  <c r="N75" i="29" s="1"/>
  <c r="AK75" i="29" s="1"/>
  <c r="D75" i="29"/>
  <c r="N76" i="29" a="1"/>
  <c r="N76" i="29" s="1"/>
  <c r="AK76" i="29" s="1"/>
  <c r="D76" i="29"/>
  <c r="N77" i="29" a="1"/>
  <c r="N77" i="29" s="1"/>
  <c r="AK77" i="29" s="1"/>
  <c r="D77" i="29"/>
  <c r="N78" i="29" a="1"/>
  <c r="N78" i="29" s="1"/>
  <c r="AK78" i="29" s="1"/>
  <c r="D78" i="29"/>
  <c r="N79" i="29" a="1"/>
  <c r="N79" i="29" s="1"/>
  <c r="AK79" i="29" s="1"/>
  <c r="D79" i="29"/>
  <c r="N80" i="29" a="1"/>
  <c r="N80" i="29" s="1"/>
  <c r="AK80" i="29" s="1"/>
  <c r="D80" i="29"/>
  <c r="N81" i="29" a="1"/>
  <c r="N81" i="29" s="1"/>
  <c r="AK81" i="29" s="1"/>
  <c r="D81" i="29"/>
  <c r="N82" i="29" a="1"/>
  <c r="N82" i="29" s="1"/>
  <c r="AK82" i="29" s="1"/>
  <c r="D82" i="29"/>
  <c r="T4" i="29"/>
  <c r="Q4" i="29" a="1"/>
  <c r="Q4" i="29" s="1"/>
  <c r="P4" i="29"/>
  <c r="O4" i="29"/>
  <c r="Y49" i="6"/>
  <c r="Y74" i="6"/>
  <c r="X49" i="6"/>
  <c r="X74" i="6"/>
  <c r="W49" i="6"/>
  <c r="W74" i="6"/>
  <c r="V49" i="6"/>
  <c r="V74" i="6"/>
  <c r="U49" i="6"/>
  <c r="U74" i="6"/>
  <c r="S49" i="6"/>
  <c r="S74" i="6"/>
  <c r="R49" i="6"/>
  <c r="R74" i="6"/>
  <c r="P49" i="6"/>
  <c r="P74" i="6"/>
  <c r="O49" i="6"/>
  <c r="O74" i="6"/>
  <c r="N49" i="6"/>
  <c r="N74" i="6"/>
  <c r="L49" i="6"/>
  <c r="L74" i="6"/>
  <c r="K49" i="6"/>
  <c r="K74" i="6"/>
  <c r="K65" i="6"/>
  <c r="AK11" i="6"/>
  <c r="AK74" i="6"/>
  <c r="AJ12" i="6"/>
  <c r="AJ74" i="6"/>
  <c r="AI17" i="6"/>
  <c r="AI74" i="6"/>
  <c r="AH49" i="6"/>
  <c r="AH74" i="6"/>
  <c r="AG72" i="6"/>
  <c r="AG74" i="6"/>
  <c r="AF7" i="6"/>
  <c r="AF74" i="6"/>
  <c r="AE8" i="6"/>
  <c r="AE74" i="6"/>
  <c r="AD20" i="6"/>
  <c r="AD74" i="6"/>
  <c r="AC82" i="6"/>
  <c r="AC74" i="6"/>
  <c r="AB81" i="6"/>
  <c r="AB74" i="6"/>
  <c r="AA79" i="6"/>
  <c r="AA74" i="6"/>
  <c r="Z18" i="6"/>
  <c r="Z74" i="6"/>
  <c r="G67" i="25"/>
  <c r="AG15" i="6"/>
  <c r="AH15" i="6"/>
  <c r="AD34" i="6"/>
  <c r="AB4" i="6"/>
  <c r="AC16" i="6"/>
  <c r="AG41" i="6"/>
  <c r="AB51" i="6"/>
  <c r="AD72" i="6"/>
  <c r="AA9" i="6"/>
  <c r="AA17" i="6"/>
  <c r="AH41" i="6"/>
  <c r="AC49" i="6"/>
  <c r="AC51" i="6"/>
  <c r="AC53" i="6"/>
  <c r="Z73" i="6"/>
  <c r="AF8" i="6"/>
  <c r="AG8" i="6"/>
  <c r="AC72" i="6"/>
  <c r="AB49" i="6"/>
  <c r="AB53" i="6"/>
  <c r="AC9" i="6"/>
  <c r="Z19" i="6"/>
  <c r="AI41" i="6"/>
  <c r="Z54" i="6"/>
  <c r="AA73" i="6"/>
  <c r="AI71" i="6"/>
  <c r="AK24" i="6"/>
  <c r="AE72" i="6"/>
  <c r="AE34" i="6"/>
  <c r="AD19" i="6"/>
  <c r="AA37" i="6"/>
  <c r="AB46" i="6"/>
  <c r="AA60" i="6"/>
  <c r="AC79" i="6"/>
  <c r="G66" i="25"/>
  <c r="Z4" i="6"/>
  <c r="AA6" i="6"/>
  <c r="Z14" i="6"/>
  <c r="AA20" i="6"/>
  <c r="AC38" i="6"/>
  <c r="AC46" i="6"/>
  <c r="AD67" i="6"/>
  <c r="Z80" i="6"/>
  <c r="AF34" i="6"/>
  <c r="AB12" i="6"/>
  <c r="AC19" i="6"/>
  <c r="AB79" i="6"/>
  <c r="AC13" i="6"/>
  <c r="AA4" i="6"/>
  <c r="AB6" i="6"/>
  <c r="AA14" i="6"/>
  <c r="AC21" i="6"/>
  <c r="AA39" i="6"/>
  <c r="AA47" i="6"/>
  <c r="AE67" i="6"/>
  <c r="AA80" i="6"/>
  <c r="AG12" i="6"/>
  <c r="AA18" i="6"/>
  <c r="AA23" i="6"/>
  <c r="AC39" i="6"/>
  <c r="AB45" i="6"/>
  <c r="AC55" i="6"/>
  <c r="AC80" i="6"/>
  <c r="AA7" i="6"/>
  <c r="AB18" i="6"/>
  <c r="AB23" i="6"/>
  <c r="AF39" i="6"/>
  <c r="AC45" i="6"/>
  <c r="AG55" i="6"/>
  <c r="AA69" i="6"/>
  <c r="AA81" i="6"/>
  <c r="AF67" i="6"/>
  <c r="AD16" i="6"/>
  <c r="AD38" i="6"/>
  <c r="AD44" i="6"/>
  <c r="AC22" i="6"/>
  <c r="AC4" i="6"/>
  <c r="AC6" i="6"/>
  <c r="AC12" i="6"/>
  <c r="AB39" i="6"/>
  <c r="AB55" i="6"/>
  <c r="AC68" i="6"/>
  <c r="AB80" i="6"/>
  <c r="Z13" i="6"/>
  <c r="AA8" i="6"/>
  <c r="AA13" i="6"/>
  <c r="AC18" i="6"/>
  <c r="AC23" i="6"/>
  <c r="AA40" i="6"/>
  <c r="Z46" i="6"/>
  <c r="AH55" i="6"/>
  <c r="AB71" i="6"/>
  <c r="AC81" i="6"/>
  <c r="AJ4" i="6"/>
  <c r="AI55" i="6"/>
  <c r="AH6" i="6"/>
  <c r="AI39" i="6"/>
  <c r="AI53" i="6"/>
  <c r="AB7" i="6"/>
  <c r="AF19" i="6"/>
  <c r="AD10" i="6"/>
  <c r="AG19" i="6"/>
  <c r="AB73" i="6"/>
  <c r="AF17" i="6"/>
  <c r="AI37" i="6"/>
  <c r="AB47" i="6"/>
  <c r="AB60" i="6"/>
  <c r="AE81" i="6"/>
  <c r="AB8" i="6"/>
  <c r="AG17" i="6"/>
  <c r="AF23" i="6"/>
  <c r="AE43" i="6"/>
  <c r="AB54" i="6"/>
  <c r="AE69" i="6"/>
  <c r="AC8" i="6"/>
  <c r="AC11" i="6"/>
  <c r="Z15" i="6"/>
  <c r="AH17" i="6"/>
  <c r="AC20" i="6"/>
  <c r="Z24" i="6"/>
  <c r="Z38" i="6"/>
  <c r="AA41" i="6"/>
  <c r="AF43" i="6"/>
  <c r="AD47" i="6"/>
  <c r="AC54" i="6"/>
  <c r="AI60" i="6"/>
  <c r="AF69" i="6"/>
  <c r="AK73" i="6"/>
  <c r="AA82" i="6"/>
  <c r="K37" i="6"/>
  <c r="AK48" i="6"/>
  <c r="AK9" i="6"/>
  <c r="AI6" i="6"/>
  <c r="AH39" i="6"/>
  <c r="AG49" i="6"/>
  <c r="AE19" i="6"/>
  <c r="AJ53" i="6"/>
  <c r="AB69" i="6"/>
  <c r="AB14" i="6"/>
  <c r="AC37" i="6"/>
  <c r="AC43" i="6"/>
  <c r="AD81" i="6"/>
  <c r="AC14" i="6"/>
  <c r="AD40" i="6"/>
  <c r="AB11" i="6"/>
  <c r="AJ37" i="6"/>
  <c r="AK20" i="6"/>
  <c r="AA24" i="6"/>
  <c r="AA38" i="6"/>
  <c r="AB41" i="6"/>
  <c r="AA44" i="6"/>
  <c r="AE47" i="6"/>
  <c r="Z55" i="6"/>
  <c r="AA67" i="6"/>
  <c r="Z71" i="6"/>
  <c r="Z79" i="6"/>
  <c r="AB82" i="6"/>
  <c r="AJ71" i="6"/>
  <c r="AH45" i="6"/>
  <c r="AG39" i="6"/>
  <c r="AH80" i="6"/>
  <c r="AG13" i="6"/>
  <c r="AI80" i="6"/>
  <c r="AB37" i="6"/>
  <c r="AB43" i="6"/>
  <c r="AC7" i="6"/>
  <c r="AC17" i="6"/>
  <c r="AD23" i="6"/>
  <c r="AC40" i="6"/>
  <c r="AC69" i="6"/>
  <c r="AE23" i="6"/>
  <c r="AD43" i="6"/>
  <c r="AD69" i="6"/>
  <c r="AC73" i="6"/>
  <c r="AD14" i="6"/>
  <c r="AB20" i="6"/>
  <c r="AC47" i="6"/>
  <c r="AC60" i="6"/>
  <c r="AJ73" i="6"/>
  <c r="AD8" i="6"/>
  <c r="AA15" i="6"/>
  <c r="Z12" i="6"/>
  <c r="AB15" i="6"/>
  <c r="AA21" i="6"/>
  <c r="AB24" i="6"/>
  <c r="AB38" i="6"/>
  <c r="AC41" i="6"/>
  <c r="AC44" i="6"/>
  <c r="AF47" i="6"/>
  <c r="AA55" i="6"/>
  <c r="AC67" i="6"/>
  <c r="AA71" i="6"/>
  <c r="F69" i="25"/>
  <c r="AK72" i="6"/>
  <c r="AK16" i="6"/>
  <c r="AK13" i="6"/>
  <c r="AK10" i="6"/>
  <c r="AK80" i="6"/>
  <c r="AK60" i="6"/>
  <c r="AK55" i="6"/>
  <c r="AK7" i="6"/>
  <c r="AK4" i="6"/>
  <c r="AK46" i="6"/>
  <c r="AK38" i="6"/>
  <c r="AK19" i="6"/>
  <c r="AK71" i="6"/>
  <c r="AI79" i="6"/>
  <c r="AI69" i="6"/>
  <c r="AI54" i="6"/>
  <c r="AI46" i="6"/>
  <c r="AI42" i="6"/>
  <c r="AI38" i="6"/>
  <c r="AI23" i="6"/>
  <c r="AI19" i="6"/>
  <c r="AI15" i="6"/>
  <c r="AI11" i="6"/>
  <c r="AI7" i="6"/>
  <c r="AI82" i="6"/>
  <c r="AI68" i="6"/>
  <c r="AI43" i="6"/>
  <c r="AI24" i="6"/>
  <c r="AI72" i="6"/>
  <c r="AI16" i="6"/>
  <c r="AI13" i="6"/>
  <c r="AI10" i="6"/>
  <c r="AK6" i="6"/>
  <c r="AG34" i="6"/>
  <c r="AJ8" i="6"/>
  <c r="AH14" i="6"/>
  <c r="AH47" i="6"/>
  <c r="AK23" i="6"/>
  <c r="AK15" i="6"/>
  <c r="AK17" i="6"/>
  <c r="AJ45" i="6"/>
  <c r="AF82" i="6"/>
  <c r="AF73" i="6"/>
  <c r="AF68" i="6"/>
  <c r="AF53" i="6"/>
  <c r="AF49" i="6"/>
  <c r="AF45" i="6"/>
  <c r="AF41" i="6"/>
  <c r="AF37" i="6"/>
  <c r="AF22" i="6"/>
  <c r="AF18" i="6"/>
  <c r="AF14" i="6"/>
  <c r="AF10" i="6"/>
  <c r="AF6" i="6"/>
  <c r="AF79" i="6"/>
  <c r="AF54" i="6"/>
  <c r="AF12" i="6"/>
  <c r="AF9" i="6"/>
  <c r="AF51" i="6"/>
  <c r="AF48" i="6"/>
  <c r="AF40" i="6"/>
  <c r="AF21" i="6"/>
  <c r="AK79" i="6"/>
  <c r="AJ49" i="6"/>
  <c r="AK54" i="6"/>
  <c r="AK69" i="6"/>
  <c r="AK53" i="6"/>
  <c r="AK41" i="6"/>
  <c r="AJ21" i="6"/>
  <c r="AK21" i="6"/>
  <c r="AG23" i="6"/>
  <c r="AD7" i="6"/>
  <c r="AI40" i="6"/>
  <c r="AK37" i="6"/>
  <c r="AJ79" i="6"/>
  <c r="AJ69" i="6"/>
  <c r="AJ54" i="6"/>
  <c r="AJ46" i="6"/>
  <c r="AJ42" i="6"/>
  <c r="AJ38" i="6"/>
  <c r="AJ23" i="6"/>
  <c r="AJ19" i="6"/>
  <c r="AJ15" i="6"/>
  <c r="AJ11" i="6"/>
  <c r="AJ7" i="6"/>
  <c r="AJ82" i="6"/>
  <c r="AJ68" i="6"/>
  <c r="AJ43" i="6"/>
  <c r="AJ24" i="6"/>
  <c r="AJ72" i="6"/>
  <c r="AJ16" i="6"/>
  <c r="AJ13" i="6"/>
  <c r="AJ10" i="6"/>
  <c r="AJ80" i="6"/>
  <c r="AJ60" i="6"/>
  <c r="AJ55" i="6"/>
  <c r="AJ6" i="6"/>
  <c r="AJ41" i="6"/>
  <c r="AJ17" i="6"/>
  <c r="AI21" i="6"/>
  <c r="AJ39" i="6"/>
  <c r="AH79" i="6"/>
  <c r="AH69" i="6"/>
  <c r="AH54" i="6"/>
  <c r="AH46" i="6"/>
  <c r="AH42" i="6"/>
  <c r="AH38" i="6"/>
  <c r="AH23" i="6"/>
  <c r="AH19" i="6"/>
  <c r="AH48" i="6"/>
  <c r="AH40" i="6"/>
  <c r="AH21" i="6"/>
  <c r="AH82" i="6"/>
  <c r="AH68" i="6"/>
  <c r="AH43" i="6"/>
  <c r="AH24" i="6"/>
  <c r="AH72" i="6"/>
  <c r="AH16" i="6"/>
  <c r="AH13" i="6"/>
  <c r="AH8" i="6"/>
  <c r="AK39" i="6"/>
  <c r="AK43" i="6"/>
  <c r="AI45" i="6"/>
  <c r="AG51" i="6"/>
  <c r="AG45" i="6"/>
  <c r="AG37" i="6"/>
  <c r="AG18" i="6"/>
  <c r="AG6" i="6"/>
  <c r="AG48" i="6"/>
  <c r="AG40" i="6"/>
  <c r="AG21" i="6"/>
  <c r="AG82" i="6"/>
  <c r="AG68" i="6"/>
  <c r="AG43" i="6"/>
  <c r="AG24" i="6"/>
  <c r="AI8" i="6"/>
  <c r="AG10" i="6"/>
  <c r="AH12" i="6"/>
  <c r="AG14" i="6"/>
  <c r="AG47" i="6"/>
  <c r="AG67" i="6"/>
  <c r="AG79" i="6"/>
  <c r="AF81" i="6"/>
  <c r="AH10" i="6"/>
  <c r="AI12" i="6"/>
  <c r="AH34" i="6"/>
  <c r="AK45" i="6"/>
  <c r="AI49" i="6"/>
  <c r="AG54" i="6"/>
  <c r="AH67" i="6"/>
  <c r="AG69" i="6"/>
  <c r="AF72" i="6"/>
  <c r="AG81" i="6"/>
  <c r="AE82" i="6"/>
  <c r="AE73" i="6"/>
  <c r="AE68" i="6"/>
  <c r="AE53" i="6"/>
  <c r="AE49" i="6"/>
  <c r="AE45" i="6"/>
  <c r="AE41" i="6"/>
  <c r="AE37" i="6"/>
  <c r="AE22" i="6"/>
  <c r="AE18" i="6"/>
  <c r="AE14" i="6"/>
  <c r="AE10" i="6"/>
  <c r="AE6" i="6"/>
  <c r="AE71" i="6"/>
  <c r="AE15" i="6"/>
  <c r="AE79" i="6"/>
  <c r="AE54" i="6"/>
  <c r="AE12" i="6"/>
  <c r="AE9" i="6"/>
  <c r="AE51" i="6"/>
  <c r="AE48" i="6"/>
  <c r="AE40" i="6"/>
  <c r="AE21" i="6"/>
  <c r="AK8" i="6"/>
  <c r="AI14" i="6"/>
  <c r="AE16" i="6"/>
  <c r="AI34" i="6"/>
  <c r="AE38" i="6"/>
  <c r="AI47" i="6"/>
  <c r="AI67" i="6"/>
  <c r="AH81" i="6"/>
  <c r="AD82" i="6"/>
  <c r="AD73" i="6"/>
  <c r="AD68" i="6"/>
  <c r="AD53" i="6"/>
  <c r="AD49" i="6"/>
  <c r="AD45" i="6"/>
  <c r="AD41" i="6"/>
  <c r="AD37" i="6"/>
  <c r="AD22" i="6"/>
  <c r="AD18" i="6"/>
  <c r="AD71" i="6"/>
  <c r="AD15" i="6"/>
  <c r="AD6" i="6"/>
  <c r="AD79" i="6"/>
  <c r="AD54" i="6"/>
  <c r="AD12" i="6"/>
  <c r="AD9" i="6"/>
  <c r="AD51" i="6"/>
  <c r="AK12" i="6"/>
  <c r="AJ14" i="6"/>
  <c r="AF16" i="6"/>
  <c r="AJ34" i="6"/>
  <c r="AF38" i="6"/>
  <c r="AD42" i="6"/>
  <c r="AE44" i="6"/>
  <c r="AJ47" i="6"/>
  <c r="AK49" i="6"/>
  <c r="AJ67" i="6"/>
  <c r="AI81" i="6"/>
  <c r="AD4" i="6"/>
  <c r="AE7" i="6"/>
  <c r="AK14" i="6"/>
  <c r="AG16" i="6"/>
  <c r="AH18" i="6"/>
  <c r="AE20" i="6"/>
  <c r="AK34" i="6"/>
  <c r="AG38" i="6"/>
  <c r="AJ40" i="6"/>
  <c r="AE42" i="6"/>
  <c r="AF44" i="6"/>
  <c r="AK47" i="6"/>
  <c r="AH51" i="6"/>
  <c r="AK67" i="6"/>
  <c r="AJ81" i="6"/>
  <c r="AE4" i="6"/>
  <c r="AD11" i="6"/>
  <c r="AI18" i="6"/>
  <c r="AF20" i="6"/>
  <c r="AG22" i="6"/>
  <c r="AK40" i="6"/>
  <c r="AF42" i="6"/>
  <c r="AG44" i="6"/>
  <c r="AI51" i="6"/>
  <c r="AD60" i="6"/>
  <c r="AK81" i="6"/>
  <c r="AF4" i="6"/>
  <c r="AG7" i="6"/>
  <c r="AG9" i="6"/>
  <c r="AE11" i="6"/>
  <c r="AJ18" i="6"/>
  <c r="AG20" i="6"/>
  <c r="AH22" i="6"/>
  <c r="AG42" i="6"/>
  <c r="AH44" i="6"/>
  <c r="AD46" i="6"/>
  <c r="AJ51" i="6"/>
  <c r="AE60" i="6"/>
  <c r="AD80" i="6"/>
  <c r="AG4" i="6"/>
  <c r="AH7" i="6"/>
  <c r="AH9" i="6"/>
  <c r="AF11" i="6"/>
  <c r="AD13" i="6"/>
  <c r="AK18" i="6"/>
  <c r="AH20" i="6"/>
  <c r="AI22" i="6"/>
  <c r="AD24" i="6"/>
  <c r="AK42" i="6"/>
  <c r="AI44" i="6"/>
  <c r="AE46" i="6"/>
  <c r="AD48" i="6"/>
  <c r="AK51" i="6"/>
  <c r="AD55" i="6"/>
  <c r="AF60" i="6"/>
  <c r="AF71" i="6"/>
  <c r="AG73" i="6"/>
  <c r="AE80" i="6"/>
  <c r="G68" i="25"/>
  <c r="AH4" i="6"/>
  <c r="AI9" i="6"/>
  <c r="AG11" i="6"/>
  <c r="AE13" i="6"/>
  <c r="AD17" i="6"/>
  <c r="AI20" i="6"/>
  <c r="AJ22" i="6"/>
  <c r="AE24" i="6"/>
  <c r="AD39" i="6"/>
  <c r="AJ44" i="6"/>
  <c r="AF46" i="6"/>
  <c r="AI48" i="6"/>
  <c r="AG53" i="6"/>
  <c r="AE55" i="6"/>
  <c r="AG60" i="6"/>
  <c r="AG71" i="6"/>
  <c r="AH73" i="6"/>
  <c r="AF80" i="6"/>
  <c r="E69" i="25"/>
  <c r="AI4" i="6"/>
  <c r="AJ9" i="6"/>
  <c r="AH11" i="6"/>
  <c r="AF13" i="6"/>
  <c r="AF15" i="6"/>
  <c r="AE17" i="6"/>
  <c r="AJ20" i="6"/>
  <c r="AK22" i="6"/>
  <c r="AF24" i="6"/>
  <c r="AH37" i="6"/>
  <c r="AE39" i="6"/>
  <c r="AK44" i="6"/>
  <c r="AG46" i="6"/>
  <c r="AJ48" i="6"/>
  <c r="AH53" i="6"/>
  <c r="AF55" i="6"/>
  <c r="AH60" i="6"/>
  <c r="AK68" i="6"/>
  <c r="AH71" i="6"/>
  <c r="AI73" i="6"/>
  <c r="AG80" i="6"/>
  <c r="Z81" i="6"/>
  <c r="Z72" i="6"/>
  <c r="Z67" i="6"/>
  <c r="Z48" i="6"/>
  <c r="Z44" i="6"/>
  <c r="Z40" i="6"/>
  <c r="Z34" i="6"/>
  <c r="Z21" i="6"/>
  <c r="H69" i="25"/>
  <c r="Z20" i="6"/>
  <c r="Z39" i="6"/>
  <c r="Z47" i="6"/>
  <c r="Z8" i="6"/>
  <c r="Z11" i="6"/>
  <c r="AB9" i="6"/>
  <c r="AB13" i="6"/>
  <c r="AB17" i="6"/>
  <c r="AB21" i="6"/>
  <c r="AB34" i="6"/>
  <c r="AB40" i="6"/>
  <c r="AB44" i="6"/>
  <c r="AB48" i="6"/>
  <c r="AB67" i="6"/>
  <c r="AB72" i="6"/>
  <c r="M49" i="6"/>
  <c r="M80" i="6"/>
  <c r="T64" i="6"/>
  <c r="T49" i="6"/>
  <c r="Q17" i="6"/>
  <c r="Q49" i="6"/>
  <c r="U64" i="6"/>
  <c r="U63" i="6"/>
  <c r="D69" i="25"/>
  <c r="G64" i="25"/>
  <c r="Y55" i="6"/>
  <c r="Y54" i="6"/>
  <c r="Y53" i="6"/>
  <c r="Y51" i="6"/>
  <c r="Y48" i="6"/>
  <c r="Y47" i="6"/>
  <c r="Y46" i="6"/>
  <c r="Y45" i="6"/>
  <c r="Y44" i="6"/>
  <c r="Y43" i="6"/>
  <c r="Y42" i="6"/>
  <c r="Y41" i="6"/>
  <c r="Y40" i="6"/>
  <c r="Y39" i="6"/>
  <c r="Y38" i="6"/>
  <c r="Y37" i="6"/>
  <c r="Y34" i="6"/>
  <c r="Y24" i="6"/>
  <c r="Y23" i="6"/>
  <c r="Y22" i="6"/>
  <c r="Y21" i="6"/>
  <c r="Y20" i="6"/>
  <c r="Y19" i="6"/>
  <c r="Y18" i="6"/>
  <c r="Y17" i="6"/>
  <c r="Y16" i="6"/>
  <c r="Y15" i="6"/>
  <c r="Y14" i="6"/>
  <c r="Y13" i="6"/>
  <c r="X55" i="6"/>
  <c r="X54" i="6"/>
  <c r="X53" i="6"/>
  <c r="X51" i="6"/>
  <c r="X48" i="6"/>
  <c r="X47" i="6"/>
  <c r="X46" i="6"/>
  <c r="X45" i="6"/>
  <c r="X44" i="6"/>
  <c r="X43" i="6"/>
  <c r="X42" i="6"/>
  <c r="X41" i="6"/>
  <c r="X40" i="6"/>
  <c r="X39" i="6"/>
  <c r="X38" i="6"/>
  <c r="X37" i="6"/>
  <c r="X34" i="6"/>
  <c r="X24" i="6"/>
  <c r="X23" i="6"/>
  <c r="X22" i="6"/>
  <c r="X21" i="6"/>
  <c r="X20" i="6"/>
  <c r="X19" i="6"/>
  <c r="X18" i="6"/>
  <c r="X17" i="6"/>
  <c r="X16" i="6"/>
  <c r="X15" i="6"/>
  <c r="X14" i="6"/>
  <c r="X13" i="6"/>
  <c r="W55" i="6"/>
  <c r="W54" i="6"/>
  <c r="W53" i="6"/>
  <c r="W51" i="6"/>
  <c r="W48" i="6"/>
  <c r="W47" i="6"/>
  <c r="W46" i="6"/>
  <c r="W45" i="6"/>
  <c r="W44" i="6"/>
  <c r="W43" i="6"/>
  <c r="W42" i="6"/>
  <c r="W41" i="6"/>
  <c r="W40" i="6"/>
  <c r="W39" i="6"/>
  <c r="W38" i="6"/>
  <c r="W37" i="6"/>
  <c r="W34" i="6"/>
  <c r="W24" i="6"/>
  <c r="W23" i="6"/>
  <c r="W22" i="6"/>
  <c r="W21" i="6"/>
  <c r="W20" i="6"/>
  <c r="W19" i="6"/>
  <c r="W18" i="6"/>
  <c r="W17" i="6"/>
  <c r="W16" i="6"/>
  <c r="W15" i="6"/>
  <c r="W14" i="6"/>
  <c r="W13" i="6"/>
  <c r="V55" i="6"/>
  <c r="V54" i="6"/>
  <c r="V53" i="6"/>
  <c r="V51" i="6"/>
  <c r="V48" i="6"/>
  <c r="V47" i="6"/>
  <c r="V46" i="6"/>
  <c r="V45" i="6"/>
  <c r="V44" i="6"/>
  <c r="V43" i="6"/>
  <c r="V42" i="6"/>
  <c r="V41" i="6"/>
  <c r="V40" i="6"/>
  <c r="V39" i="6"/>
  <c r="V38" i="6"/>
  <c r="V37" i="6"/>
  <c r="V34" i="6"/>
  <c r="V24" i="6"/>
  <c r="V23" i="6"/>
  <c r="V22" i="6"/>
  <c r="V21" i="6"/>
  <c r="V20" i="6"/>
  <c r="V19" i="6"/>
  <c r="V18" i="6"/>
  <c r="V17" i="6"/>
  <c r="V16" i="6"/>
  <c r="V15" i="6"/>
  <c r="V14" i="6"/>
  <c r="V13" i="6"/>
  <c r="U55" i="6"/>
  <c r="U54" i="6"/>
  <c r="U53" i="6"/>
  <c r="U51" i="6"/>
  <c r="U48" i="6"/>
  <c r="U47" i="6"/>
  <c r="U46" i="6"/>
  <c r="U45" i="6"/>
  <c r="U44" i="6"/>
  <c r="U43" i="6"/>
  <c r="U42" i="6"/>
  <c r="U41" i="6"/>
  <c r="U40" i="6"/>
  <c r="U39" i="6"/>
  <c r="U38" i="6"/>
  <c r="U37" i="6"/>
  <c r="U34" i="6"/>
  <c r="U24" i="6"/>
  <c r="U23" i="6"/>
  <c r="U22" i="6"/>
  <c r="U21" i="6"/>
  <c r="U20" i="6"/>
  <c r="U19" i="6"/>
  <c r="U18" i="6"/>
  <c r="U17" i="6"/>
  <c r="U16" i="6"/>
  <c r="U15" i="6"/>
  <c r="U14" i="6"/>
  <c r="U13" i="6"/>
  <c r="T55" i="6"/>
  <c r="T54" i="6"/>
  <c r="T53" i="6"/>
  <c r="T51" i="6"/>
  <c r="T48" i="6"/>
  <c r="T47" i="6"/>
  <c r="T46" i="6"/>
  <c r="T45" i="6"/>
  <c r="T44" i="6"/>
  <c r="T43" i="6"/>
  <c r="T42" i="6"/>
  <c r="T41" i="6"/>
  <c r="T40" i="6"/>
  <c r="T39" i="6"/>
  <c r="T38" i="6"/>
  <c r="T37" i="6"/>
  <c r="T34" i="6"/>
  <c r="T24" i="6"/>
  <c r="T23" i="6"/>
  <c r="T22" i="6"/>
  <c r="T21" i="6"/>
  <c r="T20" i="6"/>
  <c r="T19" i="6"/>
  <c r="T18" i="6"/>
  <c r="T17" i="6"/>
  <c r="T16" i="6"/>
  <c r="T15" i="6"/>
  <c r="T14" i="6"/>
  <c r="T13" i="6"/>
  <c r="S55" i="6"/>
  <c r="S54" i="6"/>
  <c r="S53" i="6"/>
  <c r="S51" i="6"/>
  <c r="S48" i="6"/>
  <c r="S47" i="6"/>
  <c r="S46" i="6"/>
  <c r="S45" i="6"/>
  <c r="S43" i="6"/>
  <c r="S42" i="6"/>
  <c r="S41" i="6"/>
  <c r="S40" i="6"/>
  <c r="S39" i="6"/>
  <c r="S38" i="6"/>
  <c r="S37" i="6"/>
  <c r="S34" i="6"/>
  <c r="S24" i="6"/>
  <c r="S23" i="6"/>
  <c r="S22" i="6"/>
  <c r="S21" i="6"/>
  <c r="S20" i="6"/>
  <c r="S19" i="6"/>
  <c r="S18" i="6"/>
  <c r="S17" i="6"/>
  <c r="S15" i="6"/>
  <c r="S14" i="6"/>
  <c r="S13" i="6"/>
  <c r="R55" i="6"/>
  <c r="R54" i="6"/>
  <c r="R53" i="6"/>
  <c r="R51" i="6"/>
  <c r="R48" i="6"/>
  <c r="R47" i="6"/>
  <c r="R46" i="6"/>
  <c r="R45" i="6"/>
  <c r="R43" i="6"/>
  <c r="R42" i="6"/>
  <c r="R41" i="6"/>
  <c r="R40" i="6"/>
  <c r="R39" i="6"/>
  <c r="R38" i="6"/>
  <c r="R37" i="6"/>
  <c r="R34" i="6"/>
  <c r="R24" i="6"/>
  <c r="R23" i="6"/>
  <c r="R22" i="6"/>
  <c r="R21" i="6"/>
  <c r="R20" i="6"/>
  <c r="R18" i="6"/>
  <c r="R17" i="6"/>
  <c r="R16" i="6"/>
  <c r="R15" i="6"/>
  <c r="R14" i="6"/>
  <c r="R13" i="6"/>
  <c r="Q55" i="6"/>
  <c r="Q54" i="6"/>
  <c r="Q53" i="6"/>
  <c r="Q51" i="6"/>
  <c r="Q48" i="6"/>
  <c r="Q47" i="6"/>
  <c r="Q46" i="6"/>
  <c r="Q45" i="6"/>
  <c r="Q44" i="6"/>
  <c r="Q43" i="6"/>
  <c r="Q42" i="6"/>
  <c r="Q41" i="6"/>
  <c r="Q40" i="6"/>
  <c r="Q39" i="6"/>
  <c r="Q38" i="6"/>
  <c r="Q37" i="6"/>
  <c r="Q34" i="6"/>
  <c r="Q24" i="6"/>
  <c r="Q23" i="6"/>
  <c r="Q22" i="6"/>
  <c r="Q21" i="6"/>
  <c r="Q20" i="6"/>
  <c r="Q19" i="6"/>
  <c r="Q16" i="6"/>
  <c r="Q15" i="6"/>
  <c r="Q14" i="6"/>
  <c r="Q13" i="6"/>
  <c r="P55" i="6"/>
  <c r="P54" i="6"/>
  <c r="P53" i="6"/>
  <c r="P51" i="6"/>
  <c r="P48" i="6"/>
  <c r="P47" i="6"/>
  <c r="P46" i="6"/>
  <c r="P45" i="6"/>
  <c r="P44" i="6"/>
  <c r="P43" i="6"/>
  <c r="P42" i="6"/>
  <c r="P41" i="6"/>
  <c r="P40" i="6"/>
  <c r="P39" i="6"/>
  <c r="P38" i="6"/>
  <c r="P37" i="6"/>
  <c r="P34" i="6"/>
  <c r="P24" i="6"/>
  <c r="P23" i="6"/>
  <c r="P22" i="6"/>
  <c r="P21" i="6"/>
  <c r="P20" i="6"/>
  <c r="P19" i="6"/>
  <c r="P18" i="6"/>
  <c r="P16" i="6"/>
  <c r="P15" i="6"/>
  <c r="P14" i="6"/>
  <c r="P13" i="6"/>
  <c r="O55" i="6"/>
  <c r="O54" i="6"/>
  <c r="O53" i="6"/>
  <c r="O51" i="6"/>
  <c r="O48" i="6"/>
  <c r="O47" i="6"/>
  <c r="O46" i="6"/>
  <c r="O45" i="6"/>
  <c r="O44" i="6"/>
  <c r="O43" i="6"/>
  <c r="O42" i="6"/>
  <c r="O41" i="6"/>
  <c r="O40" i="6"/>
  <c r="O39" i="6"/>
  <c r="O38" i="6"/>
  <c r="O37" i="6"/>
  <c r="O34" i="6"/>
  <c r="O24" i="6"/>
  <c r="O23" i="6"/>
  <c r="O22" i="6"/>
  <c r="O21" i="6"/>
  <c r="O20" i="6"/>
  <c r="O19" i="6"/>
  <c r="O18" i="6"/>
  <c r="O17" i="6"/>
  <c r="O16" i="6"/>
  <c r="O15" i="6"/>
  <c r="O14" i="6"/>
  <c r="O13" i="6"/>
  <c r="N55" i="6"/>
  <c r="N54" i="6"/>
  <c r="N53" i="6"/>
  <c r="N51" i="6"/>
  <c r="N48" i="6"/>
  <c r="N47" i="6"/>
  <c r="N46" i="6"/>
  <c r="N45" i="6"/>
  <c r="N44" i="6"/>
  <c r="N43" i="6"/>
  <c r="N42" i="6"/>
  <c r="N41" i="6"/>
  <c r="N40" i="6"/>
  <c r="N39" i="6"/>
  <c r="N38" i="6"/>
  <c r="N37" i="6"/>
  <c r="N34" i="6"/>
  <c r="N24" i="6"/>
  <c r="N23" i="6"/>
  <c r="N22" i="6"/>
  <c r="N21" i="6"/>
  <c r="N20" i="6"/>
  <c r="N19" i="6"/>
  <c r="N18" i="6"/>
  <c r="N17" i="6"/>
  <c r="N16" i="6"/>
  <c r="N14" i="6"/>
  <c r="N13" i="6"/>
  <c r="M55" i="6"/>
  <c r="M54" i="6"/>
  <c r="M53" i="6"/>
  <c r="M51" i="6"/>
  <c r="M48" i="6"/>
  <c r="M47" i="6"/>
  <c r="M46" i="6"/>
  <c r="M45" i="6"/>
  <c r="M44" i="6"/>
  <c r="M43" i="6"/>
  <c r="M42" i="6"/>
  <c r="M41" i="6"/>
  <c r="M40" i="6"/>
  <c r="M39" i="6"/>
  <c r="M38" i="6"/>
  <c r="M37" i="6"/>
  <c r="M34" i="6"/>
  <c r="M24" i="6"/>
  <c r="M23" i="6"/>
  <c r="M22" i="6"/>
  <c r="M21" i="6"/>
  <c r="M20" i="6"/>
  <c r="M19" i="6"/>
  <c r="M18" i="6"/>
  <c r="M17" i="6"/>
  <c r="M16" i="6"/>
  <c r="M15" i="6"/>
  <c r="L55" i="6"/>
  <c r="L54" i="6"/>
  <c r="L53" i="6"/>
  <c r="L51" i="6"/>
  <c r="L48" i="6"/>
  <c r="L47" i="6"/>
  <c r="L46" i="6"/>
  <c r="L45" i="6"/>
  <c r="L44" i="6"/>
  <c r="L43" i="6"/>
  <c r="L42" i="6"/>
  <c r="L41" i="6"/>
  <c r="L40" i="6"/>
  <c r="L39" i="6"/>
  <c r="L38" i="6"/>
  <c r="L37" i="6"/>
  <c r="L34" i="6"/>
  <c r="L24" i="6"/>
  <c r="L23" i="6"/>
  <c r="L22" i="6"/>
  <c r="L21" i="6"/>
  <c r="L20" i="6"/>
  <c r="L19" i="6"/>
  <c r="L18" i="6"/>
  <c r="L17" i="6"/>
  <c r="L16" i="6"/>
  <c r="L15" i="6"/>
  <c r="L14" i="6"/>
  <c r="L13" i="6"/>
  <c r="K55" i="6"/>
  <c r="K54" i="6"/>
  <c r="K53" i="6"/>
  <c r="K51" i="6"/>
  <c r="K48" i="6"/>
  <c r="K47" i="6"/>
  <c r="K46" i="6"/>
  <c r="K45" i="6"/>
  <c r="K44" i="6"/>
  <c r="K43" i="6"/>
  <c r="K42" i="6"/>
  <c r="K41" i="6"/>
  <c r="K40" i="6"/>
  <c r="K39" i="6"/>
  <c r="K38" i="6"/>
  <c r="K34" i="6"/>
  <c r="K24" i="6"/>
  <c r="K23" i="6"/>
  <c r="K22" i="6"/>
  <c r="K21" i="6"/>
  <c r="K20" i="6"/>
  <c r="K19" i="6"/>
  <c r="K18" i="6"/>
  <c r="K17" i="6"/>
  <c r="K16" i="6"/>
  <c r="K15" i="6"/>
  <c r="K14" i="6"/>
  <c r="K13" i="6"/>
  <c r="T7" i="25"/>
  <c r="AB5" i="25"/>
  <c r="Y12" i="6"/>
  <c r="Y11" i="6"/>
  <c r="Y10" i="6"/>
  <c r="Y9" i="6"/>
  <c r="Y8" i="6"/>
  <c r="Y7" i="6"/>
  <c r="Y6" i="6"/>
  <c r="Y4" i="6"/>
  <c r="Y81" i="6"/>
  <c r="X12" i="6"/>
  <c r="X11" i="6"/>
  <c r="X10" i="6"/>
  <c r="X9" i="6"/>
  <c r="X8" i="6"/>
  <c r="X7" i="6"/>
  <c r="X6" i="6"/>
  <c r="X4" i="6"/>
  <c r="X81" i="6"/>
  <c r="W12" i="6"/>
  <c r="W11" i="6"/>
  <c r="W10" i="6"/>
  <c r="W9" i="6"/>
  <c r="W8" i="6"/>
  <c r="W7" i="6"/>
  <c r="W6" i="6"/>
  <c r="W4" i="6"/>
  <c r="W81" i="6"/>
  <c r="V12" i="6"/>
  <c r="V11" i="6"/>
  <c r="V10" i="6"/>
  <c r="V9" i="6"/>
  <c r="V8" i="6"/>
  <c r="V7" i="6"/>
  <c r="V6" i="6"/>
  <c r="V4" i="6"/>
  <c r="V81" i="6"/>
  <c r="U12" i="6"/>
  <c r="U11" i="6"/>
  <c r="U10" i="6"/>
  <c r="U9" i="6"/>
  <c r="U8" i="6"/>
  <c r="U7" i="6"/>
  <c r="U6" i="6"/>
  <c r="U4" i="6"/>
  <c r="U81" i="6"/>
  <c r="T12" i="6"/>
  <c r="T11" i="6"/>
  <c r="T10" i="6"/>
  <c r="T9" i="6"/>
  <c r="T8" i="6"/>
  <c r="T7" i="6"/>
  <c r="T6" i="6"/>
  <c r="T4" i="6"/>
  <c r="T81" i="6"/>
  <c r="S12" i="6"/>
  <c r="S11" i="6"/>
  <c r="S10" i="6"/>
  <c r="S9" i="6"/>
  <c r="S8" i="6"/>
  <c r="S7" i="6"/>
  <c r="S6" i="6"/>
  <c r="S4" i="6"/>
  <c r="S81" i="6"/>
  <c r="S64" i="6"/>
  <c r="S67" i="6"/>
  <c r="R12" i="6"/>
  <c r="R11" i="6"/>
  <c r="R10" i="6"/>
  <c r="R9" i="6"/>
  <c r="R8" i="6"/>
  <c r="R7" i="6"/>
  <c r="R6" i="6"/>
  <c r="R4" i="6"/>
  <c r="R81" i="6"/>
  <c r="Q12" i="6"/>
  <c r="Q11" i="6"/>
  <c r="Q10" i="6"/>
  <c r="Q9" i="6"/>
  <c r="Q8" i="6"/>
  <c r="Q7" i="6"/>
  <c r="Q6" i="6"/>
  <c r="Q4" i="6"/>
  <c r="Q81" i="6"/>
  <c r="P12" i="6"/>
  <c r="P11" i="6"/>
  <c r="P10" i="6"/>
  <c r="P9" i="6"/>
  <c r="P8" i="6"/>
  <c r="P7" i="6"/>
  <c r="P6" i="6"/>
  <c r="P4" i="6"/>
  <c r="P81" i="6"/>
  <c r="O12" i="6"/>
  <c r="O11" i="6"/>
  <c r="O10" i="6"/>
  <c r="O9" i="6"/>
  <c r="O8" i="6"/>
  <c r="O7" i="6"/>
  <c r="O6" i="6"/>
  <c r="O4" i="6"/>
  <c r="O81" i="6"/>
  <c r="N12" i="6"/>
  <c r="N11" i="6"/>
  <c r="N10" i="6"/>
  <c r="N9" i="6"/>
  <c r="N8" i="6"/>
  <c r="N7" i="6"/>
  <c r="N6" i="6"/>
  <c r="N4" i="6"/>
  <c r="N81" i="6"/>
  <c r="M12" i="6"/>
  <c r="M11" i="6"/>
  <c r="M10" i="6"/>
  <c r="M9" i="6"/>
  <c r="M8" i="6"/>
  <c r="M7" i="6"/>
  <c r="M6" i="6"/>
  <c r="M4" i="6"/>
  <c r="M81" i="6"/>
  <c r="L12" i="6"/>
  <c r="L11" i="6"/>
  <c r="L10" i="6"/>
  <c r="L9" i="6"/>
  <c r="L8" i="6"/>
  <c r="L7" i="6"/>
  <c r="L6" i="6"/>
  <c r="L4" i="6"/>
  <c r="L81" i="6"/>
  <c r="K12" i="6"/>
  <c r="K11" i="6"/>
  <c r="K10" i="6"/>
  <c r="K9" i="6"/>
  <c r="K8" i="6"/>
  <c r="K7" i="6"/>
  <c r="K6" i="6"/>
  <c r="K4" i="6"/>
  <c r="K81" i="6"/>
  <c r="Y60" i="6"/>
  <c r="X60" i="6"/>
  <c r="W60" i="6"/>
  <c r="V60" i="6"/>
  <c r="U60" i="6"/>
  <c r="T60" i="6"/>
  <c r="S60" i="6"/>
  <c r="R60" i="6"/>
  <c r="Q60" i="6"/>
  <c r="P60" i="6"/>
  <c r="O60" i="6"/>
  <c r="N60" i="6"/>
  <c r="M60" i="6"/>
  <c r="L60" i="6"/>
  <c r="K60" i="6"/>
  <c r="R79" i="6"/>
  <c r="Q79" i="6"/>
  <c r="P67" i="6"/>
  <c r="P68" i="6"/>
  <c r="P69" i="6"/>
  <c r="P71" i="6"/>
  <c r="P72" i="6"/>
  <c r="P73" i="6"/>
  <c r="P79" i="6"/>
  <c r="Y67" i="6"/>
  <c r="Y68" i="6"/>
  <c r="Y69" i="6"/>
  <c r="Y71" i="6"/>
  <c r="Y72" i="6"/>
  <c r="Y73" i="6"/>
  <c r="Y79" i="6"/>
  <c r="Y80" i="6"/>
  <c r="Y82" i="6"/>
  <c r="X67" i="6"/>
  <c r="X68" i="6"/>
  <c r="X69" i="6"/>
  <c r="X71" i="6"/>
  <c r="X72" i="6"/>
  <c r="X73" i="6"/>
  <c r="X79" i="6"/>
  <c r="X80" i="6"/>
  <c r="X82" i="6"/>
  <c r="W67" i="6"/>
  <c r="W68" i="6"/>
  <c r="W69" i="6"/>
  <c r="W71" i="6"/>
  <c r="W72" i="6"/>
  <c r="W73" i="6"/>
  <c r="W79" i="6"/>
  <c r="W80" i="6"/>
  <c r="W82" i="6"/>
  <c r="V67" i="6"/>
  <c r="V68" i="6"/>
  <c r="V69" i="6"/>
  <c r="V71" i="6"/>
  <c r="V72" i="6"/>
  <c r="V73" i="6"/>
  <c r="V79" i="6"/>
  <c r="V80" i="6"/>
  <c r="V82" i="6"/>
  <c r="U67" i="6"/>
  <c r="U68" i="6"/>
  <c r="U69" i="6"/>
  <c r="U71" i="6"/>
  <c r="U72" i="6"/>
  <c r="U73" i="6"/>
  <c r="U79" i="6"/>
  <c r="U80" i="6"/>
  <c r="U82" i="6"/>
  <c r="T67" i="6"/>
  <c r="T68" i="6"/>
  <c r="T69" i="6"/>
  <c r="T71" i="6"/>
  <c r="T72" i="6"/>
  <c r="T73" i="6"/>
  <c r="T79" i="6"/>
  <c r="T80" i="6"/>
  <c r="T82" i="6"/>
  <c r="S68" i="6"/>
  <c r="S69" i="6"/>
  <c r="S71" i="6"/>
  <c r="S72" i="6"/>
  <c r="S73" i="6"/>
  <c r="S79" i="6"/>
  <c r="S80" i="6"/>
  <c r="S82" i="6"/>
  <c r="R67" i="6"/>
  <c r="R68" i="6"/>
  <c r="R69" i="6"/>
  <c r="R71" i="6"/>
  <c r="R72" i="6"/>
  <c r="R73" i="6"/>
  <c r="R80" i="6"/>
  <c r="R82" i="6"/>
  <c r="Q67" i="6"/>
  <c r="Q68" i="6"/>
  <c r="Q69" i="6"/>
  <c r="Q71" i="6"/>
  <c r="Q72" i="6"/>
  <c r="Q73" i="6"/>
  <c r="Q80" i="6"/>
  <c r="Q82" i="6"/>
  <c r="P80" i="6"/>
  <c r="P82" i="6"/>
  <c r="O67" i="6"/>
  <c r="O68" i="6"/>
  <c r="O69" i="6"/>
  <c r="O71" i="6"/>
  <c r="O72" i="6"/>
  <c r="O73" i="6"/>
  <c r="O79" i="6"/>
  <c r="O80" i="6"/>
  <c r="O82" i="6"/>
  <c r="N68" i="6"/>
  <c r="N69" i="6"/>
  <c r="N71" i="6"/>
  <c r="N72" i="6"/>
  <c r="N73" i="6"/>
  <c r="N79" i="6"/>
  <c r="N80" i="6"/>
  <c r="N82" i="6"/>
  <c r="M67" i="6"/>
  <c r="M68" i="6"/>
  <c r="M69" i="6"/>
  <c r="M71" i="6"/>
  <c r="M72" i="6"/>
  <c r="M73" i="6"/>
  <c r="M79" i="6"/>
  <c r="M82" i="6"/>
  <c r="L67" i="6"/>
  <c r="L68" i="6"/>
  <c r="L69" i="6"/>
  <c r="L71" i="6"/>
  <c r="L72" i="6"/>
  <c r="L73" i="6"/>
  <c r="L79" i="6"/>
  <c r="L80" i="6"/>
  <c r="L82" i="6"/>
  <c r="K67" i="6"/>
  <c r="K68" i="6"/>
  <c r="K69" i="6"/>
  <c r="K71" i="6"/>
  <c r="K72" i="6"/>
  <c r="K73" i="6"/>
  <c r="K80" i="6"/>
  <c r="K82" i="6"/>
  <c r="AK4" i="29" l="1"/>
  <c r="AN13" i="29" s="1"/>
  <c r="AN7" i="29"/>
  <c r="AN15" i="29"/>
  <c r="AN14" i="29"/>
  <c r="AN8" i="29"/>
  <c r="O82" i="29"/>
  <c r="T82" i="29"/>
  <c r="Q82" i="29" a="1"/>
  <c r="Q82" i="29" s="1"/>
  <c r="P82" i="29"/>
  <c r="O81" i="29"/>
  <c r="T81" i="29"/>
  <c r="Q81" i="29" a="1"/>
  <c r="Q81" i="29" s="1"/>
  <c r="P81" i="29"/>
  <c r="O80" i="29"/>
  <c r="T80" i="29"/>
  <c r="Q80" i="29" a="1"/>
  <c r="Q80" i="29" s="1"/>
  <c r="P80" i="29"/>
  <c r="O79" i="29"/>
  <c r="T79" i="29"/>
  <c r="Q79" i="29" a="1"/>
  <c r="Q79" i="29" s="1"/>
  <c r="P79" i="29"/>
  <c r="O78" i="29"/>
  <c r="T78" i="29"/>
  <c r="Q78" i="29" a="1"/>
  <c r="Q78" i="29" s="1"/>
  <c r="P78" i="29"/>
  <c r="O77" i="29"/>
  <c r="T77" i="29"/>
  <c r="Q77" i="29" a="1"/>
  <c r="Q77" i="29" s="1"/>
  <c r="P77" i="29"/>
  <c r="O76" i="29"/>
  <c r="T76" i="29"/>
  <c r="Q76" i="29" a="1"/>
  <c r="Q76" i="29" s="1"/>
  <c r="P76" i="29"/>
  <c r="O75" i="29"/>
  <c r="T75" i="29"/>
  <c r="Q75" i="29" a="1"/>
  <c r="Q75" i="29" s="1"/>
  <c r="P75" i="29"/>
  <c r="O74" i="29"/>
  <c r="T74" i="29"/>
  <c r="Q74" i="29" a="1"/>
  <c r="Q74" i="29" s="1"/>
  <c r="P74" i="29"/>
  <c r="O73" i="29"/>
  <c r="T73" i="29"/>
  <c r="Q73" i="29" a="1"/>
  <c r="Q73" i="29" s="1"/>
  <c r="P73" i="29"/>
  <c r="O72" i="29"/>
  <c r="T72" i="29"/>
  <c r="Q72" i="29" a="1"/>
  <c r="Q72" i="29" s="1"/>
  <c r="P72" i="29"/>
  <c r="O71" i="29"/>
  <c r="T71" i="29"/>
  <c r="Q71" i="29" a="1"/>
  <c r="Q71" i="29" s="1"/>
  <c r="P71" i="29"/>
  <c r="O70" i="29"/>
  <c r="T70" i="29"/>
  <c r="Q70" i="29" a="1"/>
  <c r="Q70" i="29" s="1"/>
  <c r="P70" i="29"/>
  <c r="O69" i="29"/>
  <c r="T69" i="29"/>
  <c r="Q69" i="29" a="1"/>
  <c r="Q69" i="29" s="1"/>
  <c r="P69" i="29"/>
  <c r="O68" i="29"/>
  <c r="T68" i="29"/>
  <c r="Q68" i="29" a="1"/>
  <c r="Q68" i="29" s="1"/>
  <c r="P68" i="29"/>
  <c r="O67" i="29"/>
  <c r="T67" i="29"/>
  <c r="Q67" i="29" a="1"/>
  <c r="Q67" i="29" s="1"/>
  <c r="P67" i="29"/>
  <c r="O66" i="29"/>
  <c r="T66" i="29"/>
  <c r="Q66" i="29" a="1"/>
  <c r="Q66" i="29" s="1"/>
  <c r="P66" i="29"/>
  <c r="O65" i="29"/>
  <c r="T65" i="29"/>
  <c r="Q65" i="29" a="1"/>
  <c r="Q65" i="29" s="1"/>
  <c r="P65" i="29"/>
  <c r="O64" i="29"/>
  <c r="T64" i="29"/>
  <c r="Q64" i="29" a="1"/>
  <c r="Q64" i="29" s="1"/>
  <c r="P64" i="29"/>
  <c r="O63" i="29"/>
  <c r="T63" i="29"/>
  <c r="Q63" i="29" a="1"/>
  <c r="Q63" i="29" s="1"/>
  <c r="P63" i="29"/>
  <c r="O62" i="29"/>
  <c r="T62" i="29"/>
  <c r="Q62" i="29" a="1"/>
  <c r="Q62" i="29" s="1"/>
  <c r="P62" i="29"/>
  <c r="O61" i="29"/>
  <c r="T61" i="29"/>
  <c r="Q61" i="29" a="1"/>
  <c r="Q61" i="29" s="1"/>
  <c r="P61" i="29"/>
  <c r="O60" i="29"/>
  <c r="T60" i="29"/>
  <c r="Q60" i="29" a="1"/>
  <c r="Q60" i="29" s="1"/>
  <c r="P60" i="29"/>
  <c r="O59" i="29"/>
  <c r="T59" i="29"/>
  <c r="Q59" i="29" a="1"/>
  <c r="Q59" i="29" s="1"/>
  <c r="P59" i="29"/>
  <c r="O58" i="29"/>
  <c r="T58" i="29"/>
  <c r="Q58" i="29" a="1"/>
  <c r="Q58" i="29" s="1"/>
  <c r="P58" i="29"/>
  <c r="O57" i="29"/>
  <c r="T57" i="29"/>
  <c r="Q57" i="29" a="1"/>
  <c r="Q57" i="29" s="1"/>
  <c r="P57" i="29"/>
  <c r="O56" i="29"/>
  <c r="T56" i="29"/>
  <c r="Q56" i="29" a="1"/>
  <c r="Q56" i="29" s="1"/>
  <c r="P56" i="29"/>
  <c r="O55" i="29"/>
  <c r="T55" i="29"/>
  <c r="Q55" i="29" a="1"/>
  <c r="Q55" i="29" s="1"/>
  <c r="P55" i="29"/>
  <c r="O54" i="29"/>
  <c r="T54" i="29"/>
  <c r="Q54" i="29" a="1"/>
  <c r="Q54" i="29" s="1"/>
  <c r="P54" i="29"/>
  <c r="O53" i="29"/>
  <c r="T53" i="29"/>
  <c r="Q53" i="29" a="1"/>
  <c r="Q53" i="29" s="1"/>
  <c r="P53" i="29"/>
  <c r="O52" i="29"/>
  <c r="T52" i="29"/>
  <c r="Q52" i="29" a="1"/>
  <c r="Q52" i="29" s="1"/>
  <c r="P52" i="29"/>
  <c r="O51" i="29"/>
  <c r="T51" i="29"/>
  <c r="Q51" i="29" a="1"/>
  <c r="Q51" i="29" s="1"/>
  <c r="P51" i="29"/>
  <c r="O50" i="29"/>
  <c r="T50" i="29"/>
  <c r="Q50" i="29" a="1"/>
  <c r="Q50" i="29" s="1"/>
  <c r="P50" i="29"/>
  <c r="O49" i="29"/>
  <c r="T49" i="29"/>
  <c r="Q49" i="29" a="1"/>
  <c r="Q49" i="29" s="1"/>
  <c r="P49" i="29"/>
  <c r="O48" i="29"/>
  <c r="T48" i="29"/>
  <c r="Q48" i="29" a="1"/>
  <c r="Q48" i="29" s="1"/>
  <c r="P48" i="29"/>
  <c r="O47" i="29"/>
  <c r="T47" i="29"/>
  <c r="Q47" i="29" a="1"/>
  <c r="Q47" i="29" s="1"/>
  <c r="P47" i="29"/>
  <c r="O46" i="29"/>
  <c r="T46" i="29"/>
  <c r="Q46" i="29" a="1"/>
  <c r="Q46" i="29" s="1"/>
  <c r="P46" i="29"/>
  <c r="O45" i="29"/>
  <c r="T45" i="29"/>
  <c r="Q45" i="29" a="1"/>
  <c r="Q45" i="29" s="1"/>
  <c r="P45" i="29"/>
  <c r="O44" i="29"/>
  <c r="T44" i="29"/>
  <c r="Q44" i="29" a="1"/>
  <c r="Q44" i="29" s="1"/>
  <c r="P44" i="29"/>
  <c r="O43" i="29"/>
  <c r="T43" i="29"/>
  <c r="Q43" i="29" a="1"/>
  <c r="Q43" i="29" s="1"/>
  <c r="P43" i="29"/>
  <c r="O42" i="29"/>
  <c r="T42" i="29"/>
  <c r="Q42" i="29" a="1"/>
  <c r="Q42" i="29" s="1"/>
  <c r="P42" i="29"/>
  <c r="O41" i="29"/>
  <c r="T41" i="29"/>
  <c r="Q41" i="29" a="1"/>
  <c r="Q41" i="29" s="1"/>
  <c r="P41" i="29"/>
  <c r="O40" i="29"/>
  <c r="T40" i="29"/>
  <c r="Q40" i="29" a="1"/>
  <c r="Q40" i="29" s="1"/>
  <c r="P40" i="29"/>
  <c r="O39" i="29"/>
  <c r="T39" i="29"/>
  <c r="Q39" i="29" a="1"/>
  <c r="Q39" i="29" s="1"/>
  <c r="P39" i="29"/>
  <c r="O38" i="29"/>
  <c r="T38" i="29"/>
  <c r="Q38" i="29" a="1"/>
  <c r="Q38" i="29" s="1"/>
  <c r="P38" i="29"/>
  <c r="O37" i="29"/>
  <c r="T37" i="29"/>
  <c r="Q37" i="29" a="1"/>
  <c r="Q37" i="29" s="1"/>
  <c r="P37" i="29"/>
  <c r="O36" i="29"/>
  <c r="T36" i="29"/>
  <c r="Q36" i="29" a="1"/>
  <c r="Q36" i="29" s="1"/>
  <c r="P36" i="29"/>
  <c r="O35" i="29"/>
  <c r="T35" i="29"/>
  <c r="Q35" i="29" a="1"/>
  <c r="Q35" i="29" s="1"/>
  <c r="P35" i="29"/>
  <c r="O34" i="29"/>
  <c r="T34" i="29"/>
  <c r="Q34" i="29" a="1"/>
  <c r="Q34" i="29" s="1"/>
  <c r="P34" i="29"/>
  <c r="O33" i="29"/>
  <c r="T33" i="29"/>
  <c r="Q33" i="29" a="1"/>
  <c r="Q33" i="29" s="1"/>
  <c r="P33" i="29"/>
  <c r="O32" i="29"/>
  <c r="T32" i="29"/>
  <c r="Q32" i="29" a="1"/>
  <c r="Q32" i="29" s="1"/>
  <c r="P32" i="29"/>
  <c r="O31" i="29"/>
  <c r="T31" i="29"/>
  <c r="Q31" i="29" a="1"/>
  <c r="Q31" i="29" s="1"/>
  <c r="P31" i="29"/>
  <c r="O30" i="29"/>
  <c r="T30" i="29"/>
  <c r="Q30" i="29" a="1"/>
  <c r="Q30" i="29" s="1"/>
  <c r="P30" i="29"/>
  <c r="O29" i="29"/>
  <c r="T29" i="29"/>
  <c r="Q29" i="29" a="1"/>
  <c r="Q29" i="29" s="1"/>
  <c r="P29" i="29"/>
  <c r="O28" i="29"/>
  <c r="T28" i="29"/>
  <c r="Q28" i="29" a="1"/>
  <c r="Q28" i="29" s="1"/>
  <c r="P28" i="29"/>
  <c r="O27" i="29"/>
  <c r="T27" i="29"/>
  <c r="Q27" i="29" a="1"/>
  <c r="Q27" i="29" s="1"/>
  <c r="P27" i="29"/>
  <c r="O26" i="29"/>
  <c r="T26" i="29"/>
  <c r="Q26" i="29" a="1"/>
  <c r="Q26" i="29" s="1"/>
  <c r="P26" i="29"/>
  <c r="O25" i="29"/>
  <c r="T25" i="29"/>
  <c r="Q25" i="29" a="1"/>
  <c r="Q25" i="29" s="1"/>
  <c r="P25" i="29"/>
  <c r="O24" i="29"/>
  <c r="T24" i="29"/>
  <c r="Q24" i="29" a="1"/>
  <c r="Q24" i="29" s="1"/>
  <c r="P24" i="29"/>
  <c r="O23" i="29"/>
  <c r="T23" i="29"/>
  <c r="Q23" i="29" a="1"/>
  <c r="Q23" i="29" s="1"/>
  <c r="P23" i="29"/>
  <c r="O22" i="29"/>
  <c r="T22" i="29"/>
  <c r="Q22" i="29" a="1"/>
  <c r="Q22" i="29" s="1"/>
  <c r="P22" i="29"/>
  <c r="O21" i="29"/>
  <c r="T21" i="29"/>
  <c r="Q21" i="29" a="1"/>
  <c r="Q21" i="29" s="1"/>
  <c r="P21" i="29"/>
  <c r="O20" i="29"/>
  <c r="T20" i="29"/>
  <c r="Q20" i="29" a="1"/>
  <c r="Q20" i="29" s="1"/>
  <c r="P20" i="29"/>
  <c r="O19" i="29"/>
  <c r="T19" i="29"/>
  <c r="Q19" i="29" a="1"/>
  <c r="Q19" i="29" s="1"/>
  <c r="P19" i="29"/>
  <c r="O18" i="29"/>
  <c r="T18" i="29"/>
  <c r="Q18" i="29" a="1"/>
  <c r="Q18" i="29" s="1"/>
  <c r="P18" i="29"/>
  <c r="O17" i="29"/>
  <c r="T17" i="29"/>
  <c r="Q17" i="29" a="1"/>
  <c r="Q17" i="29" s="1"/>
  <c r="P17" i="29"/>
  <c r="O16" i="29"/>
  <c r="T16" i="29"/>
  <c r="Q16" i="29" a="1"/>
  <c r="Q16" i="29" s="1"/>
  <c r="P16" i="29"/>
  <c r="O15" i="29"/>
  <c r="T15" i="29"/>
  <c r="Q15" i="29" a="1"/>
  <c r="Q15" i="29" s="1"/>
  <c r="P15" i="29"/>
  <c r="O14" i="29"/>
  <c r="T14" i="29"/>
  <c r="Q14" i="29" a="1"/>
  <c r="Q14" i="29" s="1"/>
  <c r="P14" i="29"/>
  <c r="O13" i="29"/>
  <c r="T13" i="29"/>
  <c r="Q13" i="29" a="1"/>
  <c r="Q13" i="29" s="1"/>
  <c r="P13" i="29"/>
  <c r="O12" i="29"/>
  <c r="T12" i="29"/>
  <c r="Q12" i="29" a="1"/>
  <c r="Q12" i="29" s="1"/>
  <c r="P12" i="29"/>
  <c r="O11" i="29"/>
  <c r="T11" i="29"/>
  <c r="Q11" i="29" a="1"/>
  <c r="Q11" i="29" s="1"/>
  <c r="P11" i="29"/>
  <c r="O10" i="29"/>
  <c r="T10" i="29"/>
  <c r="Q10" i="29" a="1"/>
  <c r="Q10" i="29" s="1"/>
  <c r="P10" i="29"/>
  <c r="O9" i="29"/>
  <c r="T9" i="29"/>
  <c r="Q9" i="29" a="1"/>
  <c r="Q9" i="29" s="1"/>
  <c r="P9" i="29"/>
  <c r="O8" i="29"/>
  <c r="T8" i="29"/>
  <c r="Q8" i="29" a="1"/>
  <c r="Q8" i="29" s="1"/>
  <c r="P8" i="29"/>
  <c r="O7" i="29"/>
  <c r="T7" i="29"/>
  <c r="Q7" i="29" a="1"/>
  <c r="Q7" i="29" s="1"/>
  <c r="P7" i="29"/>
  <c r="O6" i="29"/>
  <c r="T6" i="29"/>
  <c r="Q6" i="29" a="1"/>
  <c r="Q6" i="29" s="1"/>
  <c r="P6" i="29"/>
  <c r="O5" i="29"/>
  <c r="T5" i="29"/>
  <c r="Q5" i="29" a="1"/>
  <c r="Q5" i="29" s="1"/>
  <c r="P5" i="29"/>
  <c r="G69" i="25"/>
  <c r="AN12" i="29" l="1"/>
  <c r="AN11" i="29"/>
  <c r="AN10"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D3" authorId="0" shapeId="0" xr:uid="{64BA4DE4-30E6-4458-BEE6-BA5D7EFBE16B}">
      <text>
        <r>
          <rPr>
            <sz val="11"/>
            <color theme="1"/>
            <rFont val="맑은 고딕"/>
            <family val="2"/>
            <scheme val="minor"/>
          </rPr>
          <t>Channel API = 고객사가 OMH API를 호출 (OMH가 공급자, 우리 API 사용). CRS / Switching / 3rd Party = OMH가 고객사 API에 붙어 개발.</t>
        </r>
      </text>
    </comment>
    <comment ref="E3" authorId="0" shapeId="0" xr:uid="{7C3FBEA5-AD5B-44B4-B97B-004B3C134B2A}">
      <text>
        <r>
          <rPr>
            <sz val="11"/>
            <color theme="1"/>
            <rFont val="맑은 고딕"/>
            <family val="2"/>
            <scheme val="minor"/>
          </rPr>
          <t>드롭다운: High / Mid / Low. 영업·PM이 직접 지정 (미지정 건수는 우상단 요약 패널 확인).</t>
        </r>
      </text>
    </comment>
    <comment ref="M3" authorId="0" shapeId="0" xr:uid="{2A80903A-A302-4625-95FF-6E76966BA26D}">
      <text>
        <r>
          <rPr>
            <sz val="11"/>
            <color theme="1"/>
            <rFont val="맑은 고딕"/>
            <family val="2"/>
            <scheme val="minor"/>
          </rPr>
          <t>Dev Schedule 프로젝트명과 CRM 시트 Channel Name이 다를 때 쓰는 연결 키. 노랑 = 미지정.</t>
        </r>
      </text>
    </comment>
    <comment ref="N3" authorId="0" shapeId="0" xr:uid="{5ABED5B0-E9B4-495A-9489-5712CE12CA14}">
      <text>
        <r>
          <rPr>
            <sz val="11"/>
            <color theme="1"/>
            <rFont val="맑은 고딕"/>
            <family val="2"/>
            <scheme val="minor"/>
          </rPr>
          <t>날짜가 입력된 가장 마지막 단계의 가중치 (AL3:AW3 참조). 수식 자동 계산.</t>
        </r>
      </text>
    </comment>
    <comment ref="T3" authorId="0" shapeId="0" xr:uid="{7C693BB3-F44A-48D9-9585-48BE7FCC5834}">
      <text>
        <r>
          <rPr>
            <sz val="11"/>
            <color theme="1"/>
            <rFont val="맑은 고딕"/>
            <family val="2"/>
            <scheme val="minor"/>
          </rPr>
          <t>최근 마일스톤 날짜 기준 경과일로 자동 판정. 30/60/90일 이상 진전 없으면 정지로 표시.</t>
        </r>
      </text>
    </comment>
    <comment ref="U3" authorId="0" shapeId="0" xr:uid="{B854B02D-6AC8-4415-93D8-D5B96F0CD2A6}">
      <text>
        <r>
          <rPr>
            <sz val="11"/>
            <color theme="1"/>
            <rFont val="맑은 고딕"/>
            <family val="2"/>
            <scheme val="minor"/>
          </rPr>
          <t>U~AF열은 직접 입력 칸입니다. 초기값은 CRM 시트의 단계별 날짜 이력(1ST Contact ~ API Live)에서 가져오기함.</t>
        </r>
      </text>
    </comment>
    <comment ref="AK3" authorId="0" shapeId="0" xr:uid="{A320AB9D-0046-4F8D-B52B-8347956A94FC}">
      <text>
        <r>
          <rPr>
            <sz val="11"/>
            <color theme="1"/>
            <rFont val="맑은 고딕"/>
            <family val="2"/>
            <scheme val="minor"/>
          </rPr>
          <t>Dev Schedule의 Status와 실제 날짜 이력이 어긋나는 건을 자동 감지.</t>
        </r>
      </text>
    </comment>
    <comment ref="U16" authorId="0" shapeId="0" xr:uid="{18775AA5-574B-4FB3-A7BB-ED022A25C517}">
      <text>
        <r>
          <rPr>
            <sz val="11"/>
            <color theme="1"/>
            <rFont val="맑은 고딕"/>
            <family val="2"/>
            <scheme val="minor"/>
          </rPr>
          <t>Source: OMH_API_Integration_Process_Sales_Training.pptx (Phase 1) - Jensen 계정 발급 + Top-Selling 리스트 송부</t>
        </r>
      </text>
    </comment>
    <comment ref="W16" authorId="0" shapeId="0" xr:uid="{F9CF34FA-CAB6-4500-85EC-109410E9E9FC}">
      <text>
        <r>
          <rPr>
            <sz val="11"/>
            <color theme="1"/>
            <rFont val="맑은 고딕"/>
            <family val="2"/>
            <scheme val="minor"/>
          </rPr>
          <t>Source: OMH_API_Integration_Process_Sales_Training.pptx (Phase 4) - 양사 계약서 + SLA 서명 완료</t>
        </r>
      </text>
    </comment>
    <comment ref="X16" authorId="0" shapeId="0" xr:uid="{EA4D4C3B-3405-4C9B-8BEE-3FFED229ED99}">
      <text>
        <r>
          <rPr>
            <sz val="11"/>
            <color theme="1"/>
            <rFont val="맑은 고딕"/>
            <family val="2"/>
            <scheme val="minor"/>
          </rPr>
          <t>Source: 같은 PPT (Phase 4) - SLA 별도 문서로 분리 후 동시 서명</t>
        </r>
      </text>
    </comment>
    <comment ref="AA16" authorId="0" shapeId="0" xr:uid="{3ED7B781-4512-4EB5-97A2-012889693F5E}">
      <text>
        <r>
          <rPr>
            <sz val="11"/>
            <color theme="1"/>
            <rFont val="맑은 고딕"/>
            <family val="2"/>
            <scheme val="minor"/>
          </rPr>
          <t>Source: 같은 PPT (Phase 12 요약) - Cert 통과 4/29</t>
        </r>
      </text>
    </comment>
    <comment ref="AB16" authorId="0" shapeId="0" xr:uid="{E3377FEC-2AFD-4271-9E8C-94577BF3CF3B}">
      <text>
        <r>
          <rPr>
            <sz val="11"/>
            <color theme="1"/>
            <rFont val="맑은 고딕"/>
            <family val="2"/>
            <scheme val="minor"/>
          </rPr>
          <t>Source: 같은 PPT (Phase 12 요약) - Live Test 5/7</t>
        </r>
      </text>
    </comment>
    <comment ref="AJ16" authorId="0" shapeId="0" xr:uid="{37C040D4-E5FE-480B-8074-3F4DC238FC8B}">
      <text>
        <r>
          <rPr>
            <sz val="11"/>
            <color theme="1"/>
            <rFont val="맑은 고딕"/>
            <family val="2"/>
            <scheme val="minor"/>
          </rPr>
          <t>Source: OMH_API_Integration_Process_Sales_Training.pptx (Phase 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tc={C3B36BD1-D1E3-46BD-9B54-31B2682F7507}</author>
    <author>tc={B7F54BED-4455-48D3-905C-0A28BEFA2600}</author>
    <author>tc={1B2BC208-7AD1-40BA-B8E0-5C3AF6344F96}</author>
    <author>tc={CAB8FE20-F82C-452E-9BD3-740968738B7F}</author>
    <author>tc={F2A6C381-A7A1-4A55-9CFE-3D439D309EC2}</author>
    <author>tc={3965260A-5910-4037-BF39-CE7356F6426E}</author>
    <author>tc={F788D425-DFFB-4F4C-890C-FE7CBE4B2F24}</author>
  </authors>
  <commentList>
    <comment ref="J20" authorId="0" shapeId="0" xr:uid="{C3B36BD1-D1E3-46BD-9B54-31B2682F7507}">
      <text>
        <t>[Threaded comment]
Your version of Excel allows you to read this threaded comment; however, any edits to it will get removed if the file is opened in a newer version of Excel. Learn more: https://go.microsoft.com/fwlink/?linkid=870924
Comment:
    change from Dec-25
Reply:
    개발은 완료. 계약서 addendum 진행 중으로 오픈 펜딩 중</t>
      </text>
    </comment>
    <comment ref="I21" authorId="1" shapeId="0" xr:uid="{B7F54BED-4455-48D3-905C-0A28BEFA2600}">
      <text>
        <t>[Threaded comment]
Your version of Excel allows you to read this threaded comment; however, any edits to it will get removed if the file is opened in a newer version of Excel. Learn more: https://go.microsoft.com/fwlink/?linkid=870924
Comment:
    change from Dec-25</t>
      </text>
    </comment>
    <comment ref="J21" authorId="2" shapeId="0" xr:uid="{1B2BC208-7AD1-40BA-B8E0-5C3AF6344F96}">
      <text>
        <t>[Threaded comment]
Your version of Excel allows you to read this threaded comment; however, any edits to it will get removed if the file is opened in a newer version of Excel. Learn more: https://go.microsoft.com/fwlink/?linkid=870924
Comment:
    change from Jan-26
Reply:
    Change to Apr</t>
      </text>
    </comment>
    <comment ref="I22" authorId="3" shapeId="0" xr:uid="{CAB8FE20-F82C-452E-9BD3-740968738B7F}">
      <text>
        <t>[Threaded comment]
Your version of Excel allows you to read this threaded comment; however, any edits to it will get removed if the file is opened in a newer version of Excel. Learn more: https://go.microsoft.com/fwlink/?linkid=870924
Comment:
    change from Dec-25</t>
      </text>
    </comment>
    <comment ref="J22" authorId="4" shapeId="0" xr:uid="{F2A6C381-A7A1-4A55-9CFE-3D439D309EC2}">
      <text>
        <t xml:space="preserve">[Threaded comment]
Your version of Excel allows you to read this threaded comment; however, any edits to it will get removed if the file is opened in a newer version of Excel. Learn more: https://go.microsoft.com/fwlink/?linkid=870924
Comment:
    change from Jan-26
Reply:
    Change to Apr
</t>
      </text>
    </comment>
    <comment ref="I23" authorId="5" shapeId="0" xr:uid="{3965260A-5910-4037-BF39-CE7356F6426E}">
      <text>
        <t>[Threaded comment]
Your version of Excel allows you to read this threaded comment; however, any edits to it will get removed if the file is opened in a newer version of Excel. Learn more: https://go.microsoft.com/fwlink/?linkid=870924
Comment:
    change from Dec-25</t>
      </text>
    </comment>
    <comment ref="J23" authorId="6" shapeId="0" xr:uid="{F788D425-DFFB-4F4C-890C-FE7CBE4B2F24}">
      <text>
        <t xml:space="preserve">[Threaded comment]
Your version of Excel allows you to read this threaded comment; however, any edits to it will get removed if the file is opened in a newer version of Excel. Learn more: https://go.microsoft.com/fwlink/?linkid=870924
Comment:
    change from Jan-26
Reply:
    Change to Jul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<sst xmlns="http://schemas.openxmlformats.org/spreadsheetml/2006/main" count="9455" uniqueCount="4081">
  <si>
    <t>Status</t>
  </si>
  <si>
    <t>CRM Dashboard</t>
  </si>
  <si>
    <t>New</t>
  </si>
  <si>
    <t>Pipeline</t>
  </si>
  <si>
    <t>Active</t>
  </si>
  <si>
    <t>① CHANNELS   ·   채널 현황</t>
  </si>
  <si>
    <t>Others</t>
  </si>
  <si>
    <t>TOTAL CHANNELS</t>
  </si>
  <si>
    <t>ACTIVE</t>
  </si>
  <si>
    <t>PIPELINE</t>
  </si>
  <si>
    <t>NEW</t>
  </si>
  <si>
    <t>Tier</t>
  </si>
  <si>
    <t>Tier 1</t>
  </si>
  <si>
    <t>Tier 2</t>
  </si>
  <si>
    <t>Tier 3</t>
  </si>
  <si>
    <t>② DEVELOPMENT SCHEDULE   ·   개발 스케줄</t>
  </si>
  <si>
    <t>TOTAL INTEGRATIONS</t>
  </si>
  <si>
    <t>LIVE</t>
  </si>
  <si>
    <t>IN PROGRESS</t>
  </si>
  <si>
    <t>PIC</t>
  </si>
  <si>
    <t>Grace</t>
  </si>
  <si>
    <t>Ben</t>
  </si>
  <si>
    <t>Bryant</t>
  </si>
  <si>
    <t>Aiden</t>
  </si>
  <si>
    <t>③ BREAKDOWN   ·   차트 분석</t>
  </si>
  <si>
    <t>Type</t>
  </si>
  <si>
    <t>API</t>
  </si>
  <si>
    <t>Dotbiz</t>
  </si>
  <si>
    <t>Portal-Regular</t>
  </si>
  <si>
    <t>Switching</t>
  </si>
  <si>
    <t>BM</t>
  </si>
  <si>
    <t>TA</t>
  </si>
  <si>
    <t>B2B</t>
  </si>
  <si>
    <t>B2C</t>
  </si>
  <si>
    <t>TMC</t>
  </si>
  <si>
    <t>OTA</t>
  </si>
  <si>
    <t>Region</t>
  </si>
  <si>
    <t>East Asia</t>
  </si>
  <si>
    <t>Southeast Asia</t>
  </si>
  <si>
    <t>Singapore</t>
  </si>
  <si>
    <t>Middle East</t>
  </si>
  <si>
    <t>④ BY CATEGORY   ·   카테고리별</t>
  </si>
  <si>
    <t>CATEGORY</t>
  </si>
  <si>
    <t>IN DEV</t>
  </si>
  <si>
    <t>TESTING</t>
  </si>
  <si>
    <t>TOTAL</t>
  </si>
  <si>
    <t>CRS</t>
  </si>
  <si>
    <t>Switching System</t>
  </si>
  <si>
    <t>Channel API</t>
  </si>
  <si>
    <t>3rd Party Hotel</t>
  </si>
  <si>
    <t>3rd Party Activity</t>
  </si>
  <si>
    <t>API Integration — Developer Dashboard</t>
  </si>
  <si>
    <t>Auto-linked to the 'Dev Tracker (IT)' sheet — read-only. Who is building it, what stage it is at, and how much it matters.</t>
  </si>
  <si>
    <t>TOTAL PROJECTS</t>
  </si>
  <si>
    <t>BUILT BY OMH</t>
  </si>
  <si>
    <t>BUILT BY PARTNER</t>
  </si>
  <si>
    <t>HIGH IMPACT</t>
  </si>
  <si>
    <t>STALLED 60D+</t>
  </si>
  <si>
    <t>Stage reference (progress weight → stage name)</t>
  </si>
  <si>
    <t>#</t>
  </si>
  <si>
    <t>Company / Channel</t>
  </si>
  <si>
    <t>Category</t>
  </si>
  <si>
    <t>Built By</t>
  </si>
  <si>
    <t>API Direction</t>
  </si>
  <si>
    <t>Business Impact</t>
  </si>
  <si>
    <t>Progress</t>
  </si>
  <si>
    <t>Current Stage</t>
  </si>
  <si>
    <t>Last Activity</t>
  </si>
  <si>
    <t>Idle (days)</t>
  </si>
  <si>
    <t>Weight</t>
  </si>
  <si>
    <t>Stage</t>
  </si>
  <si>
    <t>Not tracked — no dates yet</t>
  </si>
  <si>
    <t>1. Meeting / 1st contact</t>
  </si>
  <si>
    <t>2. NDA signed</t>
  </si>
  <si>
    <t>3. Contract signed</t>
  </si>
  <si>
    <t>4. SLA finalised</t>
  </si>
  <si>
    <t>5. Dev start (planned)</t>
  </si>
  <si>
    <t>6. Dev started — SPEC &amp; DEV key</t>
  </si>
  <si>
    <t>7. Certification</t>
  </si>
  <si>
    <t>8. Live test</t>
  </si>
  <si>
    <t>9. Dev finish (planned)</t>
  </si>
  <si>
    <t>10. Live open</t>
  </si>
  <si>
    <t>11. First booking</t>
  </si>
  <si>
    <t>12. API live</t>
  </si>
  <si>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</si>
  <si>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</si>
  <si>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</si>
  <si>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</si>
  <si>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</si>
  <si>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</si>
  <si>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</si>
  <si>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</si>
  <si>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</si>
  <si>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</si>
  <si>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</si>
  <si>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</si>
  <si>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</si>
  <si>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</si>
  <si>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</si>
  <si>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</si>
  <si>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</si>
  <si>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</si>
  <si>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</si>
  <si>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</si>
  <si>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</si>
  <si>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</si>
  <si>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</si>
  <si>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</si>
  <si>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</si>
  <si>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</si>
  <si>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</si>
  <si>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</si>
  <si>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</si>
  <si>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</si>
  <si>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</si>
  <si>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</si>
  <si>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</si>
  <si>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</si>
  <si>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</si>
  <si>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</si>
  <si>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</si>
  <si>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</si>
  <si>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China Events</t>
  </si>
  <si>
    <t>방학시즌</t>
  </si>
  <si>
    <t>춘절</t>
  </si>
  <si>
    <t>벗꽃축제</t>
  </si>
  <si>
    <t>국경절, 노동절</t>
  </si>
  <si>
    <t>추석, 중추절</t>
  </si>
  <si>
    <t>SEA Events</t>
  </si>
  <si>
    <t>Chiness New Year</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</si>
  <si>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</si>
  <si>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</si>
  <si>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</si>
  <si>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</si>
  <si>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</si>
  <si>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</si>
  <si>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</si>
  <si>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</si>
  <si>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</si>
  <si>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</si>
  <si>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</si>
  <si>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</si>
  <si>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</si>
  <si>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</si>
  <si>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</si>
  <si>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</si>
  <si>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</si>
  <si>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</si>
  <si>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</si>
  <si>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</si>
  <si>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</si>
  <si>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</si>
  <si>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</si>
  <si>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</si>
  <si>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</si>
  <si>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</si>
  <si>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</si>
  <si>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홍콩</t>
  </si>
  <si>
    <t>ITE Hong Kong
6월 11~14일 전후
[★★ 중간] 홍콩–광둥 outbound 중심</t>
  </si>
  <si>
    <t>2차 세일즈 콜
대만+홍콩</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</si>
  <si>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</si>
  <si>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</si>
  <si>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</si>
  <si>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</si>
  <si>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</si>
  <si>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베트남</t>
  </si>
  <si>
    <t>호치민
하노이</t>
  </si>
  <si>
    <t>Vietnam International Travel Mart HANOI
[★★ 중간] 북베트남 B2B+B2C</t>
  </si>
  <si>
    <t>ITE HCMC
16~18 Oct
[★★ 중간] 메콩 최대 B2B+B2C (Calendar 기준 9/3–9/5)</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</si>
  <si>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</si>
  <si>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</si>
  <si>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</si>
  <si>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</si>
  <si>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</si>
  <si>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</si>
  <si>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말레이시아</t>
  </si>
  <si>
    <t>쿠알라룸프르, 쿠칭</t>
  </si>
  <si>
    <t>MATTA Fair
3 - 5 April 2026
[★ 선택] 말레이시아 최대 B2C</t>
  </si>
  <si>
    <t>8/18–8/20 – PATA Travel Mart
[★★ 중간] 아시아·태평양 대표 B2B</t>
  </si>
  <si>
    <t>MATTA Fair
[★ 선택] 말레이시아 최대 B2C</t>
  </si>
  <si>
    <t>싱가포르</t>
  </si>
  <si>
    <t>마리나베이</t>
  </si>
  <si>
    <t>ILTM Asia Pacific 2026
2026년 6월 29일 ~ 7월 2일
[★ 선택] 아시아 럭셔리 여행 최상위 행사</t>
  </si>
  <si>
    <t>10/21–10/23 – ITB Asia
[★★★ 최우선] 아시아 No.1 B2B 허브</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</si>
  <si>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</si>
  <si>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</si>
  <si>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</si>
  <si>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</si>
  <si>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</si>
  <si>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</si>
  <si>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</si>
  <si>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</si>
  <si>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</si>
  <si>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</si>
  <si>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</si>
  <si>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</si>
  <si>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</si>
  <si>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</si>
  <si>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UAE</t>
  </si>
  <si>
    <t>Dubai</t>
  </si>
  <si>
    <t>Arabian Travel Market (ATM) 2026
2026년 5월 4일 ~ 5월 7일
[★★★ 최우선] 중동 최대 여행 B2B, GCC 바이어 중심</t>
  </si>
  <si>
    <t>Qatar</t>
  </si>
  <si>
    <t>Doha</t>
  </si>
  <si>
    <t>Connections Luxury Middle East 2026
2026년 3월 29일 ~ 4월 1일
[★ 선택] 초럭셔리 바이어 행사, 하이엔드 전략용</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</si>
  <si>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</si>
  <si>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</si>
  <si>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</si>
  <si>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</si>
  <si>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호주</t>
  </si>
  <si>
    <t>시드니, 애들레이드</t>
  </si>
  <si>
    <t>5/10–5/14 – Australian Tourism Exchange (ATE)
[★ 선택] 오세아니아 최대 B2B</t>
  </si>
  <si>
    <t>Luxperience</t>
  </si>
  <si>
    <t>영국</t>
  </si>
  <si>
    <t>런던</t>
  </si>
  <si>
    <t>WTM London 2026
2026.11.04 – 11.06
[★★★ 최우선] 글로벌 레저, 기술, 지속가능성</t>
  </si>
  <si>
    <t>스페인</t>
  </si>
  <si>
    <t>마드리드</t>
  </si>
  <si>
    <t>FITUR Madrid 2026
1월 21일 ~ 25일
[★★ 중간] 세계 3대 관광박람회, 유럽·라틴 시장 핵심 B2B</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</si>
  <si>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</si>
  <si>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</si>
  <si>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</si>
  <si>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</si>
  <si>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</si>
  <si>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멕시코</t>
  </si>
  <si>
    <t>과달라하라</t>
  </si>
  <si>
    <t>ITB Americas 2026
2026년 11월 10-12일
[★ 선택] 미주 전역 바이어 연결 허브</t>
  </si>
  <si>
    <t>South Africa</t>
  </si>
  <si>
    <t>Cape Town</t>
  </si>
  <si>
    <t>WTM Africa 2026
[★ 선택] 아프리카 시장 접근</t>
  </si>
  <si>
    <t>브라질</t>
  </si>
  <si>
    <t>상파울루</t>
  </si>
  <si>
    <t>WTM Latin America 2026
2026년 4월 14-16일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</si>
  <si>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</si>
  <si>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</si>
  <si>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</si>
  <si>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</si>
  <si>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</si>
  <si>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</si>
  <si>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</si>
  <si>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</si>
  <si>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</si>
  <si>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2026 트래블마트 일정 체크리스트</t>
  </si>
  <si>
    <t>참가</t>
  </si>
  <si>
    <t>진행완료</t>
  </si>
  <si>
    <t>월</t>
  </si>
  <si>
    <t>일정명</t>
  </si>
  <si>
    <t>우선순위</t>
  </si>
  <si>
    <t>상태</t>
  </si>
  <si>
    <t>상세 내용</t>
  </si>
  <si>
    <t>Channel Information (채널 정보)</t>
    <phoneticPr fontId="3" type="noConversion"/>
  </si>
  <si>
    <t>API Integration Process (AIP)</t>
  </si>
  <si>
    <t>Contract Condition</t>
  </si>
  <si>
    <t>Sales Follow-up (영업 F/U)</t>
  </si>
  <si>
    <t>#</t>
    <phoneticPr fontId="3" type="noConversion"/>
  </si>
  <si>
    <t>KPI Q3</t>
  </si>
  <si>
    <t>Type</t>
    <phoneticPr fontId="3" type="noConversion"/>
  </si>
  <si>
    <t>Channel Name</t>
    <phoneticPr fontId="3" type="noConversion"/>
  </si>
  <si>
    <t>Company Name</t>
  </si>
  <si>
    <t>PIC(OMH)</t>
    <phoneticPr fontId="3" type="noConversion"/>
  </si>
  <si>
    <t>Handover To</t>
  </si>
  <si>
    <t>Entity</t>
  </si>
  <si>
    <t>Country</t>
    <phoneticPr fontId="3" type="noConversion"/>
  </si>
  <si>
    <t>City</t>
    <phoneticPr fontId="3" type="noConversion"/>
  </si>
  <si>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</si>
  <si>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</si>
  <si>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</si>
  <si>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</si>
  <si>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</si>
  <si>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</si>
  <si>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</si>
  <si>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</si>
  <si>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</si>
  <si>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</si>
  <si>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</si>
  <si>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</si>
  <si>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1ST Contact
(10%)</t>
  </si>
  <si>
    <t>NDA
(20%)</t>
  </si>
  <si>
    <t>Contract
(30%)</t>
  </si>
  <si>
    <t>SLA
(40%)</t>
  </si>
  <si>
    <t>ETA Dev.
Start (45%)</t>
  </si>
  <si>
    <t>Real Dev.
(50%)</t>
  </si>
  <si>
    <t>Certificate
(60%)</t>
  </si>
  <si>
    <t>Live Test
(70%)</t>
  </si>
  <si>
    <t>ETA Dev.
Finish(75%)</t>
  </si>
  <si>
    <t>Live Open
(80%)</t>
  </si>
  <si>
    <t>Booking
90%</t>
  </si>
  <si>
    <t>API Live
(Feedback)
100%</t>
  </si>
  <si>
    <t>진행율</t>
  </si>
  <si>
    <t>Who? Dev</t>
  </si>
  <si>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</si>
  <si>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</si>
  <si>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</si>
  <si>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</si>
  <si>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</si>
  <si>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</si>
  <si>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</si>
  <si>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</si>
  <si>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</si>
  <si>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Last Sales F/U</t>
  </si>
  <si>
    <t>TripAdvisor/Popularity Ranking</t>
  </si>
  <si>
    <t>STAR</t>
  </si>
  <si>
    <t>Ctrip Korea</t>
  </si>
  <si>
    <t>Trip.com Travel Singapore Pte. Ltd.</t>
  </si>
  <si>
    <t>Global</t>
  </si>
  <si>
    <t>Korea</t>
  </si>
  <si>
    <t>Mr. Nam</t>
  </si>
  <si>
    <t>부장</t>
  </si>
  <si>
    <t>https://kr.trip.com</t>
    <phoneticPr fontId="3" type="noConversion"/>
  </si>
  <si>
    <t>7/F D-Tower 17 Jungro 3 Gil Jongrogu, Seoul, Republic of Korea</t>
  </si>
  <si>
    <t>Ohmyhotel</t>
  </si>
  <si>
    <t>weekly</t>
  </si>
  <si>
    <t>Agoda</t>
  </si>
  <si>
    <t>Agoda Company Pte. Ltd.</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</si>
  <si>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</si>
  <si>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</si>
  <si>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</si>
  <si>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</si>
  <si>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</si>
  <si>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</si>
  <si>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</si>
  <si>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Yes</t>
    <phoneticPr fontId="3" type="noConversion"/>
  </si>
  <si>
    <t>E-Intro 7/7 -Override incentive adjustment</t>
  </si>
  <si>
    <t>Dida</t>
  </si>
  <si>
    <t>DidaTravel International Limited</t>
  </si>
  <si>
    <t>China</t>
  </si>
  <si>
    <t>Shenzhen</t>
  </si>
  <si>
    <t>Ms. Seven</t>
  </si>
  <si>
    <t>Senior Account Manager</t>
  </si>
  <si>
    <t>+86 13524375996</t>
  </si>
  <si>
    <t>seven.sun@dida.com</t>
  </si>
  <si>
    <t>Room 17C, D, E, Tower B, Global Harbor, No. 1188 Kaixuan North Road, Putuo District, Shanghai.</t>
  </si>
  <si>
    <t>USD</t>
  </si>
  <si>
    <t>JYP</t>
  </si>
  <si>
    <t>bi-weekly</t>
  </si>
  <si>
    <t>NO</t>
  </si>
  <si>
    <t>Meituan</t>
  </si>
  <si>
    <t>Xigua limited</t>
  </si>
  <si>
    <t>B2B/B2C</t>
  </si>
  <si>
    <t>Ms. Zhang</t>
  </si>
  <si>
    <t>Senior Market Manager</t>
  </si>
  <si>
    <t>+86 18217620588</t>
  </si>
  <si>
    <t>zhangdan58@meituan.com</t>
  </si>
  <si>
    <t>上海市黄兴路221号互联宝地T6栋
Building T6, Hulianbaodi, No.221 Huangxing Road, Shanghai</t>
  </si>
  <si>
    <t>Elong</t>
  </si>
  <si>
    <t>Tongcheng Travel Holdings Limited
eLong International Travel (Hong Kong) Limited</t>
  </si>
  <si>
    <t>Ms. Iris</t>
  </si>
  <si>
    <t>International Market Director</t>
  </si>
  <si>
    <t>+82 1094398482</t>
  </si>
  <si>
    <t>iris.nam@ly.com</t>
  </si>
  <si>
    <t>6F, Noon Square, 14, Myeongdong-gil, Jung-gu, Seoul, Korea</t>
  </si>
  <si>
    <t>PKFARE API</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</si>
  <si>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</si>
  <si>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</si>
  <si>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</si>
  <si>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</si>
  <si>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</si>
  <si>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</si>
  <si>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</si>
  <si>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</si>
  <si>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PKfare</t>
  </si>
  <si>
    <t>Bank Guarantee</t>
  </si>
  <si>
    <t>USD 10,000 (실결제 USD 9,964)</t>
  </si>
  <si>
    <t>Ctrip Vietnam</t>
  </si>
  <si>
    <t>Vietnam</t>
  </si>
  <si>
    <t>East South Asia</t>
  </si>
  <si>
    <t>Ms. Lucy</t>
  </si>
  <si>
    <t>Vietnam Market Manager</t>
  </si>
  <si>
    <t>+84 935659690</t>
  </si>
  <si>
    <t>Lucynguyen@trip.com</t>
  </si>
  <si>
    <t>https://vn.trip.com/</t>
  </si>
  <si>
    <t>L12, LIM TOWER 3, 29A Nguyen Dinh Chieu St, Da Kao Ward, Dist 01, HCMC</t>
  </si>
  <si>
    <t>VND</t>
  </si>
  <si>
    <t>Convergent API (Huizhi)</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</si>
  <si>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</si>
  <si>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</si>
  <si>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</si>
  <si>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</si>
  <si>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</si>
  <si>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</si>
  <si>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</si>
  <si>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Convergent</t>
  </si>
  <si>
    <t>USD 10,000</t>
  </si>
  <si>
    <t>triptopaz</t>
  </si>
  <si>
    <t>Triptopaz</t>
  </si>
  <si>
    <t>Seoul</t>
  </si>
  <si>
    <t>류 소정
김 종우</t>
  </si>
  <si>
    <t>차장
매니저</t>
  </si>
  <si>
    <t>sage@triptopaz.com
pauljw@triptopaz.com</t>
  </si>
  <si>
    <t>서울시 송파구 석촌동 183-4 펙베이빌딩 6층</t>
  </si>
  <si>
    <t>KRW</t>
  </si>
  <si>
    <t>Qiyouji</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</si>
  <si>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</si>
  <si>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</si>
  <si>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</si>
  <si>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</si>
  <si>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</si>
  <si>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</si>
  <si>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</si>
  <si>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</si>
  <si>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</si>
  <si>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t>
  </si>
  <si>
    <t>Qunar.com Information Technology Co., Ltd.</t>
  </si>
  <si>
    <t>Beijing</t>
  </si>
  <si>
    <t>Ms. Wen</t>
  </si>
  <si>
    <t>Business Development Director-OSC</t>
  </si>
  <si>
    <t>wencheng.cheng@qunar.com</t>
  </si>
  <si>
    <t>www.qunar.com/</t>
  </si>
  <si>
    <t>深圳市福田区福华三路168号荣超国际商会中心</t>
  </si>
  <si>
    <t>Alitrip</t>
  </si>
  <si>
    <t>Alibaba Group (Fliggy)</t>
  </si>
  <si>
    <t>Japan</t>
  </si>
  <si>
    <t>Mr. Harry</t>
  </si>
  <si>
    <t>Senior Supplier Manager</t>
  </si>
  <si>
    <t>+ 080 3852-0931</t>
  </si>
  <si>
    <t>wechat</t>
  </si>
  <si>
    <t>hongbo.h@alibaba-inc.com</t>
  </si>
  <si>
    <t>https://www.fliggy.com/</t>
  </si>
  <si>
    <t>浙江省余杭区阿里巴巴西溪园区C区--C区访客中心，阿里巴巴西溪C区(C2门)</t>
  </si>
  <si>
    <t>Myrealtrip API</t>
  </si>
  <si>
    <t>Myrealtrip Inc.</t>
  </si>
  <si>
    <t>이미소</t>
  </si>
  <si>
    <t>매니저</t>
  </si>
  <si>
    <t>https://www.myrealtrip.com/</t>
  </si>
  <si>
    <t>서울시 서초구 강남대로 311, 드림플러스 강남 18F</t>
  </si>
  <si>
    <t>Myrealtrip API</t>
    <phoneticPr fontId="3" type="noConversion"/>
  </si>
  <si>
    <t>Hikari Global</t>
  </si>
  <si>
    <t>Hikari Global Inc.</t>
  </si>
  <si>
    <t>Ms. Park/Mei</t>
  </si>
  <si>
    <t>Overseas Manager</t>
  </si>
  <si>
    <t>+82 01089261624</t>
  </si>
  <si>
    <t>wigus0909@hotmail.com</t>
  </si>
  <si>
    <t>https://www.hikariglobal.co.kr/</t>
  </si>
  <si>
    <t>03149 서울특별시 종로구 인사동5길 42, 종로빌딩 11층</t>
  </si>
  <si>
    <t>Tripbtoz</t>
  </si>
  <si>
    <t>Tripbtoz Inc.</t>
  </si>
  <si>
    <t>이미정</t>
  </si>
  <si>
    <t>+82 10 7328 5450</t>
  </si>
  <si>
    <t>mijungl@tripbtoz.com</t>
  </si>
  <si>
    <t>https://www.tripbtoz.com/</t>
  </si>
  <si>
    <t>서울시 강남구 테헤란로 415 L7빌딩 3층</t>
  </si>
  <si>
    <t>Guarantee Insurance</t>
  </si>
  <si>
    <t>Hotelpass</t>
  </si>
  <si>
    <t>Hotelpass Global LTD.</t>
  </si>
  <si>
    <t>박혜수</t>
  </si>
  <si>
    <t>팀장</t>
  </si>
  <si>
    <t>+82 2 2262 5114</t>
  </si>
  <si>
    <t>naomi@hotelpass.com</t>
  </si>
  <si>
    <t>13F, Gwanghui Bldg., 307 Toegyero, Jung-gu, Seoul, Korea</t>
  </si>
  <si>
    <t>Hotelpass</t>
    <phoneticPr fontId="3" type="noConversion"/>
  </si>
  <si>
    <t>Monthly</t>
  </si>
  <si>
    <t>Kakao</t>
  </si>
  <si>
    <t>Kakao Corp.</t>
  </si>
  <si>
    <t>Gyeonggi</t>
  </si>
  <si>
    <t>https://travel.kakao.com/</t>
  </si>
  <si>
    <t>GC Company (여기어때)</t>
  </si>
  <si>
    <t>(주)여기어때투어</t>
  </si>
  <si>
    <t>한유진</t>
  </si>
  <si>
    <t>ruby@gctour.co.kr</t>
  </si>
  <si>
    <t>서울 종로구 효자로 23 국제항운빌딩 2</t>
  </si>
  <si>
    <t>Toptown API (시트립 Vacation 자회사)</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</si>
  <si>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</si>
  <si>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</si>
  <si>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</si>
  <si>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</si>
  <si>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</si>
  <si>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</si>
  <si>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Toptown</t>
  </si>
  <si>
    <t>Traveloka</t>
  </si>
  <si>
    <t>Traveloka Services Pte. Ltd</t>
  </si>
  <si>
    <t>Indonesia</t>
  </si>
  <si>
    <t>Jakarta</t>
  </si>
  <si>
    <t>Ida Ayu Agung Dwi Cahyantari</t>
  </si>
  <si>
    <t>ida.cahyantari@traveloka.com</t>
  </si>
  <si>
    <t>https://www.traveloka.com/en-vn</t>
  </si>
  <si>
    <t>Green Office Park 1 BSD City, Jl. BSD Raya Bar., Sampora, Kec. Cisauk, Kabupaten Tangerang, Banten 15345.</t>
  </si>
  <si>
    <t>E-Meet on 10/7 (Possible BULK Increase)</t>
  </si>
  <si>
    <t>airtel.com(에어텔닷컴)</t>
  </si>
  <si>
    <t>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</si>
  <si>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</si>
  <si>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</si>
  <si>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</si>
  <si>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</si>
  <si>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</si>
  <si>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</si>
  <si>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</si>
  <si>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</si>
  <si>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</si>
  <si>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</si>
  <si>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</si>
  <si>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</si>
  <si>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</si>
  <si>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</si>
  <si>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</si>
  <si>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</si>
  <si>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</si>
  <si>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</si>
  <si>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</si>
  <si>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t>
  </si>
  <si>
    <t>KKday Group</t>
  </si>
  <si>
    <t>Taiwan</t>
  </si>
  <si>
    <t>Taipei</t>
  </si>
  <si>
    <t>Mr. Wiko</t>
  </si>
  <si>
    <t>https://www.kkday.com/</t>
  </si>
  <si>
    <t>The Hyundai Travel</t>
  </si>
  <si>
    <t>현대백화점면세점</t>
  </si>
  <si>
    <t>현대드림투어 계정 사용</t>
  </si>
  <si>
    <t>API (B2C)</t>
  </si>
  <si>
    <t>bizplay</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</si>
  <si>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</si>
  <si>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</si>
  <si>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</si>
  <si>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</si>
  <si>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</si>
  <si>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</si>
  <si>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</si>
  <si>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</si>
  <si>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</si>
  <si>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</si>
  <si>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</si>
  <si>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</si>
  <si>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</si>
  <si>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</si>
  <si>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</si>
  <si>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</si>
  <si>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</si>
  <si>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</si>
  <si>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</si>
  <si>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</si>
  <si>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</si>
  <si>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</si>
  <si>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</si>
  <si>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</si>
  <si>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</si>
  <si>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</si>
  <si>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</si>
  <si>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</si>
  <si>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</si>
  <si>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</si>
  <si>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</si>
  <si>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</si>
  <si>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</si>
  <si>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</si>
  <si>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샬레코리아</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</si>
  <si>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</si>
  <si>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</si>
  <si>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</si>
  <si>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</si>
  <si>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</si>
  <si>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</si>
  <si>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</si>
  <si>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</si>
  <si>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</si>
  <si>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</si>
  <si>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</si>
  <si>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</si>
  <si>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</si>
  <si>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</si>
  <si>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</si>
  <si>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</si>
  <si>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</si>
  <si>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</si>
  <si>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EGL Tours</t>
  </si>
  <si>
    <t>EGL Tours Company Limited</t>
  </si>
  <si>
    <t>Hong Kong</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</si>
  <si>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</si>
  <si>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</si>
  <si>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</si>
  <si>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</si>
  <si>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</si>
  <si>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</si>
  <si>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</si>
  <si>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</si>
  <si>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</si>
  <si>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</si>
  <si>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</si>
  <si>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</si>
  <si>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</si>
  <si>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</si>
  <si>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</si>
  <si>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</si>
  <si>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</si>
  <si>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</si>
  <si>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</si>
  <si>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</si>
  <si>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</si>
  <si>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</si>
  <si>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</si>
  <si>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</si>
  <si>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</si>
  <si>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</si>
  <si>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</si>
  <si>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</si>
  <si>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</si>
  <si>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</si>
  <si>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</si>
  <si>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</si>
  <si>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</si>
  <si>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</si>
  <si>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</si>
  <si>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</si>
  <si>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</si>
  <si>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</si>
  <si>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</si>
  <si>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</si>
  <si>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</si>
  <si>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</si>
  <si>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</si>
  <si>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</si>
  <si>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</si>
  <si>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</si>
  <si>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</si>
  <si>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</si>
  <si>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</si>
  <si>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</si>
  <si>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</si>
  <si>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</si>
  <si>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</si>
  <si>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</si>
  <si>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</si>
  <si>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</si>
  <si>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</si>
  <si>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</si>
  <si>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</si>
  <si>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</si>
  <si>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</si>
  <si>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</si>
  <si>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</si>
  <si>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</si>
  <si>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</si>
  <si>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</si>
  <si>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</si>
  <si>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Mafengwo</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</si>
  <si>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</si>
  <si>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</si>
  <si>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</si>
  <si>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</si>
  <si>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</si>
  <si>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</si>
  <si>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</si>
  <si>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</si>
  <si>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RTX</t>
  </si>
  <si>
    <t>Rakuten Travel Xchange</t>
  </si>
  <si>
    <t>B2B wholesaler / API provider</t>
  </si>
  <si>
    <t>Dev.</t>
  </si>
  <si>
    <t>Terminated</t>
  </si>
  <si>
    <t>AsiaYo</t>
  </si>
  <si>
    <t>API,B2C,B2B</t>
  </si>
  <si>
    <t>강호연</t>
  </si>
  <si>
    <t>brad.kang@asiayo.com</t>
  </si>
  <si>
    <t>www.asiayo.com </t>
  </si>
  <si>
    <t>KAKE</t>
  </si>
  <si>
    <t>KAKE Hotels Marketing Co., Limited</t>
  </si>
  <si>
    <t>Mr. Wesley</t>
  </si>
  <si>
    <t>VP of Business Development</t>
  </si>
  <si>
    <t>86 15012926802</t>
  </si>
  <si>
    <t>wesley.li@mq-trip.com</t>
  </si>
  <si>
    <t>深圳市龙岗区坂田街道象角塘社区源创空间-雪象园A3栋四层-411</t>
  </si>
  <si>
    <t>Kake</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</si>
  <si>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</si>
  <si>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</si>
  <si>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</si>
  <si>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</si>
  <si>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</si>
  <si>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</si>
  <si>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</si>
  <si>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</si>
  <si>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</si>
  <si>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</si>
  <si>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</si>
  <si>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</si>
  <si>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t>
  </si>
  <si>
    <t>Hey Trip Intl Corp.</t>
  </si>
  <si>
    <t>Guanzhou</t>
  </si>
  <si>
    <t>Mr. Samuel
Mr. Jack</t>
  </si>
  <si>
    <t>Overseas BD Director
Vice President</t>
  </si>
  <si>
    <t>86 19527134928
86 135 6006 1046</t>
  </si>
  <si>
    <t>samuel@heytripgo.com
Jack@heytripgo.com</t>
  </si>
  <si>
    <t>番禺区洛浦街道南桂路3号恒达中心A3栋2楼 (HQ)</t>
  </si>
  <si>
    <t>Heytrip</t>
  </si>
  <si>
    <t>Guarantee deposit</t>
  </si>
  <si>
    <t>USD 100,000</t>
  </si>
  <si>
    <t>MakeMyTrip</t>
  </si>
  <si>
    <t>India</t>
  </si>
  <si>
    <t>Gurugram</t>
  </si>
  <si>
    <t>Vivek</t>
  </si>
  <si>
    <t>Vivek.Kumar3@go-mmt.com</t>
  </si>
  <si>
    <t>www.makemytrip.com/</t>
  </si>
  <si>
    <t>9/7 FU, pending bridge</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</si>
  <si>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</si>
  <si>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</si>
  <si>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</si>
  <si>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</si>
  <si>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</si>
  <si>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</si>
  <si>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</si>
  <si>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</si>
  <si>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</si>
  <si>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</si>
  <si>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</si>
  <si>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t>
  </si>
  <si>
    <t>Amerilink International Corp.</t>
  </si>
  <si>
    <t>USA</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</si>
  <si>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</si>
  <si>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</si>
  <si>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</si>
  <si>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</si>
  <si>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</si>
  <si>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</si>
  <si>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</si>
  <si>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</si>
  <si>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</si>
  <si>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</si>
  <si>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</si>
  <si>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</si>
  <si>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</si>
  <si>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</si>
  <si>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</si>
  <si>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</si>
  <si>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</si>
  <si>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t>
  </si>
  <si>
    <t>TBO Tek Ltd</t>
  </si>
  <si>
    <t>India / UAE</t>
  </si>
  <si>
    <t>Catherone Guo</t>
  </si>
  <si>
    <t>Associate Director Sales</t>
  </si>
  <si>
    <t>catherine.guo@tbo.com</t>
  </si>
  <si>
    <t>Coolprice</t>
  </si>
  <si>
    <t>ITF Traveling LTD</t>
  </si>
  <si>
    <t>New Taipei City</t>
  </si>
  <si>
    <t>Mr. Eric</t>
  </si>
  <si>
    <t>aaa61209@hotmail.com</t>
  </si>
  <si>
    <t>新北市士城区中华路一段219号29楼</t>
  </si>
  <si>
    <t>Huamin</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</si>
  <si>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</si>
  <si>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</si>
  <si>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</si>
  <si>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</si>
  <si>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</si>
  <si>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</si>
  <si>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</si>
  <si>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</si>
  <si>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</si>
  <si>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</si>
  <si>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</si>
  <si>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</si>
  <si>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</si>
  <si>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</si>
  <si>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</si>
  <si>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</si>
  <si>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</si>
  <si>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</si>
  <si>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</si>
  <si>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</si>
  <si>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</si>
  <si>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</si>
  <si>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</si>
  <si>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</si>
  <si>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</si>
  <si>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</si>
  <si>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</si>
  <si>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</si>
  <si>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</si>
  <si>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</si>
  <si>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</si>
  <si>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</si>
  <si>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</si>
  <si>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</si>
  <si>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</si>
  <si>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</si>
  <si>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</si>
  <si>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</si>
  <si>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</si>
  <si>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</si>
  <si>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</si>
  <si>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</si>
  <si>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</si>
  <si>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CN Booking</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</si>
  <si>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</si>
  <si>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</si>
  <si>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</si>
  <si>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</si>
  <si>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</si>
  <si>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</si>
  <si>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</si>
  <si>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</si>
  <si>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</si>
  <si>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</si>
  <si>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</si>
  <si>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</si>
  <si>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</si>
  <si>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</si>
  <si>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</si>
  <si>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</si>
  <si>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</si>
  <si>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JL-Tour</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</si>
  <si>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</si>
  <si>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</si>
  <si>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</si>
  <si>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</si>
  <si>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</si>
  <si>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</si>
  <si>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</si>
  <si>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</si>
  <si>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</si>
  <si>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</si>
  <si>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</si>
  <si>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</si>
  <si>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</si>
  <si>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</si>
  <si>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</si>
  <si>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</si>
  <si>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</si>
  <si>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</si>
  <si>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</si>
  <si>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</si>
  <si>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</si>
  <si>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</si>
  <si>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</si>
  <si>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</si>
  <si>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</si>
  <si>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</si>
  <si>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Tele-sales 10/7</t>
  </si>
  <si>
    <t>Trust You</t>
  </si>
  <si>
    <t>TrustYou GmbH</t>
  </si>
  <si>
    <t>https://www.trustyou.com/</t>
  </si>
  <si>
    <t>RMG Tours</t>
  </si>
  <si>
    <t>https://rmgtours.com/our-suite-of-services/</t>
  </si>
  <si>
    <t>Hoteliers.Guru</t>
  </si>
  <si>
    <t>Thailand</t>
  </si>
  <si>
    <t>Phuket</t>
  </si>
  <si>
    <t>Switching/B2B</t>
  </si>
  <si>
    <t>https://www.hoteliers.guru/home</t>
  </si>
  <si>
    <t>Certificate</t>
  </si>
  <si>
    <t>SS Booking</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</si>
  <si>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</si>
  <si>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</si>
  <si>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</si>
  <si>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</si>
  <si>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</si>
  <si>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</si>
  <si>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SS booking</t>
  </si>
  <si>
    <t>Lets sees tour &amp; travels</t>
  </si>
  <si>
    <t>Let See Tour &amp; Travel Pvt.Ltd</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</si>
  <si>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</si>
  <si>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</si>
  <si>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</si>
  <si>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</si>
  <si>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</si>
  <si>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</si>
  <si>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</si>
  <si>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</si>
  <si>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</si>
  <si>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</si>
  <si>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</si>
  <si>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</si>
  <si>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</si>
  <si>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</si>
  <si>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</si>
  <si>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</si>
  <si>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</si>
  <si>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</si>
  <si>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</si>
  <si>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</si>
  <si>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</si>
  <si>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</si>
  <si>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</si>
  <si>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</si>
  <si>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</si>
  <si>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 HCM Branch</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</si>
  <si>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</si>
  <si>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</si>
  <si>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</si>
  <si>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</si>
  <si>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</si>
  <si>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</si>
  <si>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</si>
  <si>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</si>
  <si>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Gotadi</t>
  </si>
  <si>
    <t>Postpay</t>
  </si>
  <si>
    <t>N/A</t>
  </si>
  <si>
    <t>Gotadi - HN Branch</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</si>
  <si>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</si>
  <si>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</si>
  <si>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</si>
  <si>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</si>
  <si>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</si>
  <si>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</si>
  <si>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</si>
  <si>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</si>
  <si>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</si>
  <si>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</si>
  <si>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</si>
  <si>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</si>
  <si>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</si>
  <si>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</si>
  <si>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</si>
  <si>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</si>
  <si>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</si>
  <si>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</si>
  <si>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</si>
  <si>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</si>
  <si>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</si>
  <si>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</si>
  <si>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On Hold</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</si>
  <si>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</si>
  <si>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</si>
  <si>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</si>
  <si>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</si>
  <si>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</si>
  <si>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</si>
  <si>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</si>
  <si>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</si>
  <si>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</si>
  <si>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</si>
  <si>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</si>
  <si>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</si>
  <si>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</si>
  <si>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</si>
  <si>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</si>
  <si>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</si>
  <si>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</si>
  <si>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</si>
  <si>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E-sales 7/7: F/U Contract with Sophia</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</si>
  <si>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</si>
  <si>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</si>
  <si>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</si>
  <si>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</si>
  <si>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</si>
  <si>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</si>
  <si>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</si>
  <si>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</si>
  <si>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</si>
  <si>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</si>
  <si>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</si>
  <si>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</si>
  <si>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</si>
  <si>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</si>
  <si>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</si>
  <si>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</si>
  <si>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</si>
  <si>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</si>
  <si>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</si>
  <si>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</si>
  <si>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</si>
  <si>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</si>
  <si>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</si>
  <si>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</si>
  <si>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</si>
  <si>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</si>
  <si>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</si>
  <si>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</si>
  <si>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</si>
  <si>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</si>
  <si>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</si>
  <si>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</si>
  <si>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</si>
  <si>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</si>
  <si>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</si>
  <si>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</si>
  <si>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</si>
  <si>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</si>
  <si>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</si>
  <si>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</si>
  <si>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</si>
  <si>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</si>
  <si>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</si>
  <si>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</si>
  <si>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</si>
  <si>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</si>
  <si>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</si>
  <si>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</si>
  <si>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</si>
  <si>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</si>
  <si>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</si>
  <si>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</si>
  <si>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</si>
  <si>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</si>
  <si>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</si>
  <si>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</si>
  <si>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</si>
  <si>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</si>
  <si>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</si>
  <si>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</si>
  <si>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</si>
  <si>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</si>
  <si>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</si>
  <si>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</si>
  <si>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</si>
  <si>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</si>
  <si>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</si>
  <si>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</si>
  <si>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</si>
  <si>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</si>
  <si>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</si>
  <si>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</si>
  <si>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</si>
  <si>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</si>
  <si>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</si>
  <si>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</si>
  <si>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</si>
  <si>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</si>
  <si>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</si>
  <si>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</si>
  <si>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</si>
  <si>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</si>
  <si>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</si>
  <si>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</si>
  <si>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Tiket.com</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</si>
  <si>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</si>
  <si>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</si>
  <si>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</si>
  <si>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</si>
  <si>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</si>
  <si>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</si>
  <si>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</si>
  <si>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Channel</t>
  </si>
  <si>
    <t>Sales FU</t>
  </si>
  <si>
    <t>Bingo Travel</t>
  </si>
  <si>
    <t>北京保盛国际旅行社有限公司</t>
  </si>
  <si>
    <t>Ms. Zhu</t>
  </si>
  <si>
    <t>Global Hotel Manager</t>
  </si>
  <si>
    <t>86 13581757624</t>
  </si>
  <si>
    <t>zhudan@bingotravel.com.cn</t>
  </si>
  <si>
    <t>北京市丰台区房天下大厦A座1209</t>
  </si>
  <si>
    <t>Vietravel</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</si>
  <si>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</si>
  <si>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</si>
  <si>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</si>
  <si>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</si>
  <si>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</si>
  <si>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</si>
  <si>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</si>
  <si>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</si>
  <si>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</si>
  <si>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</si>
  <si>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</si>
  <si>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</si>
  <si>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</si>
  <si>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</si>
  <si>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</si>
  <si>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t>
  </si>
  <si>
    <t>UONE International Holdings Limited</t>
  </si>
  <si>
    <t>Mr. Ricky</t>
  </si>
  <si>
    <t>CEO</t>
  </si>
  <si>
    <t>86 186 1086 8686</t>
  </si>
  <si>
    <t>ricky.zeng@uonetravel.com</t>
  </si>
  <si>
    <t>北京市朝阳区北苑东路中国铁剑广场E座1706 (SNS)
广州市番偶区巨大创意产业园三期5栋 810</t>
  </si>
  <si>
    <t>Myrealtrip</t>
  </si>
  <si>
    <t>82 10 2113 9852
82 10 5185 9507</t>
  </si>
  <si>
    <t>jiho.song@myrealtrip.com
kyouhl.han@myrealtrip.com</t>
  </si>
  <si>
    <t>06628 서울시 서초구 강남대로 311 드림플러스 강남 18층</t>
  </si>
  <si>
    <t>Pax2night</t>
  </si>
  <si>
    <t>Yuppi Group</t>
  </si>
  <si>
    <t>Türkiye</t>
  </si>
  <si>
    <t>Southwest Asia</t>
  </si>
  <si>
    <t>Turkey</t>
  </si>
  <si>
    <t>Istanbul</t>
  </si>
  <si>
    <t>Shirley Liu</t>
  </si>
  <si>
    <t>APAC Sales Manager</t>
  </si>
  <si>
    <t>Juniper</t>
  </si>
  <si>
    <t>Shiji</t>
  </si>
  <si>
    <t>86 139 1708 6085</t>
  </si>
  <si>
    <t>shirley.liu@pax2night.com</t>
  </si>
  <si>
    <t>Home - Yuppi Travel</t>
  </si>
  <si>
    <t>E-Intro 7/7 -Pending API/SHIJI</t>
  </si>
  <si>
    <t>HotelBeds</t>
  </si>
  <si>
    <t>Joy</t>
  </si>
  <si>
    <t>Webbeds</t>
  </si>
  <si>
    <t>Fenbeitong</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</si>
  <si>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</si>
  <si>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</si>
  <si>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</si>
  <si>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</si>
  <si>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</si>
  <si>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</si>
  <si>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</si>
  <si>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</si>
  <si>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</si>
  <si>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</si>
  <si>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</si>
  <si>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</si>
  <si>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</si>
  <si>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</si>
  <si>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E-sales 3/7</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</si>
  <si>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</si>
  <si>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</si>
  <si>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</si>
  <si>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</si>
  <si>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</si>
  <si>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</si>
  <si>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</si>
  <si>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</si>
  <si>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</si>
  <si>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TGX</t>
  </si>
  <si>
    <t>603 9232 1888</t>
  </si>
  <si>
    <t>product.dev@mayflower-group.com</t>
  </si>
  <si>
    <t>https://www.mayflower.com.my/hotel-deals</t>
  </si>
  <si>
    <t>No. 1 Jalan Metro Pudu 1, Fraser Business Park off Jalan Yew, 55100 Kuala Lumpur</t>
  </si>
  <si>
    <t>E-sales 6/7</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</si>
  <si>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</si>
  <si>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</si>
  <si>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</si>
  <si>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</si>
  <si>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</si>
  <si>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</si>
  <si>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</si>
  <si>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</si>
  <si>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</si>
  <si>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</si>
  <si>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</si>
  <si>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</si>
  <si>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</si>
  <si>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</si>
  <si>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</si>
  <si>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</si>
  <si>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</si>
  <si>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</si>
  <si>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</si>
  <si>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</si>
  <si>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</si>
  <si>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</si>
  <si>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</si>
  <si>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</si>
  <si>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</si>
  <si>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</si>
  <si>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Tele-sales 3/7</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</si>
  <si>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</si>
  <si>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</si>
  <si>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</si>
  <si>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</si>
  <si>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</si>
  <si>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</si>
  <si>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</si>
  <si>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</si>
  <si>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</si>
  <si>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</si>
  <si>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</si>
  <si>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</si>
  <si>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</si>
  <si>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</si>
  <si>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Tele-sales 6/7</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</si>
  <si>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</si>
  <si>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</si>
  <si>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</si>
  <si>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</si>
  <si>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</si>
  <si>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</si>
  <si>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</si>
  <si>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</si>
  <si>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</si>
  <si>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</si>
  <si>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</si>
  <si>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</si>
  <si>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</si>
  <si>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</si>
  <si>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</si>
  <si>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Spain</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</si>
  <si>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</si>
  <si>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</si>
  <si>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</si>
  <si>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</si>
  <si>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</si>
  <si>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</si>
  <si>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</si>
  <si>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</si>
  <si>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</si>
  <si>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</si>
  <si>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</si>
  <si>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</si>
  <si>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</si>
  <si>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</si>
  <si>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</si>
  <si>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</si>
  <si>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</si>
  <si>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</si>
  <si>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</si>
  <si>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</si>
  <si>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</si>
  <si>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</si>
  <si>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</si>
  <si>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</si>
  <si>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</si>
  <si>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</si>
  <si>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</si>
  <si>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</si>
  <si>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</si>
  <si>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</si>
  <si>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</si>
  <si>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</si>
  <si>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</si>
  <si>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</si>
  <si>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</si>
  <si>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</si>
  <si>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</si>
  <si>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</si>
  <si>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</si>
  <si>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</si>
  <si>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</si>
  <si>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</si>
  <si>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</si>
  <si>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</si>
  <si>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</si>
  <si>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Contacted 3/7</t>
  </si>
  <si>
    <t>Nam Ho Travel</t>
  </si>
  <si>
    <t>Michelle Ng</t>
  </si>
  <si>
    <t>michelleng@namho.com.sg</t>
  </si>
  <si>
    <t>https://namho.com.sg/</t>
  </si>
  <si>
    <t>1 Park Road, #04-63 People's Park Complex, Singapore 059108</t>
  </si>
  <si>
    <t>Tele-sales 11/7</t>
  </si>
  <si>
    <t>EU Holidays</t>
  </si>
  <si>
    <t>Vivian Lee</t>
  </si>
  <si>
    <t>vivianlee@euholidays.com.sg</t>
  </si>
  <si>
    <t>https://www.euholidays.com.sg/</t>
  </si>
  <si>
    <t>Suntec Singapore Convention &amp; Exhibition Centre, 1 Raffles Blvd, Level 2 Crescent 2, 039593</t>
  </si>
  <si>
    <t>E-sales 10/7 -Check-in next week(at Fair)</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</si>
  <si>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</si>
  <si>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</si>
  <si>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</si>
  <si>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</si>
  <si>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</si>
  <si>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</si>
  <si>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</si>
  <si>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</si>
  <si>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</si>
  <si>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</si>
  <si>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</si>
  <si>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</si>
  <si>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</si>
  <si>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</si>
  <si>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</si>
  <si>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</si>
  <si>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</si>
  <si>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</si>
  <si>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</si>
  <si>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</si>
  <si>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</si>
  <si>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</si>
  <si>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</si>
  <si>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</si>
  <si>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</si>
  <si>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</si>
  <si>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</si>
  <si>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</si>
  <si>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</si>
  <si>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</si>
  <si>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</si>
  <si>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</si>
  <si>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</si>
  <si>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</si>
  <si>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</si>
  <si>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</si>
  <si>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</si>
  <si>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</si>
  <si>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</si>
  <si>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</si>
  <si>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</si>
  <si>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</si>
  <si>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</si>
  <si>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</si>
  <si>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</si>
  <si>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</si>
  <si>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</si>
  <si>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</si>
  <si>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</si>
  <si>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</si>
  <si>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</si>
  <si>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</si>
  <si>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</si>
  <si>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</si>
  <si>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</si>
  <si>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</si>
  <si>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</si>
  <si>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</si>
  <si>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</si>
  <si>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</si>
  <si>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</si>
  <si>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</si>
  <si>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</si>
  <si>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</si>
  <si>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</si>
  <si>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</si>
  <si>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</si>
  <si>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</si>
  <si>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</si>
  <si>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</si>
  <si>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</si>
  <si>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</si>
  <si>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</si>
  <si>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</si>
  <si>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</si>
  <si>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</si>
  <si>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</si>
  <si>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</si>
  <si>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</si>
  <si>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</si>
  <si>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</si>
  <si>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</si>
  <si>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</si>
  <si>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</si>
  <si>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</si>
  <si>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</si>
  <si>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</si>
  <si>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</si>
  <si>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</si>
  <si>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</si>
  <si>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</si>
  <si>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</si>
  <si>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</si>
  <si>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</si>
  <si>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</si>
  <si>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</si>
  <si>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</si>
  <si>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</si>
  <si>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</si>
  <si>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</si>
  <si>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</si>
  <si>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</si>
  <si>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</si>
  <si>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</si>
  <si>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</si>
  <si>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</si>
  <si>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</si>
  <si>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</si>
  <si>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</si>
  <si>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</si>
  <si>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</si>
  <si>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</si>
  <si>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</si>
  <si>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</si>
  <si>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2/7'26-commence</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</si>
  <si>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</si>
  <si>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</si>
  <si>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</si>
  <si>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</si>
  <si>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</si>
  <si>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</si>
  <si>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</si>
  <si>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</si>
  <si>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</si>
  <si>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</si>
  <si>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</si>
  <si>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</si>
  <si>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</si>
  <si>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</si>
  <si>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</si>
  <si>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</si>
  <si>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</si>
  <si>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</si>
  <si>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</si>
  <si>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</si>
  <si>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</si>
  <si>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</si>
  <si>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</si>
  <si>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</si>
  <si>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</si>
  <si>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</si>
  <si>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</si>
  <si>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</si>
  <si>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</si>
  <si>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</si>
  <si>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</si>
  <si>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</si>
  <si>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</si>
  <si>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</si>
  <si>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</si>
  <si>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</si>
  <si>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</si>
  <si>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</si>
  <si>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</si>
  <si>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</si>
  <si>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</si>
  <si>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</si>
  <si>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</si>
  <si>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</si>
  <si>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</si>
  <si>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</si>
  <si>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</si>
  <si>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</si>
  <si>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</si>
  <si>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</si>
  <si>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</si>
  <si>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</si>
  <si>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</si>
  <si>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</si>
  <si>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</si>
  <si>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</si>
  <si>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</si>
  <si>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</si>
  <si>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</si>
  <si>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</si>
  <si>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</si>
  <si>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</si>
  <si>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</si>
  <si>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</si>
  <si>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</si>
  <si>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</si>
  <si>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</si>
  <si>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</si>
  <si>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</si>
  <si>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</si>
  <si>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</si>
  <si>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</si>
  <si>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</si>
  <si>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</si>
  <si>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</si>
  <si>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</si>
  <si>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</si>
  <si>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</si>
  <si>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</si>
  <si>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</si>
  <si>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</si>
  <si>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</si>
  <si>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</si>
  <si>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</si>
  <si>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</si>
  <si>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</si>
  <si>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</si>
  <si>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</si>
  <si>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</si>
  <si>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</si>
  <si>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</si>
  <si>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</si>
  <si>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</si>
  <si>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</si>
  <si>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</si>
  <si>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</si>
  <si>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</si>
  <si>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</si>
  <si>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</si>
  <si>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</si>
  <si>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</si>
  <si>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</si>
  <si>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</si>
  <si>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</si>
  <si>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</si>
  <si>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</si>
  <si>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</si>
  <si>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</si>
  <si>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</si>
  <si>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Russia</t>
  </si>
  <si>
    <t>Far East Asia</t>
  </si>
  <si>
    <t>Moscow</t>
  </si>
  <si>
    <t>OTA. B2C,B2B</t>
  </si>
  <si>
    <t>Rabinok</t>
  </si>
  <si>
    <t>a.pervakov@ostrovok.ru</t>
  </si>
  <si>
    <t>start@ostrovok.ru</t>
  </si>
  <si>
    <t>https://ostrovok.ru/</t>
  </si>
  <si>
    <t>Linkall Travel</t>
  </si>
  <si>
    <t>Guangzhou Linkall International Travel Agency Co., Ltd.</t>
  </si>
  <si>
    <t>Mr. Lion Luo</t>
  </si>
  <si>
    <t>86 189 2958 5810</t>
  </si>
  <si>
    <t>luojianjun@linkalltravel.com</t>
  </si>
  <si>
    <t>http://linkalltravel.com/about.html</t>
  </si>
  <si>
    <t>广州市海珠区敦和路189号2栋202</t>
  </si>
  <si>
    <t>Meiya</t>
  </si>
  <si>
    <t>Guangdong Meiya Business Travel Technology Co., Ltd.</t>
  </si>
  <si>
    <t>Ms. Whitney
Ms. Kiky</t>
  </si>
  <si>
    <t>86 186 6489 0365
86 133 0220 5013</t>
  </si>
  <si>
    <t>whitney@meiya.com</t>
  </si>
  <si>
    <t>美亚商旅-登录页</t>
  </si>
  <si>
    <t>天河区广州大道北520号中创盈科大厦13–14层</t>
  </si>
  <si>
    <t>Joy Travel</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</si>
  <si>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</si>
  <si>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</si>
  <si>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</si>
  <si>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</si>
  <si>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</si>
  <si>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</si>
  <si>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</si>
  <si>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</si>
  <si>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</si>
  <si>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</si>
  <si>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</si>
  <si>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</si>
  <si>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</si>
  <si>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</si>
  <si>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Fangcang</t>
  </si>
  <si>
    <t>天下房仓科技有限公司</t>
  </si>
  <si>
    <t>Ms. Ivy</t>
  </si>
  <si>
    <t>xiaohui.ye@fangcang.com'</t>
  </si>
  <si>
    <t>https://www.fangcang.com/</t>
  </si>
  <si>
    <t>龙华新区民治街道宝山时代大厦20楼2016号</t>
  </si>
  <si>
    <t>Bingtrip</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</si>
  <si>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</si>
  <si>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</si>
  <si>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</si>
  <si>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</si>
  <si>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</si>
  <si>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</si>
  <si>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</si>
  <si>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Weekly</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</si>
  <si>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</si>
  <si>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</si>
  <si>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</si>
  <si>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</si>
  <si>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</si>
  <si>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</si>
  <si>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</si>
  <si>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</si>
  <si>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</si>
  <si>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</si>
  <si>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</si>
  <si>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</si>
  <si>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</si>
  <si>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</si>
  <si>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</si>
  <si>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</si>
  <si>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</si>
  <si>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</si>
  <si>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</si>
  <si>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</si>
  <si>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</si>
  <si>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</si>
  <si>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</si>
  <si>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</si>
  <si>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</si>
  <si>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</si>
  <si>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</si>
  <si>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</si>
  <si>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CHEAPOTEL</t>
  </si>
  <si>
    <t>sales@cheapotel.com</t>
  </si>
  <si>
    <t>Justgotrip</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</si>
  <si>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</si>
  <si>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</si>
  <si>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</si>
  <si>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</si>
  <si>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</si>
  <si>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</si>
  <si>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</si>
  <si>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</si>
  <si>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</si>
  <si>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</si>
  <si>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</si>
  <si>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</si>
  <si>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</si>
  <si>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</si>
  <si>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</si>
  <si>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</si>
  <si>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</si>
  <si>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</si>
  <si>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</si>
  <si>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</si>
  <si>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</si>
  <si>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</si>
  <si>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</si>
  <si>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</si>
  <si>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</si>
  <si>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</si>
  <si>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</si>
  <si>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</si>
  <si>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</si>
  <si>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</si>
  <si>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</si>
  <si>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</si>
  <si>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</si>
  <si>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</si>
  <si>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</si>
  <si>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</si>
  <si>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</si>
  <si>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</si>
  <si>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</si>
  <si>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</si>
  <si>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</si>
  <si>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</si>
  <si>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</si>
  <si>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</si>
  <si>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</si>
  <si>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</si>
  <si>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</si>
  <si>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</si>
  <si>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</si>
  <si>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</si>
  <si>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</si>
  <si>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</si>
  <si>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</si>
  <si>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</si>
  <si>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</si>
  <si>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</si>
  <si>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</si>
  <si>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</si>
  <si>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</si>
  <si>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</si>
  <si>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</si>
  <si>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</si>
  <si>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</si>
  <si>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</si>
  <si>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</si>
  <si>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</si>
  <si>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</si>
  <si>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</si>
  <si>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</si>
  <si>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</si>
  <si>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</si>
  <si>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</si>
  <si>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</si>
  <si>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</si>
  <si>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</si>
  <si>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</si>
  <si>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</si>
  <si>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</si>
  <si>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</si>
  <si>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</si>
  <si>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</si>
  <si>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</si>
  <si>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</si>
  <si>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</si>
  <si>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</si>
  <si>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</si>
  <si>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</si>
  <si>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</si>
  <si>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</si>
  <si>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</si>
  <si>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</si>
  <si>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</si>
  <si>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</si>
  <si>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</si>
  <si>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</si>
  <si>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</si>
  <si>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</si>
  <si>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</si>
  <si>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</si>
  <si>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</si>
  <si>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</si>
  <si>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</si>
  <si>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</si>
  <si>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</si>
  <si>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</si>
  <si>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</si>
  <si>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</si>
  <si>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</si>
  <si>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</si>
  <si>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</si>
  <si>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</si>
  <si>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</si>
  <si>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</si>
  <si>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</si>
  <si>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</si>
  <si>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</si>
  <si>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</si>
  <si>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</si>
  <si>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</si>
  <si>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</si>
  <si>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</si>
  <si>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</si>
  <si>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</si>
  <si>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</si>
  <si>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</si>
  <si>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</si>
  <si>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</si>
  <si>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</si>
  <si>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</si>
  <si>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</si>
  <si>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</si>
  <si>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</si>
  <si>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</si>
  <si>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</si>
  <si>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</si>
  <si>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</si>
  <si>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</si>
  <si>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</si>
  <si>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</si>
  <si>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</si>
  <si>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</si>
  <si>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</si>
  <si>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</si>
  <si>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</si>
  <si>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</si>
  <si>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</si>
  <si>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</si>
  <si>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</si>
  <si>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</si>
  <si>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</si>
  <si>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</si>
  <si>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</si>
  <si>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</si>
  <si>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</si>
  <si>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</si>
  <si>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</si>
  <si>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</si>
  <si>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</si>
  <si>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</si>
  <si>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</si>
  <si>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</si>
  <si>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</si>
  <si>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</si>
  <si>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</si>
  <si>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</si>
  <si>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</si>
  <si>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</si>
  <si>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</si>
  <si>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</si>
  <si>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</si>
  <si>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</si>
  <si>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</si>
  <si>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</si>
  <si>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</si>
  <si>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</si>
  <si>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</si>
  <si>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</si>
  <si>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</si>
  <si>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</si>
  <si>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</si>
  <si>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</si>
  <si>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</si>
  <si>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</si>
  <si>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Hibeds</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</si>
  <si>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</si>
  <si>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</si>
  <si>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</si>
  <si>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</si>
  <si>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</si>
  <si>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</si>
  <si>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</si>
  <si>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</si>
  <si>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</si>
  <si>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</si>
  <si>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</si>
  <si>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</si>
  <si>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</si>
  <si>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</si>
  <si>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</si>
  <si>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</si>
  <si>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</si>
  <si>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</si>
  <si>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</si>
  <si>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</si>
  <si>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</si>
  <si>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</si>
  <si>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</si>
  <si>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</si>
  <si>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</si>
  <si>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</si>
  <si>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</si>
  <si>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</si>
  <si>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</si>
  <si>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</si>
  <si>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</si>
  <si>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</si>
  <si>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</si>
  <si>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</si>
  <si>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</si>
  <si>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</si>
  <si>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</si>
  <si>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</si>
  <si>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</si>
  <si>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</si>
  <si>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</si>
  <si>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</si>
  <si>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</si>
  <si>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</si>
  <si>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</si>
  <si>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</si>
  <si>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</si>
  <si>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</si>
  <si>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</si>
  <si>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</si>
  <si>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</si>
  <si>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</si>
  <si>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</si>
  <si>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</si>
  <si>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</si>
  <si>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</si>
  <si>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</si>
  <si>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Momo</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</si>
  <si>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</si>
  <si>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</si>
  <si>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</si>
  <si>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</si>
  <si>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</si>
  <si>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</si>
  <si>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</si>
  <si>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</si>
  <si>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</si>
  <si>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</si>
  <si>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</si>
  <si>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</si>
  <si>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</si>
  <si>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</si>
  <si>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</si>
  <si>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</si>
  <si>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</si>
  <si>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</si>
  <si>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</si>
  <si>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</si>
  <si>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</si>
  <si>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</si>
  <si>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</si>
  <si>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</si>
  <si>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</si>
  <si>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</si>
  <si>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</si>
  <si>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Happy Travel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</si>
  <si>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</si>
  <si>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</si>
  <si>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</si>
  <si>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</si>
  <si>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</si>
  <si>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</si>
  <si>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</si>
  <si>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</si>
  <si>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</si>
  <si>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</si>
  <si>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</si>
  <si>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</si>
  <si>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</si>
  <si>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</si>
  <si>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</si>
  <si>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</si>
  <si>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</si>
  <si>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</si>
  <si>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</si>
  <si>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</si>
  <si>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</si>
  <si>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</si>
  <si>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</si>
  <si>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</si>
  <si>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</si>
  <si>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</si>
  <si>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</si>
  <si>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</si>
  <si>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</si>
  <si>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</si>
  <si>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</si>
  <si>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</si>
  <si>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</si>
  <si>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</si>
  <si>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</si>
  <si>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</si>
  <si>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</si>
  <si>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</si>
  <si>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</si>
  <si>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</si>
  <si>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</si>
  <si>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Ningbo candoor consulting Co., Ltd.</t>
  </si>
  <si>
    <t>宁波加渡出入境服务有限公司</t>
  </si>
  <si>
    <t>Ningbo</t>
  </si>
  <si>
    <t>Anny Sun</t>
  </si>
  <si>
    <t>86 137 7797 7438</t>
  </si>
  <si>
    <t>annysun@candoor.cn</t>
  </si>
  <si>
    <t>宁波市江北区文教路72弄16号海天大厦802</t>
  </si>
  <si>
    <t>JL Tour</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</si>
  <si>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</si>
  <si>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</si>
  <si>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</si>
  <si>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</si>
  <si>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</si>
  <si>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</si>
  <si>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</si>
  <si>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SN tour</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</si>
  <si>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</si>
  <si>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</si>
  <si>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</si>
  <si>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</si>
  <si>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</si>
  <si>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</si>
  <si>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</si>
  <si>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</si>
  <si>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</si>
  <si>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Mengtu</t>
  </si>
  <si>
    <t>Hunan Mengtu</t>
  </si>
  <si>
    <t>Hunan</t>
  </si>
  <si>
    <t>FIT,B2C</t>
  </si>
  <si>
    <t>Zac Chai</t>
  </si>
  <si>
    <t>Head OF BD</t>
  </si>
  <si>
    <t>86 186 27316239</t>
  </si>
  <si>
    <t>zchai@m-tu.com</t>
  </si>
  <si>
    <t>湖南省长沙市开福区芙蓉中路 华创国际广场 V座 5F 萌兔旅行</t>
  </si>
  <si>
    <t>Wingpulse</t>
  </si>
  <si>
    <t>友道文旅科技</t>
  </si>
  <si>
    <t>xi an</t>
  </si>
  <si>
    <t>B2C, TMC</t>
  </si>
  <si>
    <t>Qin Xiao Chun</t>
  </si>
  <si>
    <t>86 176 9108 6816</t>
  </si>
  <si>
    <t>shanxiyoudao@sina.com</t>
  </si>
  <si>
    <t>西安市雁塔区都市之门c座408</t>
  </si>
  <si>
    <t>Hotelsys.com</t>
  </si>
  <si>
    <t>同业国际酒店预定平台</t>
  </si>
  <si>
    <t>Lina Wu</t>
  </si>
  <si>
    <t>Reservation Manager</t>
  </si>
  <si>
    <t>86 13898 400 109</t>
  </si>
  <si>
    <t>lina.wu@hotelsys.cn</t>
  </si>
  <si>
    <t>www.hotelsys.cn</t>
  </si>
  <si>
    <t>R907 No.1 E Shilipu Road Chaoyang District Beijing</t>
  </si>
  <si>
    <t>Nice tour</t>
  </si>
  <si>
    <t>新境界</t>
  </si>
  <si>
    <t>Huang yue zhuan</t>
  </si>
  <si>
    <t>86 130 2880 0856</t>
  </si>
  <si>
    <t>huangyuezhuan@xjjair.com</t>
  </si>
  <si>
    <t>www.nicetour.con
www.xjjair.com (B2B)</t>
  </si>
  <si>
    <t>罗湖区嘉宾路太平洋商贸大厦b座11楼b1118</t>
  </si>
  <si>
    <t>Haven Trip</t>
  </si>
  <si>
    <t>航文出行有限公司</t>
  </si>
  <si>
    <t>Changsha</t>
  </si>
  <si>
    <t>Jackson</t>
  </si>
  <si>
    <t>Commercial Director</t>
  </si>
  <si>
    <t>86 151 1128 8843</t>
  </si>
  <si>
    <t>jack@haventrip.global</t>
  </si>
  <si>
    <t>www.haventrip.global</t>
  </si>
  <si>
    <t>湖南省长沙市铭城绿谷智慧产业园17栋15层</t>
  </si>
  <si>
    <t>Huamao</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</si>
  <si>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</si>
  <si>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</si>
  <si>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</si>
  <si>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</si>
  <si>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</si>
  <si>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</si>
  <si>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</si>
  <si>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</si>
  <si>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</si>
  <si>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</si>
  <si>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</si>
  <si>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</si>
  <si>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</si>
  <si>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</si>
  <si>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</si>
  <si>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</si>
  <si>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</si>
  <si>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</si>
  <si>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</si>
  <si>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</si>
  <si>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</si>
  <si>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</si>
  <si>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</si>
  <si>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</si>
  <si>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</si>
  <si>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</si>
  <si>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</si>
  <si>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</si>
  <si>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</si>
  <si>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</si>
  <si>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</si>
  <si>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</si>
  <si>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</si>
  <si>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</si>
  <si>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</si>
  <si>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</si>
  <si>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</si>
  <si>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</si>
  <si>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</si>
  <si>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</si>
  <si>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</si>
  <si>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</si>
  <si>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</si>
  <si>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</si>
  <si>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</si>
  <si>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</si>
  <si>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</si>
  <si>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</si>
  <si>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</si>
  <si>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</si>
  <si>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</si>
  <si>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</si>
  <si>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</si>
  <si>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</si>
  <si>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</si>
  <si>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</si>
  <si>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</si>
  <si>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</si>
  <si>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</si>
  <si>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</si>
  <si>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</si>
  <si>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</si>
  <si>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</si>
  <si>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</si>
  <si>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</si>
  <si>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</si>
  <si>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</si>
  <si>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</si>
  <si>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</si>
  <si>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</si>
  <si>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</si>
  <si>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</si>
  <si>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</si>
  <si>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</si>
  <si>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</si>
  <si>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</si>
  <si>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</si>
  <si>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</si>
  <si>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</si>
  <si>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</si>
  <si>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</si>
  <si>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</si>
  <si>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</si>
  <si>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</si>
  <si>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</si>
  <si>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</si>
  <si>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</si>
  <si>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</si>
  <si>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</si>
  <si>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</si>
  <si>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</si>
  <si>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</si>
  <si>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</si>
  <si>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</si>
  <si>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</si>
  <si>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</si>
  <si>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</si>
  <si>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</si>
  <si>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</si>
  <si>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</si>
  <si>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</si>
  <si>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</si>
  <si>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</si>
  <si>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</si>
  <si>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</si>
  <si>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</si>
  <si>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</si>
  <si>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</si>
  <si>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</si>
  <si>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</si>
  <si>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</si>
  <si>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</si>
  <si>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</si>
  <si>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</si>
  <si>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</si>
  <si>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</si>
  <si>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</si>
  <si>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</si>
  <si>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</si>
  <si>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</si>
  <si>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</si>
  <si>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</si>
  <si>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</si>
  <si>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</si>
  <si>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</si>
  <si>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</si>
  <si>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</si>
  <si>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</si>
  <si>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</si>
  <si>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</si>
  <si>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</si>
  <si>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</si>
  <si>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</si>
  <si>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</si>
  <si>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</si>
  <si>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 China</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</si>
  <si>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</si>
  <si>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</si>
  <si>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</si>
  <si>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</si>
  <si>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</si>
  <si>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</si>
  <si>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</si>
  <si>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</si>
  <si>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</si>
  <si>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</si>
  <si>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</si>
  <si>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</si>
  <si>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</si>
  <si>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</si>
  <si>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</si>
  <si>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</si>
  <si>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</si>
  <si>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</si>
  <si>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</si>
  <si>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</si>
  <si>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</si>
  <si>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</si>
  <si>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</si>
  <si>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</si>
  <si>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</si>
  <si>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</si>
  <si>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</si>
  <si>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</si>
  <si>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</si>
  <si>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</si>
  <si>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</si>
  <si>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</si>
  <si>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</si>
  <si>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</si>
  <si>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</si>
  <si>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</si>
  <si>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</si>
  <si>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</si>
  <si>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</si>
  <si>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</si>
  <si>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</si>
  <si>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</si>
  <si>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</si>
  <si>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</si>
  <si>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</si>
  <si>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</si>
  <si>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</si>
  <si>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</si>
  <si>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</si>
  <si>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</si>
  <si>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</si>
  <si>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</si>
  <si>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</si>
  <si>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</si>
  <si>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</si>
  <si>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</si>
  <si>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</si>
  <si>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</si>
  <si>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</si>
  <si>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</si>
  <si>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</si>
  <si>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</si>
  <si>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</si>
  <si>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</si>
  <si>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</si>
  <si>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</si>
  <si>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</si>
  <si>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Luxury Tours</t>
  </si>
  <si>
    <t>INDIA</t>
  </si>
  <si>
    <t>Michael Lee</t>
  </si>
  <si>
    <t>65 97878518</t>
  </si>
  <si>
    <t>michael@luxury.com.sg</t>
  </si>
  <si>
    <t>https://www.bookluxurytours.com/</t>
  </si>
  <si>
    <t>20 Bendemeer Rd, #05-09 BS Bendemeer Centre, Singapore 339914</t>
  </si>
  <si>
    <t>2/7-Shiji(Sophia)</t>
  </si>
  <si>
    <t>Pending LIVE</t>
  </si>
  <si>
    <t>Meidi Travel</t>
  </si>
  <si>
    <t>Singapore, Indonesia, Malaysia</t>
  </si>
  <si>
    <t>Sidney Chua</t>
  </si>
  <si>
    <t>65 80851998</t>
  </si>
  <si>
    <t>travel@meidi.asia</t>
  </si>
  <si>
    <t>https://meiditravel.com/</t>
  </si>
  <si>
    <t>1 North Bridge Rd, #03-39, Singapore 179094</t>
  </si>
  <si>
    <t>2/7 FU</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</si>
  <si>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</si>
  <si>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</si>
  <si>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</si>
  <si>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</si>
  <si>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</si>
  <si>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</si>
  <si>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</si>
  <si>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</si>
  <si>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</si>
  <si>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</si>
  <si>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</si>
  <si>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</si>
  <si>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</si>
  <si>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</si>
  <si>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</si>
  <si>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10/7 FU, Bridging</t>
  </si>
  <si>
    <t>OMH OTA APP</t>
  </si>
  <si>
    <t>Amex Travel</t>
  </si>
  <si>
    <t>Singapore- 250,000 clients</t>
  </si>
  <si>
    <t>Jayden Yap</t>
  </si>
  <si>
    <t>Merchant Aqq.Mgr (SG)</t>
  </si>
  <si>
    <t>65 94889893</t>
  </si>
  <si>
    <t>jayden.yap@aexp.com</t>
  </si>
  <si>
    <t>https://www.americanexpress.com/en-sg/travel/</t>
  </si>
  <si>
    <t>1 Marina Blvd, #22-00, Singapore 018989</t>
  </si>
  <si>
    <t>2/7 FU,pending payment gateway for SG</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</si>
  <si>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</si>
  <si>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</si>
  <si>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</si>
  <si>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</si>
  <si>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</si>
  <si>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</si>
  <si>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</si>
  <si>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</si>
  <si>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</si>
  <si>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</si>
  <si>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</si>
  <si>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E-meet on  22/7 Sales</t>
  </si>
  <si>
    <t>Travonglobal</t>
  </si>
  <si>
    <t>Ranvijay Singh</t>
  </si>
  <si>
    <t>Co-Founder &amp; Director</t>
  </si>
  <si>
    <t>cofounder@travonglobal.com</t>
  </si>
  <si>
    <t>https://www.travonglobal.com/</t>
  </si>
  <si>
    <t>E-sales 3/7 -email keep bouncing</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</si>
  <si>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</si>
  <si>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</si>
  <si>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</si>
  <si>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</si>
  <si>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</si>
  <si>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</si>
  <si>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</si>
  <si>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</si>
  <si>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</si>
  <si>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</si>
  <si>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</si>
  <si>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</si>
  <si>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</si>
  <si>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</si>
  <si>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</si>
  <si>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</si>
  <si>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</si>
  <si>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</si>
  <si>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</si>
  <si>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</si>
  <si>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</si>
  <si>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</si>
  <si>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E-sales 9/7: FU Contracting</t>
  </si>
  <si>
    <t>JTB (Outbound) Retail</t>
  </si>
  <si>
    <t>Retail</t>
  </si>
  <si>
    <t>Man chong</t>
  </si>
  <si>
    <t>jtbtravelsaloon.sg@jtbap.com</t>
  </si>
  <si>
    <t>Tanjong Pagar, near Tanjong Pagar Plaza. Located on 11th Floor of Keppel South Central</t>
  </si>
  <si>
    <t>Tele-sales 9/7 Contracting</t>
  </si>
  <si>
    <t>Netstorming</t>
  </si>
  <si>
    <t>Italy, US</t>
  </si>
  <si>
    <t>Europe</t>
  </si>
  <si>
    <t>Neel Curpen</t>
  </si>
  <si>
    <t>Sales Manager</t>
  </si>
  <si>
    <t>+39 347 443 5557</t>
  </si>
  <si>
    <t>neel.curpen@netstorming.net</t>
  </si>
  <si>
    <t>https://www.netstorming.net/en/</t>
  </si>
  <si>
    <t>E-sales 7/7</t>
  </si>
  <si>
    <t>ETRIPBOOKING</t>
  </si>
  <si>
    <t>CONTACT@ETRIPBOOKING.COM</t>
  </si>
  <si>
    <t>https://etripbooking.com/#top</t>
  </si>
  <si>
    <t>Tele-sales 7/7</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</si>
  <si>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</si>
  <si>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</si>
  <si>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</si>
  <si>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</si>
  <si>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</si>
  <si>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</si>
  <si>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</si>
  <si>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</si>
  <si>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</si>
  <si>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</si>
  <si>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</si>
  <si>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</si>
  <si>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</si>
  <si>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</si>
  <si>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</si>
  <si>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</si>
  <si>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</si>
  <si>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</si>
  <si>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E-sales discussion 11/7</t>
  </si>
  <si>
    <t>Expedia</t>
  </si>
  <si>
    <t>Worldwide/Asia</t>
  </si>
  <si>
    <t>Bingyu</t>
  </si>
  <si>
    <t>63 13564655720</t>
  </si>
  <si>
    <t>bingyu.zhang@outlook.com</t>
  </si>
  <si>
    <t>E-sales 11/7</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</si>
  <si>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</si>
  <si>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</si>
  <si>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</si>
  <si>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</si>
  <si>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</si>
  <si>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</si>
  <si>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</si>
  <si>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</si>
  <si>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</si>
  <si>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</si>
  <si>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</si>
  <si>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</si>
  <si>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</si>
  <si>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Tele-sales 6/7 - Office opening in Aug'26</t>
  </si>
  <si>
    <t>Mandai Rainforest Resort By Banyan Tree, SG)</t>
  </si>
  <si>
    <t>sales-mandairainforest@banyantree.com</t>
  </si>
  <si>
    <t>Unique Hotel in Singapore | Mandai Rainforest Resort by Banyan Tree</t>
  </si>
  <si>
    <t>60 Mandai Lake Rd, Singapore 729979</t>
  </si>
  <si>
    <t>Emailed 3/7</t>
  </si>
  <si>
    <t>FY'26/Rank 82</t>
  </si>
  <si>
    <t>Hotel Boss (Worldwide Hotels), SG</t>
  </si>
  <si>
    <t>enquiry@wwhotels.com</t>
  </si>
  <si>
    <t>https://www.wwhotels.com/hotel-boss/</t>
  </si>
  <si>
    <t>500 Jln Sultan, Singapore 199020</t>
  </si>
  <si>
    <t>FY'26/Rank 2</t>
  </si>
  <si>
    <t>Hotel Mi, Bencoolen (Worldwide Hotels), SG</t>
  </si>
  <si>
    <t>https://www.wwhotels.com/hotel-mi/</t>
  </si>
  <si>
    <t>41 Bencoolen St, Singapore 189623</t>
  </si>
  <si>
    <t>FY'26/Rank 3</t>
  </si>
  <si>
    <t>Pan Pacific, SG</t>
  </si>
  <si>
    <t>enquiry.ppsin@panpacific.com</t>
  </si>
  <si>
    <t>https://www.panpacific.com/en/hotels-and-resorts/pp-marina.html</t>
  </si>
  <si>
    <t>7 Raffles Boulevard, Singapore 039595</t>
  </si>
  <si>
    <t>FY'26/Rank 4</t>
  </si>
  <si>
    <t>Hotel Indigo Singapore Katong by IHG</t>
  </si>
  <si>
    <t>info.sinki@ihg.com</t>
  </si>
  <si>
    <t>https://www.ihg.com/hotelindigo/hotels/us/en/singapore/sinki/hoteldetail</t>
  </si>
  <si>
    <t>86 E Coast Rd, Singapore 428788</t>
  </si>
  <si>
    <t>FY'26/Rank 5</t>
  </si>
  <si>
    <t>Village Hotel Sentosa by Far East Hospitality</t>
  </si>
  <si>
    <t>reseasy@fareast.com; info.vhs@fareast.com.sg</t>
  </si>
  <si>
    <t>https://www.villagehotels.asia/en/hotels/village-hotel-sentosa</t>
  </si>
  <si>
    <t>10 Artillery Ave, #02-01 Palawan Ridge, Sentosa Island, 099951</t>
  </si>
  <si>
    <t>Emailed 6/7</t>
  </si>
  <si>
    <t>FY'26/Rank 6</t>
  </si>
  <si>
    <t>The Clan Hotel Singapore</t>
  </si>
  <si>
    <t>sales.tch@fareast.com</t>
  </si>
  <si>
    <t>www.theclanhotel.com.sg</t>
  </si>
  <si>
    <t>10 Cross St, Singapore 048417</t>
  </si>
  <si>
    <t>FY'26/Rank 7</t>
  </si>
  <si>
    <t>Furama RiverFront</t>
  </si>
  <si>
    <t>riverfront@furama.com; reservations.riverfront@furama.com</t>
  </si>
  <si>
    <t>https://www.furama.com/riverfront</t>
  </si>
  <si>
    <t>405 Havelock Rd, Singapore 169633</t>
  </si>
  <si>
    <t>FY'26/Rank 8</t>
  </si>
  <si>
    <t>PARKROYAL COLLECTION Marina Bay, Singapore</t>
  </si>
  <si>
    <t>enquiry.prsmb@parkroyalcollection.com; reserve.prsmb@parkroyalcollection.com</t>
  </si>
  <si>
    <t>https://www.panpacific.com/en/hotels-and-resorts/pr-collection-marina-bay/offers.html</t>
  </si>
  <si>
    <t>6 Raffles Blvd, Singapore 039594</t>
  </si>
  <si>
    <t>FY'26/Rank 9</t>
  </si>
  <si>
    <t>YOTEL Singapore Orchard Road</t>
  </si>
  <si>
    <t>sor.reservations@yotel.com; singapore.contact@yotel.com</t>
  </si>
  <si>
    <t>https://www.yotel.com/en/hotels/yotel-singapore</t>
  </si>
  <si>
    <t>366 Orchard Rd, Singapore 238904</t>
  </si>
  <si>
    <t>FY'26/Rank 10</t>
  </si>
  <si>
    <t>Carlton Hotel Singapore</t>
  </si>
  <si>
    <t>roomreservations@carltonhotel.sg;sales@carltonhotel.sg</t>
  </si>
  <si>
    <t>https://www.carltonhotel.sg/</t>
  </si>
  <si>
    <t>76 Bras Basah Rd, Singapore 189558</t>
  </si>
  <si>
    <t>Contracted 7/7</t>
  </si>
  <si>
    <t>FY'26/Rank 11</t>
  </si>
  <si>
    <t>Dorsett Changi City Singapore</t>
  </si>
  <si>
    <t>Peachy</t>
  </si>
  <si>
    <t>Revenue Director</t>
  </si>
  <si>
    <t>annie.lee@dorsetthotels.com;peachy.tuason@dorsetthotels.com</t>
  </si>
  <si>
    <t>https://www.dorsetthotels.com/dorsett-changi-city-singapore/</t>
  </si>
  <si>
    <t>3 Changi Business Park Central 1, Singapore 486037</t>
  </si>
  <si>
    <t>Contracting 7/7</t>
  </si>
  <si>
    <t>FY'26/Rank 12</t>
  </si>
  <si>
    <t>Paradox Singapore</t>
  </si>
  <si>
    <t>reservations@paradoxsingapore.com</t>
  </si>
  <si>
    <t>https://www.paradoxhotels.com/singapore/</t>
  </si>
  <si>
    <t>20 Merchant Rd, Singapore 058281</t>
  </si>
  <si>
    <t>Contracting/Travelclick- 9/7</t>
  </si>
  <si>
    <t>FY'26/Rank 13</t>
  </si>
  <si>
    <t>Royal Plaza On Scotts</t>
  </si>
  <si>
    <t>Yana</t>
  </si>
  <si>
    <t>Sales Mgr</t>
  </si>
  <si>
    <t>roomres@royalplaza.com.sg</t>
  </si>
  <si>
    <t>https://www.royalplaza.com.sg/</t>
  </si>
  <si>
    <t>25 Scotts Rd, Singapore 228220</t>
  </si>
  <si>
    <t>FY'26/Rank 14</t>
  </si>
  <si>
    <t>Holiday Inn Express &amp; Suites Singapore Novena by IHG</t>
  </si>
  <si>
    <t>Joe Ng</t>
  </si>
  <si>
    <t>DOS</t>
  </si>
  <si>
    <t>joe.ng@ihg.com</t>
  </si>
  <si>
    <t>https://www.ihg.com/holidayinnexpress/hotels/us/en/singapore/sinov/hoteldetail</t>
  </si>
  <si>
    <t>201 Balestier Rd, Singapore 329926</t>
  </si>
  <si>
    <t>Tele- 7/7</t>
  </si>
  <si>
    <t>FY'26/Rank 15</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</si>
  <si>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</si>
  <si>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</si>
  <si>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</si>
  <si>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</si>
  <si>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</si>
  <si>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</si>
  <si>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</si>
  <si>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</si>
  <si>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</si>
  <si>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Tele- 8/7</t>
  </si>
  <si>
    <t>FY'26/Rank 17</t>
  </si>
  <si>
    <t>JEN Singapore Orchardgateway by Shangri-La</t>
  </si>
  <si>
    <t>singaporeorchardgateway@hoteljen.com</t>
  </si>
  <si>
    <t>https://www.shangri-la.com/hotels/jen/singapore/orchardgateway/</t>
  </si>
  <si>
    <t>277 Orchard Rd, Singapore 238858</t>
  </si>
  <si>
    <t>Emailed 9/7</t>
  </si>
  <si>
    <t>FY'26/Rank 18</t>
  </si>
  <si>
    <t>Oasia Hotel Downtown Singapore By Far East Hospitality</t>
  </si>
  <si>
    <t>Grace Yeo</t>
  </si>
  <si>
    <t>Snr Sales Mgr</t>
  </si>
  <si>
    <t>graceyeolb@fareast.com</t>
  </si>
  <si>
    <t>https://www.oasiahotels.com/en/singapore/hotels/oasia-hotel-downtown</t>
  </si>
  <si>
    <t>100 Peck Seah St, Singapore 079333</t>
  </si>
  <si>
    <t>Contracting 9/7</t>
  </si>
  <si>
    <t>FY'26/Rank 19</t>
  </si>
  <si>
    <t>Village Hotel Albert Court by Far East Hospitality</t>
  </si>
  <si>
    <t>Yunis Wong</t>
  </si>
  <si>
    <t>yuniswong@fareast.com</t>
  </si>
  <si>
    <t>https://www.villagehotels.asia/en/hotels/village-hotel-albert-court</t>
  </si>
  <si>
    <t>180 Albert St, Singapore 189971</t>
  </si>
  <si>
    <t>FY'26/Rank 20</t>
  </si>
  <si>
    <t>Carlton City Hotel Singapore</t>
  </si>
  <si>
    <t>Andrew Ho</t>
  </si>
  <si>
    <t>andrew.ho@carltoncity.sg</t>
  </si>
  <si>
    <t>https://www.carltoncity.sg/</t>
  </si>
  <si>
    <t>1 Gopeng St, #1, Singapore 078862</t>
  </si>
  <si>
    <t>Tele- 9/7</t>
  </si>
  <si>
    <t>FY'26/Rank 21</t>
  </si>
  <si>
    <t>PARKROYAL COLLECTION Pickering, Singapore</t>
  </si>
  <si>
    <t>Xiuqin</t>
  </si>
  <si>
    <t>xiuqin.lian@parkroyalcollection.com</t>
  </si>
  <si>
    <t>https://www.panpacific.com/en/hotels-and-resorts/pr-collection-pickering.html</t>
  </si>
  <si>
    <t>3 Upper Pickering St, Singapore 058289</t>
  </si>
  <si>
    <t>FY'26/Rank 26</t>
  </si>
  <si>
    <t>FAREAST Group: 16 HOTELS + 9 Service Residences (SG)</t>
  </si>
  <si>
    <t>Teryn</t>
  </si>
  <si>
    <t>DOS (Group)</t>
  </si>
  <si>
    <t>https://www.fareasthospitality.com/</t>
  </si>
  <si>
    <t>Contracting 10/7</t>
  </si>
  <si>
    <t>25 Properties</t>
  </si>
  <si>
    <t>AQUEEN Hotels &amp; Resorts Singapore: 3 Hotels (SG)</t>
  </si>
  <si>
    <t>Priscilla Pey</t>
  </si>
  <si>
    <t>priscillapey@aqueenhotels.com</t>
  </si>
  <si>
    <t>https://aqueenhotels.com/</t>
  </si>
  <si>
    <t>61 Tai Seng Ave #05-13 Singapore 534167</t>
  </si>
  <si>
    <t>3 Hotels</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</si>
  <si>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</si>
  <si>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</si>
  <si>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</si>
  <si>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</si>
  <si>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</si>
  <si>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</si>
  <si>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FY'26/Rank 87</t>
  </si>
  <si>
    <t>KLoé Hotel</t>
  </si>
  <si>
    <t>3-27721313</t>
  </si>
  <si>
    <t>reservations@kloehotel.com</t>
  </si>
  <si>
    <t>https://www.kloehotel.com/</t>
  </si>
  <si>
    <t>227, Jln Bukit Bintang, Imbi, 55100 Kuala Lumpur, Wilayah Persekutuan Kuala Lumpur, Malaysia</t>
  </si>
  <si>
    <t>FY'26/Rank 1</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</si>
  <si>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</si>
  <si>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</si>
  <si>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</si>
  <si>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</si>
  <si>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</si>
  <si>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</si>
  <si>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</si>
  <si>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</si>
  <si>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</si>
  <si>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</si>
  <si>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</si>
  <si>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</si>
  <si>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</si>
  <si>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</si>
  <si>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</si>
  <si>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</si>
  <si>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</si>
  <si>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</si>
  <si>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</si>
  <si>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Contracted 6/7</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</si>
  <si>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</si>
  <si>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</si>
  <si>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</si>
  <si>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</si>
  <si>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</si>
  <si>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</si>
  <si>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E-FU 9/7</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</si>
  <si>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</si>
  <si>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</si>
  <si>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</si>
  <si>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</si>
  <si>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</si>
  <si>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</si>
  <si>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FY'26/Rank 185</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</si>
  <si>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</si>
  <si>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</si>
  <si>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</si>
  <si>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</si>
  <si>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</si>
  <si>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</si>
  <si>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</si>
  <si>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</si>
  <si>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</si>
  <si>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</si>
  <si>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</si>
  <si>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</si>
  <si>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</si>
  <si>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</si>
  <si>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</si>
  <si>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</si>
  <si>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</si>
  <si>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</si>
  <si>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</si>
  <si>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</si>
  <si>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</si>
  <si>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</si>
  <si>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</si>
  <si>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API 연동 개발 트래커 (IT / Dev 공용) — 9단계 프로세스 기준 실제 진행 이력</t>
  </si>
  <si>
    <t>프로젝트 / 개발 정보</t>
  </si>
  <si>
    <t>진행 현황 (자동 계산)</t>
  </si>
  <si>
    <t>9단계 실제 마일스톤 날짜 (CRM 연동)</t>
  </si>
  <si>
    <t>IT 체크 / 정합성</t>
  </si>
  <si>
    <t>마일스톤 가중치 (진행율 계산용 · U~AF열 대응)</t>
  </si>
  <si>
    <t>No.</t>
  </si>
  <si>
    <t>Project</t>
  </si>
  <si>
    <t>연동 방향 (API Direction)</t>
  </si>
  <si>
    <t>Biz Impact</t>
  </si>
  <si>
    <t>OHMY 개발 부하</t>
  </si>
  <si>
    <t>개발 주체 (Dev Owner)</t>
  </si>
  <si>
    <t>담당팀</t>
  </si>
  <si>
    <t>PIC (Sales)</t>
  </si>
  <si>
    <t>계획 시작</t>
  </si>
  <si>
    <t>계획 종료</t>
  </si>
  <si>
    <t>CRM Key (연결명)</t>
  </si>
  <si>
    <t>진행바</t>
  </si>
  <si>
    <t>현재 단계</t>
  </si>
  <si>
    <t>다음 게이트</t>
  </si>
  <si>
    <t>최근 활동일</t>
  </si>
  <si>
    <t>경과일</t>
  </si>
  <si>
    <t>지연 체크</t>
  </si>
  <si>
    <t>① 미팅/1st Contact (10%)</t>
  </si>
  <si>
    <t>② NDA 체결 (20%)</t>
  </si>
  <si>
    <t>③ 계약 체결 (30%)</t>
  </si>
  <si>
    <t>④ SLA 확정 (40%)</t>
  </si>
  <si>
    <t>⑤ 개발 착수 예정 (45%)</t>
  </si>
  <si>
    <t>⑥ 개발 착수/SPEC·DEV Key (50%)</t>
  </si>
  <si>
    <t>⑦ Certification (60%)</t>
  </si>
  <si>
    <t>⑧ Live Test (70%)</t>
  </si>
  <si>
    <t>⑨ 개발 완료 예정 (75%)</t>
  </si>
  <si>
    <t>⑩ Live Open (80%)</t>
  </si>
  <si>
    <t>⑪ 첫 부킹 (90%)</t>
  </si>
  <si>
    <t>⑫ API Live 완료 (100%)</t>
  </si>
  <si>
    <t>IT 확인일</t>
  </si>
  <si>
    <t>IT 담당자</t>
  </si>
  <si>
    <t>현재 블로커 / 이슈</t>
  </si>
  <si>
    <t>Status vs 날짜 정합성</t>
  </si>
  <si>
    <t>한눈에 보기 (자동 집계)</t>
  </si>
  <si>
    <t>전체 프로젝트</t>
  </si>
  <si>
    <t>달력상 진행 이력 있음</t>
  </si>
  <si>
    <t>이력 없음 (날짜 입력 필요)</t>
  </si>
  <si>
    <t>CRM 연결 키 미지정 (노랑)</t>
  </si>
  <si>
    <t>30일+ 정지</t>
  </si>
  <si>
    <t>60일+ 정지</t>
  </si>
  <si>
    <t>90일+ 정지</t>
  </si>
  <si>
    <t>정합성 이슈 (Status≠날짜)</t>
  </si>
  <si>
    <t>→ OMH API 제공 (상대가 호출)</t>
  </si>
  <si>
    <t>← 고객사 API 연동 (OMH 개발)</t>
  </si>
  <si>
    <t>Deposit USD 10,000 입금 2026-04-30 (Bank Fee 고객사 부담) / Case Study 기준사례</t>
  </si>
  <si>
    <t>Impact High</t>
  </si>
  <si>
    <t>Impact Mid</t>
  </si>
  <si>
    <t>Impact Low</t>
  </si>
  <si>
    <t>Impact 미지정</t>
  </si>
  <si>
    <t>범례 / 사용법</t>
  </si>
  <si>
    <t>파란 글씨 = 직접 입력 칸 (마일스톤 날짜, Impact, IT 체크)</t>
  </si>
  <si>
    <t>초록 글씨 = Dev Schedule 2025-26 시트 자동 연동</t>
  </si>
  <si>
    <t>검정 글씨 = 수식 자동 계산 (진행율·단계·정지일수)</t>
  </si>
  <si>
    <t>노란 칸 = CRM Key 미지정 → 연결명 입력 필요</t>
  </si>
  <si>
    <t>U~AF열 날짜는 CRM 시트 이력으로 초기 세팅됨. 이후는 이 시트에서 직접 갱신.</t>
  </si>
  <si>
    <t>진행율 = 날짜가 입력된 가장 마지막 단계의 가중치</t>
  </si>
  <si>
    <t>[2026 API Integration Schedule]</t>
  </si>
  <si>
    <t>Q4</t>
  </si>
  <si>
    <t>Q1</t>
  </si>
  <si>
    <t>Q2</t>
  </si>
  <si>
    <t>Q3</t>
  </si>
  <si>
    <t>Handling Team</t>
  </si>
  <si>
    <t>Dev Owner</t>
    <phoneticPr fontId="3" type="noConversion"/>
  </si>
  <si>
    <t>OHMY Dev Load
(OHMY 개발 부하)</t>
  </si>
  <si>
    <t>Start Month</t>
  </si>
  <si>
    <t>End Month</t>
  </si>
  <si>
    <t>Oct</t>
  </si>
  <si>
    <t>Nov</t>
  </si>
  <si>
    <t>Dec</t>
  </si>
  <si>
    <t>Jan</t>
  </si>
  <si>
    <t>Feb</t>
  </si>
  <si>
    <t>Mar</t>
  </si>
  <si>
    <t>Apr</t>
  </si>
  <si>
    <t>May</t>
  </si>
  <si>
    <t>Jun</t>
  </si>
  <si>
    <t>Jul</t>
  </si>
  <si>
    <t>Aug</t>
  </si>
  <si>
    <t>Sep</t>
  </si>
  <si>
    <t>HANHWA Hotel &amp; Resort</t>
    <phoneticPr fontId="3" type="noConversion"/>
  </si>
  <si>
    <t>SLA</t>
  </si>
  <si>
    <t>Sophia</t>
  </si>
  <si>
    <t>OHMY</t>
    <phoneticPr fontId="3" type="noConversion"/>
  </si>
  <si>
    <t>🔴 Full (100%)</t>
  </si>
  <si>
    <t>Contact</t>
  </si>
  <si>
    <t>Jul-26</t>
    <phoneticPr fontId="3" type="noConversion"/>
  </si>
  <si>
    <t>Sep-26</t>
    <phoneticPr fontId="3" type="noConversion"/>
  </si>
  <si>
    <t>OHMY 개발</t>
    <phoneticPr fontId="3" type="noConversion"/>
  </si>
  <si>
    <t>Vin Group</t>
    <phoneticPr fontId="3" type="noConversion"/>
  </si>
  <si>
    <t>업체 개발</t>
    <phoneticPr fontId="3" type="noConversion"/>
  </si>
  <si>
    <t>Switching
System</t>
  </si>
  <si>
    <t>Shiji</t>
    <phoneticPr fontId="3" type="noConversion"/>
  </si>
  <si>
    <t>Shiji or OHMY</t>
    <phoneticPr fontId="3" type="noConversion"/>
  </si>
  <si>
    <t>🟡 Half (50%)</t>
  </si>
  <si>
    <t>In Development</t>
  </si>
  <si>
    <t>Mar-26</t>
    <phoneticPr fontId="3" type="noConversion"/>
  </si>
  <si>
    <t>Aug-31</t>
  </si>
  <si>
    <t>TGX</t>
    <phoneticPr fontId="3" type="noConversion"/>
  </si>
  <si>
    <t>OHMY/ TGX</t>
    <phoneticPr fontId="3" type="noConversion"/>
  </si>
  <si>
    <t>NDA/Contract</t>
  </si>
  <si>
    <t>Jul-26</t>
  </si>
  <si>
    <t>Oct-15</t>
  </si>
  <si>
    <t>크로스셀링</t>
    <phoneticPr fontId="3" type="noConversion"/>
  </si>
  <si>
    <t>Juniper</t>
    <phoneticPr fontId="3" type="noConversion"/>
  </si>
  <si>
    <t>🟢 Minimal (5-10%)</t>
  </si>
  <si>
    <t>Oct-26</t>
    <phoneticPr fontId="3" type="noConversion"/>
  </si>
  <si>
    <t>Nov-26</t>
    <phoneticPr fontId="3" type="noConversion"/>
  </si>
  <si>
    <t>TAN</t>
    <phoneticPr fontId="3" type="noConversion"/>
  </si>
  <si>
    <t>Jan-25</t>
    <phoneticPr fontId="3" type="noConversion"/>
  </si>
  <si>
    <t>Derbysoft</t>
    <phoneticPr fontId="3" type="noConversion"/>
  </si>
  <si>
    <t>Dec-26</t>
  </si>
  <si>
    <t>Synxis</t>
    <phoneticPr fontId="3" type="noConversion"/>
  </si>
  <si>
    <t>Oct-26</t>
  </si>
  <si>
    <t>11infortec</t>
    <phoneticPr fontId="3" type="noConversion"/>
  </si>
  <si>
    <t>Channel API</t>
    <phoneticPr fontId="3" type="noConversion"/>
  </si>
  <si>
    <t>MG Group (Room Deal)</t>
    <phoneticPr fontId="3" type="noConversion"/>
  </si>
  <si>
    <t>GSM</t>
  </si>
  <si>
    <t>MG</t>
    <phoneticPr fontId="3" type="noConversion"/>
  </si>
  <si>
    <t>Live</t>
  </si>
  <si>
    <t>Oct-25</t>
  </si>
  <si>
    <t>Nov-25</t>
  </si>
  <si>
    <t>🟢 LIVE</t>
  </si>
  <si>
    <t>RTX (Rakuten)</t>
    <phoneticPr fontId="3" type="noConversion"/>
  </si>
  <si>
    <t>RTX</t>
    <phoneticPr fontId="3" type="noConversion"/>
  </si>
  <si>
    <t>Sep-25</t>
    <phoneticPr fontId="3" type="noConversion"/>
  </si>
  <si>
    <t>SS Booking</t>
    <phoneticPr fontId="3" type="noConversion"/>
  </si>
  <si>
    <t>Dec-25</t>
    <phoneticPr fontId="3" type="noConversion"/>
  </si>
  <si>
    <t>Linkstay</t>
    <phoneticPr fontId="3" type="noConversion"/>
  </si>
  <si>
    <t>Apr-26</t>
  </si>
  <si>
    <t>May-26</t>
  </si>
  <si>
    <t>Hotelbank</t>
    <phoneticPr fontId="3" type="noConversion"/>
  </si>
  <si>
    <t>Hotelbank</t>
  </si>
  <si>
    <t>Jan-26</t>
    <phoneticPr fontId="3" type="noConversion"/>
  </si>
  <si>
    <t>Feb-26</t>
    <phoneticPr fontId="3" type="noConversion"/>
  </si>
  <si>
    <t>Feb-26</t>
  </si>
  <si>
    <t>Mar-26</t>
  </si>
  <si>
    <t>Apr-26</t>
    <phoneticPr fontId="3" type="noConversion"/>
  </si>
  <si>
    <t>Klook</t>
    <phoneticPr fontId="3" type="noConversion"/>
  </si>
  <si>
    <t>Grace</t>
    <phoneticPr fontId="3" type="noConversion"/>
  </si>
  <si>
    <t>Testing</t>
  </si>
  <si>
    <t>Aug-2026</t>
  </si>
  <si>
    <t>GGT (Go Global)</t>
    <phoneticPr fontId="3" type="noConversion"/>
  </si>
  <si>
    <t xml:space="preserve"> Aiden</t>
  </si>
  <si>
    <t>Aug-26</t>
  </si>
  <si>
    <t>KAKAO</t>
    <phoneticPr fontId="3" type="noConversion"/>
  </si>
  <si>
    <t>Jane</t>
  </si>
  <si>
    <t>Nov-26</t>
  </si>
  <si>
    <t>TBO</t>
    <phoneticPr fontId="3" type="noConversion"/>
  </si>
  <si>
    <t>Brian</t>
  </si>
  <si>
    <t>RateHawk</t>
  </si>
  <si>
    <t>Oct-2026</t>
  </si>
  <si>
    <t>OHMY</t>
  </si>
  <si>
    <t>Travelata</t>
  </si>
  <si>
    <t>🟢 Minimal (5-11%)</t>
  </si>
  <si>
    <t>🟢 Minimal (5-12%)</t>
  </si>
  <si>
    <t>Nov-2026</t>
  </si>
  <si>
    <t>myGO</t>
  </si>
  <si>
    <t>🟢 Minimal (5-13%)</t>
  </si>
  <si>
    <t>Bronevik</t>
  </si>
  <si>
    <t>🟢 Minimal (5-14%)</t>
  </si>
  <si>
    <t>Within Earth</t>
  </si>
  <si>
    <t>🟢 Minimal (5-15%)</t>
  </si>
  <si>
    <t xml:space="preserve">Shiji  </t>
  </si>
  <si>
    <t>🟢 Minimal (5-16%)</t>
  </si>
  <si>
    <t>OTTILA</t>
  </si>
  <si>
    <t>🟢 Minimal (5-17%)</t>
  </si>
  <si>
    <t>bizplay</t>
    <phoneticPr fontId="3" type="noConversion"/>
  </si>
  <si>
    <t>bizplay (traport)</t>
    <phoneticPr fontId="3" type="noConversion"/>
  </si>
  <si>
    <t>Sep 2026</t>
  </si>
  <si>
    <t>HBX</t>
  </si>
  <si>
    <t>Lion Travel</t>
    <phoneticPr fontId="3" type="noConversion"/>
  </si>
  <si>
    <t>Star Travel</t>
    <phoneticPr fontId="3" type="noConversion"/>
  </si>
  <si>
    <t>Star Travel</t>
  </si>
  <si>
    <t>Cola Tour</t>
  </si>
  <si>
    <t>Cola</t>
  </si>
  <si>
    <t>Tungnam</t>
    <phoneticPr fontId="3" type="noConversion"/>
  </si>
  <si>
    <t>Tungnam</t>
  </si>
  <si>
    <t>May-26</t>
    <phoneticPr fontId="3" type="noConversion"/>
  </si>
  <si>
    <t>Jun-26</t>
    <phoneticPr fontId="3" type="noConversion"/>
  </si>
  <si>
    <t>Uone</t>
    <phoneticPr fontId="3" type="noConversion"/>
  </si>
  <si>
    <t>MUTOUR</t>
    <phoneticPr fontId="3" type="noConversion"/>
  </si>
  <si>
    <t>MUTOUR</t>
  </si>
  <si>
    <t>Amerilink</t>
    <phoneticPr fontId="3" type="noConversion"/>
  </si>
  <si>
    <t>Chudu24</t>
    <phoneticPr fontId="3" type="noConversion"/>
  </si>
  <si>
    <t>Chudu24</t>
  </si>
  <si>
    <t>Prime Travel</t>
    <phoneticPr fontId="3" type="noConversion"/>
  </si>
  <si>
    <t>Prime Travel</t>
  </si>
  <si>
    <t>TIO</t>
    <phoneticPr fontId="3" type="noConversion"/>
  </si>
  <si>
    <t>TIO</t>
  </si>
  <si>
    <t>Aug-26</t>
    <phoneticPr fontId="3" type="noConversion"/>
  </si>
  <si>
    <t>Staylah</t>
    <phoneticPr fontId="3" type="noConversion"/>
  </si>
  <si>
    <t>Staylah</t>
  </si>
  <si>
    <t>EZ Travel</t>
    <phoneticPr fontId="3" type="noConversion"/>
  </si>
  <si>
    <t>EZ Travel</t>
  </si>
  <si>
    <t>Leisure To You</t>
    <phoneticPr fontId="3" type="noConversion"/>
  </si>
  <si>
    <t>??</t>
  </si>
  <si>
    <t>Qian Tao</t>
  </si>
  <si>
    <t>Dec - 2026</t>
  </si>
  <si>
    <t>Chai Yi Lc -Yihao</t>
  </si>
  <si>
    <t>Sep-26</t>
  </si>
  <si>
    <t>June-26</t>
  </si>
  <si>
    <t>Wingspulse</t>
  </si>
  <si>
    <t>Linkall travel</t>
  </si>
  <si>
    <t>SUZHOU YILV SUNSHINE TRAVEL AGENCY CO.,LTD</t>
  </si>
  <si>
    <t>Suzhou Yilv</t>
  </si>
  <si>
    <t>Ziru (TMC)</t>
  </si>
  <si>
    <t>Ziru</t>
  </si>
  <si>
    <t>Didi TMC</t>
  </si>
  <si>
    <t>Didi</t>
  </si>
  <si>
    <t>3rd Party
Hotel</t>
    <phoneticPr fontId="3" type="noConversion"/>
  </si>
  <si>
    <t>Mar-25</t>
    <phoneticPr fontId="3" type="noConversion"/>
  </si>
  <si>
    <t>Rate Hawk</t>
    <phoneticPr fontId="3" type="noConversion"/>
  </si>
  <si>
    <t>Restel Hotels</t>
  </si>
  <si>
    <t>MG Group</t>
    <phoneticPr fontId="3" type="noConversion"/>
  </si>
  <si>
    <t>Welcomebeds</t>
    <phoneticPr fontId="3" type="noConversion"/>
  </si>
  <si>
    <t>Welcomebeds</t>
  </si>
  <si>
    <t>G2 Travel</t>
  </si>
  <si>
    <t>Go Global</t>
  </si>
  <si>
    <t>Miki</t>
  </si>
  <si>
    <t>Accomy</t>
  </si>
  <si>
    <t>ABC Travel</t>
  </si>
  <si>
    <t>3rd Party
Activity</t>
    <phoneticPr fontId="3" type="noConversion"/>
  </si>
  <si>
    <t>JTR</t>
    <phoneticPr fontId="3" type="noConversion"/>
  </si>
  <si>
    <t>Linktivity</t>
    <phoneticPr fontId="3" type="noConversion"/>
  </si>
  <si>
    <t>Toto booking</t>
    <phoneticPr fontId="3" type="noConversion"/>
  </si>
  <si>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</si>
  <si>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</si>
  <si>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</si>
  <si>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</si>
  <si>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</si>
  <si>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</si>
  <si>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</si>
  <si>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</si>
  <si>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</si>
  <si>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</si>
  <si>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</si>
  <si>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</si>
  <si>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</si>
  <si>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</si>
  <si>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</si>
  <si>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</si>
  <si>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</si>
  <si>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</si>
  <si>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</si>
  <si>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</si>
  <si>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</si>
  <si>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</si>
  <si>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</si>
  <si>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</si>
  <si>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</si>
  <si>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Company</t>
  </si>
  <si>
    <t>Settlement Period</t>
  </si>
  <si>
    <t>Contract Date</t>
  </si>
  <si>
    <t>Follow Up</t>
  </si>
  <si>
    <t>완료 날짜(예상포함)</t>
  </si>
  <si>
    <t>Citibank announcement</t>
    <phoneticPr fontId="2" type="noConversion"/>
  </si>
  <si>
    <t>MEITUAN</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</si>
  <si>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</si>
  <si>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</si>
  <si>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</si>
  <si>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</si>
  <si>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</si>
  <si>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</si>
  <si>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</si>
  <si>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</si>
  <si>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</si>
  <si>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</si>
  <si>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</si>
  <si>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</si>
  <si>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</si>
  <si>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</si>
  <si>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</si>
  <si>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</si>
  <si>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</si>
  <si>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</si>
  <si>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</si>
  <si>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</si>
  <si>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</si>
  <si>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</si>
  <si>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</si>
  <si>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</si>
  <si>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</si>
  <si>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</si>
  <si>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</si>
  <si>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</si>
  <si>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</si>
  <si>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</si>
  <si>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</si>
  <si>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</si>
  <si>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</si>
  <si>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</si>
  <si>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</si>
  <si>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</si>
  <si>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</si>
  <si>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</si>
  <si>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</si>
  <si>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</si>
  <si>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</si>
  <si>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</si>
  <si>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</si>
  <si>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</si>
  <si>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</si>
  <si>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</si>
  <si>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</si>
  <si>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</si>
  <si>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</si>
  <si>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</si>
  <si>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</si>
  <si>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</si>
  <si>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</si>
  <si>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</si>
  <si>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</si>
  <si>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</si>
  <si>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</si>
  <si>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</si>
  <si>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</si>
  <si>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</si>
  <si>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</si>
  <si>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</si>
  <si>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</si>
  <si>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</si>
  <si>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</si>
  <si>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</si>
  <si>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</si>
  <si>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</si>
  <si>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</si>
  <si>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</si>
  <si>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</si>
  <si>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</si>
  <si>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</si>
  <si>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</si>
  <si>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</si>
  <si>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</si>
  <si>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Following up with SCM on some denied create-new-room requests, almost finished</t>
  </si>
  <si>
    <t>Ctrip KR Manual Check - Aug 2026</t>
  </si>
  <si>
    <t>896 rooms. Prioritizing Alitrip recheck</t>
  </si>
  <si>
    <t>Recheck Alitrip's Manual Mapping</t>
  </si>
  <si>
    <t>In Progress</t>
  </si>
  <si>
    <t>Dida Manual Check 
- VN SCM</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</si>
  <si>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</si>
  <si>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</si>
  <si>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</si>
  <si>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</si>
  <si>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</si>
  <si>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</si>
  <si>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</si>
  <si>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</si>
  <si>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</si>
  <si>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</si>
  <si>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</si>
  <si>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</si>
  <si>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</si>
  <si>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</si>
  <si>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</si>
  <si>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</si>
  <si>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</si>
  <si>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</si>
  <si>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</si>
  <si>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</si>
  <si>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</si>
  <si>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</si>
  <si>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</si>
  <si>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</si>
  <si>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</si>
  <si>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</si>
  <si>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</si>
  <si>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</si>
  <si>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</si>
  <si>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</si>
  <si>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</si>
  <si>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</si>
  <si>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</si>
  <si>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</si>
  <si>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</si>
  <si>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</si>
  <si>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</si>
  <si>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</si>
  <si>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</si>
  <si>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</si>
  <si>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</si>
  <si>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</si>
  <si>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</si>
  <si>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</si>
  <si>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</si>
  <si>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</si>
  <si>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</si>
  <si>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</si>
  <si>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</si>
  <si>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</si>
  <si>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</si>
  <si>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</si>
  <si>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</si>
  <si>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</si>
  <si>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</si>
  <si>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</si>
  <si>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</si>
  <si>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</si>
  <si>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</si>
  <si>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</si>
  <si>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</si>
  <si>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</si>
  <si>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</si>
  <si>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</si>
  <si>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</si>
  <si>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</si>
  <si>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</si>
  <si>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</si>
  <si>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</si>
  <si>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</si>
  <si>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</si>
  <si>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</si>
  <si>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</si>
  <si>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</si>
  <si>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</si>
  <si>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</si>
  <si>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</si>
  <si>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</si>
  <si>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</si>
  <si>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</si>
  <si>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</si>
  <si>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</si>
  <si>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</si>
  <si>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</si>
  <si>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</si>
  <si>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</si>
  <si>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</si>
  <si>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</si>
  <si>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</si>
  <si>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</si>
  <si>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</si>
  <si>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</si>
  <si>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</si>
  <si>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</si>
  <si>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</si>
  <si>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</si>
  <si>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</si>
  <si>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</si>
  <si>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</si>
  <si>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</si>
  <si>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</si>
  <si>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</si>
  <si>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</si>
  <si>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</si>
  <si>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</si>
  <si>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</si>
  <si>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</si>
  <si>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</si>
  <si>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</si>
  <si>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</si>
  <si>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</si>
  <si>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</si>
  <si>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</si>
  <si>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</si>
  <si>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</si>
  <si>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</si>
  <si>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</si>
  <si>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</si>
  <si>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</si>
  <si>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</si>
  <si>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</si>
  <si>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</si>
  <si>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</si>
  <si>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</si>
  <si>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</si>
  <si>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</si>
  <si>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</si>
  <si>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</si>
  <si>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</si>
  <si>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</si>
  <si>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</si>
  <si>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</si>
  <si>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</si>
  <si>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</si>
  <si>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</si>
  <si>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</si>
  <si>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</si>
  <si>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</si>
  <si>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</si>
  <si>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</si>
  <si>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</si>
  <si>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</si>
  <si>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</si>
  <si>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</si>
  <si>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</si>
  <si>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</si>
  <si>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</si>
  <si>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</si>
  <si>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</si>
  <si>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</si>
  <si>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</si>
  <si>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</si>
  <si>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</si>
  <si>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</si>
  <si>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</si>
  <si>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</si>
  <si>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</si>
  <si>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</si>
  <si>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</si>
  <si>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</si>
  <si>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</si>
  <si>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</si>
  <si>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</si>
  <si>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</si>
  <si>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</si>
  <si>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</si>
  <si>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</si>
  <si>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</si>
  <si>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</si>
  <si>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</si>
  <si>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</si>
  <si>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</si>
  <si>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</si>
  <si>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</si>
  <si>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</si>
  <si>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</si>
  <si>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</si>
  <si>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</si>
  <si>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</si>
  <si>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</si>
  <si>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</si>
  <si>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</si>
  <si>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</si>
  <si>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</si>
  <si>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</si>
  <si>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</si>
  <si>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</si>
  <si>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</si>
  <si>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</si>
  <si>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</si>
  <si>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</si>
  <si>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</si>
  <si>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</si>
  <si>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</si>
  <si>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</si>
  <si>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</si>
  <si>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</si>
  <si>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</si>
  <si>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</si>
  <si>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</si>
  <si>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</si>
  <si>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</si>
  <si>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</si>
  <si>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</si>
  <si>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</si>
  <si>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</si>
  <si>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</si>
  <si>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</si>
  <si>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</si>
  <si>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</si>
  <si>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</si>
  <si>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</si>
  <si>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</si>
  <si>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</si>
  <si>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</si>
  <si>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</si>
  <si>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</si>
  <si>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</si>
  <si>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</si>
  <si>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</si>
  <si>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</si>
  <si>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</si>
  <si>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</si>
  <si>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</si>
  <si>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</si>
  <si>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</si>
  <si>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</si>
  <si>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</si>
  <si>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</si>
  <si>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</si>
  <si>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</si>
  <si>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</si>
  <si>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</si>
  <si>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</si>
  <si>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</si>
  <si>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</si>
  <si>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</si>
  <si>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</si>
  <si>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</si>
  <si>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</si>
  <si>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</si>
  <si>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</si>
  <si>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</si>
  <si>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</si>
  <si>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</si>
  <si>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</si>
  <si>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</si>
  <si>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 xml:space="preserve">TA Pending MY(KL) Office opening in Aug for outbound. </t>
  </si>
  <si>
    <t>To contact TA in Aug</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</si>
  <si>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</si>
  <si>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</si>
  <si>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</si>
  <si>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</si>
  <si>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</si>
  <si>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</si>
  <si>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</si>
  <si>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</si>
  <si>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</si>
  <si>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</si>
  <si>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</si>
  <si>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</si>
  <si>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To revisit.</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</si>
  <si>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</si>
  <si>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</si>
  <si>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</si>
  <si>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</si>
  <si>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</si>
  <si>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</si>
  <si>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</si>
  <si>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</si>
  <si>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</si>
  <si>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</si>
  <si>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</si>
  <si>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Tele-sales 11/7. On hold: Not in their list of countries</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</si>
  <si>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</si>
  <si>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</si>
  <si>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</si>
  <si>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</si>
  <si>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</si>
  <si>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</si>
  <si>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</si>
  <si>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</si>
  <si>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</si>
  <si>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</si>
  <si>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</si>
  <si>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</si>
  <si>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</si>
  <si>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</si>
  <si>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</si>
  <si>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</si>
  <si>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</si>
  <si>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</si>
  <si>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</si>
  <si>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</si>
  <si>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</si>
  <si>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</si>
  <si>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</si>
  <si>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</si>
  <si>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</si>
  <si>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</si>
  <si>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</si>
  <si>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</si>
  <si>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</si>
  <si>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</si>
  <si>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</si>
  <si>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</si>
  <si>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</si>
  <si>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</si>
  <si>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</si>
  <si>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</si>
  <si>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</si>
  <si>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</si>
  <si>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</si>
  <si>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</si>
  <si>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</si>
  <si>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</si>
  <si>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</si>
  <si>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</si>
  <si>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</si>
  <si>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</si>
  <si>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</si>
  <si>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</si>
  <si>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</si>
  <si>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</si>
  <si>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</si>
  <si>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</si>
  <si>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</si>
  <si>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</si>
  <si>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</si>
  <si>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</si>
  <si>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</si>
  <si>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</si>
  <si>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</si>
  <si>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</si>
  <si>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</si>
  <si>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</si>
  <si>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</si>
  <si>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</si>
  <si>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</si>
  <si>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</si>
  <si>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</si>
  <si>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</si>
  <si>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</si>
  <si>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</si>
  <si>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</si>
  <si>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</si>
  <si>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</si>
  <si>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</si>
  <si>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</si>
  <si>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</si>
  <si>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</si>
  <si>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</si>
  <si>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</si>
  <si>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</si>
  <si>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</si>
  <si>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</si>
  <si>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</si>
  <si>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</si>
  <si>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</si>
  <si>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</si>
  <si>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</si>
  <si>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</si>
  <si>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</si>
  <si>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</si>
  <si>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</si>
  <si>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</si>
  <si>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</si>
  <si>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</si>
  <si>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</si>
  <si>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</si>
  <si>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</si>
  <si>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</si>
  <si>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</si>
  <si>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</si>
  <si>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</si>
  <si>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</si>
  <si>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</si>
  <si>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</si>
  <si>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</si>
  <si>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</si>
  <si>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</si>
  <si>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</si>
  <si>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</si>
  <si>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</si>
  <si>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</si>
  <si>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</si>
  <si>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</si>
  <si>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</si>
  <si>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</si>
  <si>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</si>
  <si>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</si>
  <si>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</si>
  <si>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</si>
  <si>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</si>
  <si>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</si>
  <si>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</si>
  <si>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</si>
  <si>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</si>
  <si>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</si>
  <si>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</si>
  <si>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</si>
  <si>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</si>
  <si>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</si>
  <si>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</si>
  <si>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</si>
  <si>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</si>
  <si>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</si>
  <si>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</si>
  <si>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</si>
  <si>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</si>
  <si>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</si>
  <si>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</si>
  <si>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</si>
  <si>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</si>
  <si>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</si>
  <si>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</si>
  <si>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</si>
  <si>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</si>
  <si>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</si>
  <si>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</si>
  <si>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</si>
  <si>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</si>
  <si>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</si>
  <si>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</si>
  <si>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</si>
  <si>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</si>
  <si>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</si>
  <si>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</si>
  <si>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</si>
  <si>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</si>
  <si>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</si>
  <si>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</si>
  <si>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</si>
  <si>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</si>
  <si>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</si>
  <si>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</si>
  <si>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</si>
  <si>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</si>
  <si>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</si>
  <si>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</si>
  <si>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</si>
  <si>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</si>
  <si>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</si>
  <si>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</si>
  <si>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</si>
  <si>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</si>
  <si>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</si>
  <si>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</si>
  <si>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</si>
  <si>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</si>
  <si>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</si>
  <si>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</si>
  <si>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</si>
  <si>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</si>
  <si>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</si>
  <si>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</si>
  <si>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</si>
  <si>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</si>
  <si>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</si>
  <si>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</si>
  <si>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</si>
  <si>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</si>
  <si>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</si>
  <si>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</si>
  <si>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</si>
  <si>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</si>
  <si>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</si>
  <si>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</si>
  <si>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</si>
  <si>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</si>
  <si>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</si>
  <si>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</si>
  <si>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</si>
  <si>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</si>
  <si>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</si>
  <si>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</si>
  <si>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</si>
  <si>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</si>
  <si>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</si>
  <si>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</si>
  <si>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</si>
  <si>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</si>
  <si>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</si>
  <si>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</si>
  <si>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</si>
  <si>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</si>
  <si>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</si>
  <si>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</si>
  <si>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</si>
  <si>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</si>
  <si>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</si>
  <si>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</si>
  <si>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</si>
  <si>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</si>
  <si>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</si>
  <si>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</si>
  <si>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</si>
  <si>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</si>
  <si>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</si>
  <si>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</si>
  <si>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</si>
  <si>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</si>
  <si>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</si>
  <si>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</si>
  <si>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</si>
  <si>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</si>
  <si>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</si>
  <si>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</si>
  <si>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</si>
  <si>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</si>
  <si>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</si>
  <si>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</si>
  <si>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</si>
  <si>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</si>
  <si>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</si>
  <si>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</si>
  <si>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</si>
  <si>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</si>
  <si>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</si>
  <si>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</si>
  <si>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</si>
  <si>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</si>
  <si>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</si>
  <si>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</si>
  <si>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</si>
  <si>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</si>
  <si>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</si>
  <si>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</si>
  <si>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</si>
  <si>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</si>
  <si>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</si>
  <si>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</si>
  <si>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</si>
  <si>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</si>
  <si>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</si>
  <si>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</si>
  <si>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</si>
  <si>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</si>
  <si>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</si>
  <si>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</si>
  <si>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</si>
  <si>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</si>
  <si>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</si>
  <si>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</si>
  <si>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</si>
  <si>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</si>
  <si>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</si>
  <si>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</si>
  <si>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</si>
  <si>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</si>
  <si>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</si>
  <si>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</si>
  <si>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</si>
  <si>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</si>
  <si>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</si>
  <si>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</si>
  <si>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</si>
  <si>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</si>
  <si>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</si>
  <si>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</si>
  <si>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</si>
  <si>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</si>
  <si>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</si>
  <si>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</si>
  <si>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</si>
  <si>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</si>
  <si>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</si>
  <si>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</si>
  <si>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</si>
  <si>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</si>
  <si>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</si>
  <si>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</si>
  <si>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</si>
  <si>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</si>
  <si>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</si>
  <si>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</si>
  <si>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</si>
  <si>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</si>
  <si>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</si>
  <si>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</si>
  <si>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</si>
  <si>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</si>
  <si>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</si>
  <si>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</si>
  <si>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</si>
  <si>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</si>
  <si>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</si>
  <si>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</si>
  <si>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</si>
  <si>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</si>
  <si>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</si>
  <si>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</si>
  <si>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</si>
  <si>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</si>
  <si>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</si>
  <si>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</si>
  <si>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</si>
  <si>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</si>
  <si>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</si>
  <si>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</si>
  <si>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</si>
  <si>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</si>
  <si>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</si>
  <si>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</si>
  <si>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</si>
  <si>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</si>
  <si>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</si>
  <si>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</si>
  <si>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</si>
  <si>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</si>
  <si>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</si>
  <si>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</si>
  <si>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</si>
  <si>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</si>
  <si>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</si>
  <si>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</si>
  <si>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</si>
  <si>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</si>
  <si>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</si>
  <si>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</si>
  <si>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</si>
  <si>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</si>
  <si>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</si>
  <si>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</si>
  <si>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</si>
  <si>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</si>
  <si>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</si>
  <si>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</si>
  <si>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</si>
  <si>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</si>
  <si>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</si>
  <si>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</si>
  <si>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</si>
  <si>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</si>
  <si>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</si>
  <si>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</si>
  <si>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</si>
  <si>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</si>
  <si>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</si>
  <si>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</si>
  <si>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</si>
  <si>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</si>
  <si>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</si>
  <si>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</si>
  <si>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</si>
  <si>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</si>
  <si>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</si>
  <si>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</si>
  <si>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</si>
  <si>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</si>
  <si>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</si>
  <si>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</si>
  <si>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</si>
  <si>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</si>
  <si>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</si>
  <si>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</si>
  <si>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</si>
  <si>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</si>
  <si>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</si>
  <si>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</si>
  <si>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</si>
  <si>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</si>
  <si>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</si>
  <si>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</si>
  <si>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</si>
  <si>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</si>
  <si>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</si>
  <si>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</si>
  <si>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</si>
  <si>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</si>
  <si>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</si>
  <si>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</si>
  <si>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</si>
  <si>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</si>
  <si>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</si>
  <si>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test account</t>
  </si>
  <si>
    <t>신규 업체 ,test account 확인</t>
  </si>
  <si>
    <t>6/19 F/U</t>
  </si>
  <si>
    <t>6월 연동 시작 가능 - chase</t>
  </si>
  <si>
    <t>6-7 월 개발 예정</t>
  </si>
  <si>
    <t>test ID</t>
  </si>
  <si>
    <t>API 가능</t>
  </si>
  <si>
    <t>바로 연동 가능</t>
  </si>
  <si>
    <t>초안 예정</t>
  </si>
  <si>
    <t>API 가능 + test ID</t>
  </si>
  <si>
    <t>Group reservation 가능 정보 전달</t>
  </si>
  <si>
    <t>정보 전달</t>
  </si>
  <si>
    <t>협업 방안 찾기</t>
  </si>
  <si>
    <t>진행 예정</t>
  </si>
  <si>
    <t>test   account</t>
  </si>
  <si>
    <t>Yunnan province international travel agency</t>
  </si>
  <si>
    <t>6월 1~5일</t>
  </si>
  <si>
    <t>Contract  and SLA checking</t>
  </si>
  <si>
    <t>Is still checking with SLA</t>
  </si>
  <si>
    <t>API documents</t>
  </si>
  <si>
    <t>Contract done, API lead time checking</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</si>
  <si>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</si>
  <si>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</si>
  <si>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</si>
  <si>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</si>
  <si>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</si>
  <si>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</si>
  <si>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</si>
  <si>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</si>
  <si>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</si>
  <si>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</si>
  <si>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</si>
  <si>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</si>
  <si>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</si>
  <si>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</si>
  <si>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</si>
  <si>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</si>
  <si>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</si>
  <si>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</si>
  <si>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</si>
  <si>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</si>
  <si>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</si>
  <si>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</si>
  <si>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</si>
  <si>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</si>
  <si>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</si>
  <si>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</si>
  <si>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</si>
  <si>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</si>
  <si>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</si>
  <si>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</si>
  <si>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</si>
  <si>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</si>
  <si>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</si>
  <si>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</si>
  <si>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</si>
  <si>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</si>
  <si>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</si>
  <si>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</si>
  <si>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</si>
  <si>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</si>
  <si>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</si>
  <si>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</si>
  <si>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</si>
  <si>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</si>
  <si>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</si>
  <si>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</si>
  <si>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</si>
  <si>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</si>
  <si>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</si>
  <si>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</si>
  <si>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</si>
  <si>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</si>
  <si>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</si>
  <si>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</si>
  <si>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</si>
  <si>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</si>
  <si>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</si>
  <si>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</si>
  <si>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</si>
  <si>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</si>
  <si>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</si>
  <si>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</si>
  <si>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</si>
  <si>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</si>
  <si>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</si>
  <si>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</si>
  <si>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</si>
  <si>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</si>
  <si>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</si>
  <si>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</si>
  <si>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</si>
  <si>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</si>
  <si>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</si>
  <si>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</si>
  <si>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</si>
  <si>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</si>
  <si>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</si>
  <si>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</si>
  <si>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</si>
  <si>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</si>
  <si>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</si>
  <si>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</si>
  <si>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</si>
  <si>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</si>
  <si>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</si>
  <si>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</si>
  <si>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</si>
  <si>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</si>
  <si>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</si>
  <si>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</si>
  <si>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</si>
  <si>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</si>
  <si>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</si>
  <si>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</si>
  <si>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</si>
  <si>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</si>
  <si>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</si>
  <si>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</si>
  <si>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</si>
  <si>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</si>
  <si>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</si>
  <si>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</si>
  <si>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</si>
  <si>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</si>
  <si>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</si>
  <si>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</si>
  <si>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</si>
  <si>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</si>
  <si>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</si>
  <si>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</si>
  <si>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</si>
  <si>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</si>
  <si>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</si>
  <si>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</si>
  <si>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</si>
  <si>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</si>
  <si>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</si>
  <si>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</si>
  <si>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</si>
  <si>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</si>
  <si>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</si>
  <si>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</si>
  <si>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</si>
  <si>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</si>
  <si>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</si>
  <si>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</si>
  <si>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</si>
  <si>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</si>
  <si>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</si>
  <si>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</si>
  <si>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</si>
  <si>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</si>
  <si>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</si>
  <si>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</si>
  <si>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</si>
  <si>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</si>
  <si>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</si>
  <si>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</si>
  <si>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</si>
  <si>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</si>
  <si>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</si>
  <si>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</si>
  <si>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</si>
  <si>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</si>
  <si>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</si>
  <si>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</si>
  <si>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</si>
  <si>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</si>
  <si>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</si>
  <si>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</si>
  <si>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</si>
  <si>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</si>
  <si>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</si>
  <si>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</si>
  <si>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</si>
  <si>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</si>
  <si>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</si>
  <si>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</si>
  <si>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</si>
  <si>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</si>
  <si>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</si>
  <si>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</si>
  <si>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</si>
  <si>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</si>
  <si>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</si>
  <si>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8월03일~8월07일</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</si>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</sst>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19">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00B050"/>
      <name val="맑은 고딕"/>
      <family val="3"/>
      <charset val="129"/>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b/>
      <sz val="9"/>
      <color theme="1"/>
      <name val="맑은 고딕"/>
      <family val="3"/>
      <charset val="129"/>
      <scheme val="minor"/>
    </font>
    <font>
      <sz val="9"/>
      <color theme="0"/>
      <name val="맑은 고딕"/>
      <family val="2"/>
      <scheme val="minor"/>
    </font>
    <font>
      <sz val="9"/>
      <color theme="1"/>
      <name val="맑은 고딕"/>
      <family val="3"/>
      <charset val="129"/>
    </font>
    <font>
      <sz val="9"/>
      <color rgb="FF000000"/>
      <name val="맑은 고딕"/>
      <family val="2"/>
      <scheme val="minor"/>
    </font>
    <font>
      <sz val="9"/>
      <color rgb="FF000000"/>
      <name val="맑은 고딕"/>
      <family val="3"/>
      <charset val="129"/>
      <scheme val="minor"/>
    </font>
    <font>
      <sz val="9"/>
      <color rgb="FFFF0000"/>
      <name val="맑은 고딕"/>
      <family val="2"/>
      <scheme val="minor"/>
    </font>
    <font>
      <sz val="9"/>
      <color rgb="FFFFFFFF"/>
      <name val="맑은 고딕"/>
      <family val="2"/>
      <scheme val="minor"/>
    </font>
    <font>
      <sz val="9"/>
      <color theme="1"/>
      <name val="맑은 고딕"/>
      <family val="2"/>
      <charset val="129"/>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b/>
      <sz val="9"/>
      <color rgb="FFFF0000"/>
      <name val="Calibri"/>
      <family val="2"/>
    </font>
    <font>
      <sz val="9"/>
      <name val="Calibri"/>
      <family val="2"/>
    </font>
    <font>
      <b/>
      <sz val="9"/>
      <color rgb="FF242424"/>
      <name val="Calibri"/>
      <family val="2"/>
    </font>
    <font>
      <sz val="9"/>
      <color rgb="FF000000"/>
      <name val="Calibri"/>
      <family val="2"/>
    </font>
    <font>
      <u/>
      <sz val="9"/>
      <color theme="1"/>
      <name val="Calibri"/>
      <family val="2"/>
    </font>
    <font>
      <sz val="9"/>
      <color rgb="FF242424"/>
      <name val="Calibri"/>
      <family val="2"/>
    </font>
    <font>
      <u/>
      <sz val="9"/>
      <color theme="3"/>
      <name val="Calibri"/>
      <family val="2"/>
    </font>
    <font>
      <sz val="9"/>
      <color rgb="FF333333"/>
      <name val="Calibri"/>
      <family val="2"/>
    </font>
    <font>
      <b/>
      <sz val="30"/>
      <color rgb="FF17E0E6"/>
      <name val="Segoe UI"/>
      <family val="2"/>
    </font>
    <font>
      <sz val="11"/>
      <color rgb="FF8FA9D6"/>
      <name val="Segoe UI"/>
      <family val="2"/>
    </font>
    <font>
      <b/>
      <sz val="30"/>
      <color rgb="FFFFFFFF"/>
      <name val="Segoe UI"/>
      <family val="2"/>
    </font>
    <font>
      <b/>
      <sz val="30"/>
      <color rgb="FF3DDC97"/>
      <name val="Segoe UI"/>
      <family val="2"/>
    </font>
    <font>
      <b/>
      <sz val="30"/>
      <color rgb="FFF5B841"/>
      <name val="Segoe UI"/>
      <family val="2"/>
    </font>
    <font>
      <sz val="9"/>
      <color rgb="FF242424"/>
      <name val="Aptos Narrow"/>
      <family val="2"/>
    </font>
    <font>
      <b/>
      <sz val="30"/>
      <color rgb="FF8FA9D6"/>
      <name val="Segoe UI"/>
      <family val="2"/>
    </font>
    <font>
      <b/>
      <sz val="11"/>
      <color rgb="FF8FA9D6"/>
      <name val="Segoe UI"/>
      <family val="2"/>
    </font>
    <font>
      <b/>
      <sz val="10"/>
      <color rgb="FF8FA9D6"/>
      <name val="Segoe UI"/>
      <family val="2"/>
    </font>
    <font>
      <sz val="10"/>
      <color rgb="FFFFFFFF"/>
      <name val="Segoe UI"/>
      <family val="2"/>
    </font>
    <font>
      <sz val="10"/>
      <color rgb="FF3DDC97"/>
      <name val="Segoe UI"/>
      <family val="2"/>
    </font>
    <font>
      <b/>
      <sz val="10"/>
      <color rgb="FF17E0E6"/>
      <name val="Segoe UI"/>
      <family val="2"/>
    </font>
    <font>
      <b/>
      <sz val="10"/>
      <color rgb="FFFFFFFF"/>
      <name val="Segoe UI"/>
      <family val="2"/>
    </font>
    <font>
      <b/>
      <sz val="10"/>
      <color rgb="FF3DDC97"/>
      <name val="Segoe UI"/>
      <family val="2"/>
    </font>
    <font>
      <b/>
      <sz val="12"/>
      <color rgb="FF17E0E6"/>
      <name val="Segoe UI"/>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i/>
      <sz val="9"/>
      <color theme="1"/>
      <name val="맑은 고딕"/>
      <family val="2"/>
      <scheme val="minor"/>
    </font>
    <font>
      <sz val="9"/>
      <color rgb="FF548235"/>
      <name val="Consolas"/>
    </font>
    <font>
      <b/>
      <sz val="15"/>
      <color rgb="FFFFFFFF"/>
      <name val="맑은 고딕"/>
      <family val="2"/>
      <scheme val="minor"/>
    </font>
    <font>
      <i/>
      <sz val="9"/>
      <color rgb="FF595959"/>
      <name val="맑은 고딕"/>
      <family val="2"/>
      <scheme val="minor"/>
    </font>
    <font>
      <b/>
      <sz val="18"/>
      <color theme="1"/>
      <name val="맑은 고딕"/>
      <family val="2"/>
      <scheme val="minor"/>
    </font>
  </fonts>
  <fills count="68">
    <fill>
      <patternFill patternType="none"/>
    </fill>
    <fill>
      <patternFill patternType="gray125"/>
    </fill>
    <fill>
      <patternFill patternType="solid">
        <fgColor rgb="FF305496"/>
        <bgColor rgb="FF305496"/>
      </patternFill>
    </fill>
    <fill>
      <patternFill patternType="solid">
        <fgColor theme="3" tint="0.39997558519241921"/>
        <bgColor indexed="64"/>
      </patternFill>
    </fill>
    <fill>
      <patternFill patternType="solid">
        <fgColor theme="2"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1" tint="0.49998474074526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71026"/>
        <bgColor indexed="64"/>
      </patternFill>
    </fill>
    <fill>
      <patternFill patternType="solid">
        <fgColor rgb="FF0E1E45"/>
        <bgColor indexed="64"/>
      </patternFill>
    </fill>
    <fill>
      <patternFill patternType="solid">
        <fgColor rgb="FF0B1737"/>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theme="0" tint="-0.34998626667073579"/>
        <bgColor indexed="64"/>
      </patternFill>
    </fill>
    <fill>
      <patternFill patternType="solid">
        <fgColor theme="1"/>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BF8F00"/>
        <bgColor indexed="64"/>
      </patternFill>
    </fill>
    <fill>
      <patternFill patternType="solid">
        <fgColor rgb="FF7030A0"/>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4B0F73"/>
        <bgColor indexed="64"/>
      </patternFill>
    </fill>
    <fill>
      <patternFill patternType="solid">
        <fgColor rgb="FFD9E2F3"/>
        <bgColor indexed="64"/>
      </patternFill>
    </fill>
  </fills>
  <borders count="85">
    <border>
      <left/>
      <right/>
      <top/>
      <bottom/>
      <diagonal/>
    </border>
    <border>
      <left style="thin">
        <color rgb="FFCCCCCC"/>
      </left>
      <right style="thin">
        <color rgb="FFCCCCCC"/>
      </right>
      <top style="thin">
        <color rgb="FFCCCCCC"/>
      </top>
      <bottom style="thin">
        <color rgb="FFCCCCCC"/>
      </bottom>
      <diagonal/>
    </border>
    <border>
      <left/>
      <right/>
      <top/>
      <bottom style="thin">
        <color rgb="FFCCCCCC"/>
      </bottom>
      <diagonal/>
    </border>
    <border>
      <left/>
      <right style="thin">
        <color indexed="64"/>
      </right>
      <top/>
      <bottom style="thin">
        <color rgb="FFCCCCCC"/>
      </bottom>
      <diagonal/>
    </border>
    <border>
      <left style="thin">
        <color rgb="FFCCCCCC"/>
      </left>
      <right style="thin">
        <color rgb="FFCCCCCC"/>
      </right>
      <top style="thin">
        <color rgb="FFCCCCCC"/>
      </top>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top style="thin">
        <color rgb="FF17E0E6"/>
      </top>
      <bottom/>
      <diagonal/>
    </border>
    <border>
      <left/>
      <right/>
      <top/>
      <bottom style="thin">
        <color rgb="FF17E0E6"/>
      </bottom>
      <diagonal/>
    </border>
    <border>
      <left style="thin">
        <color rgb="FF17E0E6"/>
      </left>
      <right/>
      <top style="thin">
        <color rgb="FF17E0E6"/>
      </top>
      <bottom/>
      <diagonal/>
    </border>
    <border>
      <left style="thin">
        <color rgb="FF17E0E6"/>
      </left>
      <right/>
      <top/>
      <bottom/>
      <diagonal/>
    </border>
    <border>
      <left style="thin">
        <color rgb="FF17E0E6"/>
      </left>
      <right/>
      <top/>
      <bottom style="thin">
        <color rgb="FF17E0E6"/>
      </bottom>
      <diagonal/>
    </border>
    <border>
      <left/>
      <right style="thin">
        <color rgb="FF17E0E6"/>
      </right>
      <top style="thin">
        <color rgb="FF17E0E6"/>
      </top>
      <bottom/>
      <diagonal/>
    </border>
    <border>
      <left/>
      <right style="thin">
        <color rgb="FF17E0E6"/>
      </right>
      <top/>
      <bottom/>
      <diagonal/>
    </border>
    <border>
      <left/>
      <right style="thin">
        <color rgb="FF17E0E6"/>
      </right>
      <top/>
      <bottom style="thin">
        <color rgb="FF17E0E6"/>
      </bottom>
      <diagonal/>
    </border>
    <border>
      <left/>
      <right/>
      <top/>
      <bottom style="medium">
        <color rgb="FF17E0E6"/>
      </bottom>
      <diagonal/>
    </border>
    <border>
      <left/>
      <right/>
      <top style="thin">
        <color rgb="FF17E0E6"/>
      </top>
      <bottom style="thin">
        <color rgb="FF17E0E6"/>
      </bottom>
      <diagonal/>
    </border>
    <border>
      <left style="thin">
        <color rgb="FF17E0E6"/>
      </left>
      <right/>
      <top style="thin">
        <color rgb="FF17E0E6"/>
      </top>
      <bottom style="thin">
        <color rgb="FF17E0E6"/>
      </bottom>
      <diagonal/>
    </border>
    <border>
      <left/>
      <right style="thin">
        <color rgb="FF17E0E6"/>
      </right>
      <top style="thin">
        <color rgb="FF17E0E6"/>
      </top>
      <bottom style="thin">
        <color rgb="FF17E0E6"/>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medium">
        <color rgb="FF404040"/>
      </right>
      <top style="thin">
        <color rgb="FFBFBFBF"/>
      </top>
      <bottom style="thin">
        <color rgb="FFBFBFBF"/>
      </bottom>
      <diagonal/>
    </border>
    <border>
      <left style="thin">
        <color rgb="FFBFBFBF"/>
      </left>
      <right style="medium">
        <color rgb="FFBFBFBF"/>
      </right>
      <top style="thin">
        <color rgb="FFBFBFBF"/>
      </top>
      <bottom style="thin">
        <color rgb="FFBFBFBF"/>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8" fillId="26" borderId="0" applyNumberFormat="0" applyBorder="0" applyAlignment="0" applyProtection="0"/>
    <xf numFmtId="0" fontId="1" fillId="27" borderId="0" applyNumberFormat="0" applyBorder="0" applyAlignment="0" applyProtection="0"/>
    <xf numFmtId="0" fontId="38" fillId="28" borderId="0" applyNumberFormat="0" applyBorder="0" applyAlignment="0" applyProtection="0"/>
    <xf numFmtId="0" fontId="1" fillId="29" borderId="0" applyNumberFormat="0" applyBorder="0" applyAlignment="0" applyProtection="0"/>
    <xf numFmtId="0" fontId="38" fillId="30" borderId="0" applyNumberFormat="0" applyBorder="0" applyAlignment="0" applyProtection="0"/>
    <xf numFmtId="0" fontId="1" fillId="31" borderId="0" applyNumberFormat="0" applyBorder="0" applyAlignment="0" applyProtection="0"/>
    <xf numFmtId="0" fontId="38" fillId="32" borderId="0" applyNumberFormat="0" applyBorder="0" applyAlignment="0" applyProtection="0"/>
    <xf numFmtId="0" fontId="1" fillId="33" borderId="0" applyNumberFormat="0" applyBorder="0" applyAlignment="0" applyProtection="0"/>
    <xf numFmtId="0" fontId="80" fillId="0" borderId="0"/>
  </cellStyleXfs>
  <cellXfs count="589">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6" fillId="0" borderId="10" xfId="0" applyFont="1" applyBorder="1" applyAlignment="1">
      <alignment horizontal="center" vertical="center"/>
    </xf>
    <xf numFmtId="0" fontId="5" fillId="0" borderId="0" xfId="0" applyFont="1" applyAlignment="1">
      <alignment horizontal="left" vertical="center"/>
    </xf>
    <xf numFmtId="0" fontId="9" fillId="16" borderId="0" xfId="0" applyFont="1" applyFill="1" applyAlignment="1">
      <alignment horizontal="center" vertical="center"/>
    </xf>
    <xf numFmtId="0" fontId="0" fillId="0" borderId="0" xfId="0" applyAlignment="1">
      <alignment horizontal="center" vertical="center"/>
    </xf>
    <xf numFmtId="0" fontId="13" fillId="17" borderId="0" xfId="0" applyFont="1" applyFill="1" applyAlignment="1">
      <alignment horizontal="center" vertical="center"/>
    </xf>
    <xf numFmtId="0" fontId="0" fillId="18" borderId="0" xfId="0" applyFill="1" applyAlignment="1">
      <alignment horizontal="center" vertical="center"/>
    </xf>
    <xf numFmtId="177" fontId="0" fillId="18" borderId="0" xfId="0" applyNumberFormat="1" applyFill="1" applyAlignment="1">
      <alignment horizontal="center" vertical="center"/>
    </xf>
    <xf numFmtId="14" fontId="0" fillId="18" borderId="0" xfId="0" applyNumberFormat="1" applyFill="1" applyAlignment="1">
      <alignment horizontal="center" vertical="center"/>
    </xf>
    <xf numFmtId="0" fontId="0" fillId="15" borderId="0" xfId="0" applyFill="1" applyAlignment="1">
      <alignment horizontal="center" vertical="center"/>
    </xf>
    <xf numFmtId="177" fontId="0" fillId="15" borderId="0" xfId="0" applyNumberFormat="1" applyFill="1" applyAlignment="1">
      <alignment horizontal="center" vertical="center"/>
    </xf>
    <xf numFmtId="14" fontId="0" fillId="15" borderId="0" xfId="0" applyNumberFormat="1" applyFill="1" applyAlignment="1">
      <alignment horizontal="center" vertical="center"/>
    </xf>
    <xf numFmtId="0" fontId="0" fillId="0" borderId="0" xfId="0" applyAlignment="1">
      <alignment horizontal="left" vertical="center"/>
    </xf>
    <xf numFmtId="0" fontId="0" fillId="18" borderId="0" xfId="0" applyFill="1" applyAlignment="1">
      <alignment horizontal="left" vertical="center"/>
    </xf>
    <xf numFmtId="0" fontId="0" fillId="15" borderId="0" xfId="0" applyFill="1" applyAlignment="1">
      <alignment horizontal="left" vertical="center"/>
    </xf>
    <xf numFmtId="0" fontId="5" fillId="14"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8" borderId="0" xfId="0" applyFont="1" applyFill="1" applyAlignment="1">
      <alignment horizontal="center" vertical="center"/>
    </xf>
    <xf numFmtId="0" fontId="15" fillId="15" borderId="0" xfId="0" applyFont="1" applyFill="1" applyAlignment="1">
      <alignment horizontal="center" vertical="center"/>
    </xf>
    <xf numFmtId="0" fontId="6" fillId="14" borderId="0" xfId="0" applyFont="1" applyFill="1" applyAlignment="1">
      <alignment horizontal="center" vertical="center"/>
    </xf>
    <xf numFmtId="0" fontId="19" fillId="22" borderId="25" xfId="0" applyFont="1" applyFill="1" applyBorder="1" applyAlignment="1">
      <alignment horizontal="center" vertical="center" wrapText="1"/>
    </xf>
    <xf numFmtId="0" fontId="6" fillId="0" borderId="0" xfId="0" applyFont="1" applyAlignment="1">
      <alignment horizontal="center" vertical="center" wrapText="1"/>
    </xf>
    <xf numFmtId="0" fontId="20" fillId="23" borderId="0" xfId="0" applyFont="1" applyFill="1" applyAlignment="1">
      <alignment horizontal="center" vertical="center" wrapText="1"/>
    </xf>
    <xf numFmtId="0" fontId="6" fillId="23" borderId="0" xfId="0" applyFont="1" applyFill="1" applyAlignment="1">
      <alignment horizontal="center" vertical="center"/>
    </xf>
    <xf numFmtId="178" fontId="6" fillId="0" borderId="26" xfId="0" applyNumberFormat="1" applyFont="1" applyBorder="1" applyAlignment="1">
      <alignment horizontal="center" vertical="center"/>
    </xf>
    <xf numFmtId="0" fontId="6" fillId="0" borderId="27" xfId="0" applyFont="1" applyBorder="1" applyAlignment="1">
      <alignment horizontal="center" vertical="center"/>
    </xf>
    <xf numFmtId="0" fontId="6" fillId="0" borderId="27" xfId="0" applyFont="1" applyBorder="1" applyAlignment="1">
      <alignment horizontal="center" vertical="center" wrapText="1"/>
    </xf>
    <xf numFmtId="0" fontId="6" fillId="0" borderId="28" xfId="0" applyFont="1" applyBorder="1" applyAlignment="1">
      <alignment horizontal="center" vertical="center"/>
    </xf>
    <xf numFmtId="178" fontId="6" fillId="0" borderId="29" xfId="0" applyNumberFormat="1" applyFont="1" applyBorder="1" applyAlignment="1">
      <alignment horizontal="center" vertical="center"/>
    </xf>
    <xf numFmtId="0" fontId="6" fillId="0" borderId="30" xfId="0" applyFont="1" applyBorder="1" applyAlignment="1">
      <alignment horizontal="center" vertical="center"/>
    </xf>
    <xf numFmtId="0" fontId="6" fillId="0" borderId="30" xfId="0" applyFont="1" applyBorder="1" applyAlignment="1">
      <alignment horizontal="center" vertical="center" wrapText="1"/>
    </xf>
    <xf numFmtId="0" fontId="6" fillId="0" borderId="31" xfId="0" applyFont="1" applyBorder="1" applyAlignment="1">
      <alignment horizontal="center" vertical="center"/>
    </xf>
    <xf numFmtId="178" fontId="6" fillId="0" borderId="32" xfId="0" applyNumberFormat="1" applyFont="1" applyBorder="1" applyAlignment="1">
      <alignment horizontal="center" vertical="center"/>
    </xf>
    <xf numFmtId="0" fontId="6" fillId="0" borderId="31" xfId="0" applyFont="1" applyBorder="1" applyAlignment="1">
      <alignment horizontal="center" vertical="center" wrapText="1"/>
    </xf>
    <xf numFmtId="0" fontId="6" fillId="0" borderId="33" xfId="0" applyFont="1" applyBorder="1" applyAlignment="1">
      <alignment horizontal="center" vertical="center" wrapText="1"/>
    </xf>
    <xf numFmtId="0" fontId="6" fillId="0" borderId="29" xfId="0" applyFont="1" applyBorder="1" applyAlignment="1">
      <alignment horizontal="center" vertical="center"/>
    </xf>
    <xf numFmtId="0" fontId="6" fillId="0" borderId="32" xfId="0" applyFont="1" applyBorder="1" applyAlignment="1">
      <alignment horizontal="center" vertical="center"/>
    </xf>
    <xf numFmtId="0" fontId="6" fillId="0" borderId="33" xfId="0" applyFont="1" applyBorder="1" applyAlignment="1">
      <alignment horizontal="center" vertical="center"/>
    </xf>
    <xf numFmtId="0" fontId="6" fillId="0" borderId="34" xfId="0" applyFont="1" applyBorder="1" applyAlignment="1">
      <alignment horizontal="center" vertical="center"/>
    </xf>
    <xf numFmtId="0" fontId="6" fillId="0" borderId="0" xfId="0" applyFont="1"/>
    <xf numFmtId="0" fontId="23" fillId="24" borderId="11" xfId="0" applyFont="1" applyFill="1" applyBorder="1" applyAlignment="1">
      <alignment horizontal="center" vertical="center"/>
    </xf>
    <xf numFmtId="0" fontId="23" fillId="24" borderId="11" xfId="0" applyFont="1" applyFill="1" applyBorder="1" applyAlignment="1">
      <alignment horizontal="center" vertical="center" wrapText="1"/>
    </xf>
    <xf numFmtId="0" fontId="23" fillId="24" borderId="0" xfId="0" applyFont="1" applyFill="1" applyAlignment="1">
      <alignment horizontal="center" vertical="center"/>
    </xf>
    <xf numFmtId="0" fontId="24" fillId="0" borderId="0" xfId="0" applyFont="1" applyAlignment="1">
      <alignment vertical="center"/>
    </xf>
    <xf numFmtId="0" fontId="25" fillId="0" borderId="11" xfId="0" applyFont="1" applyBorder="1" applyAlignment="1">
      <alignment horizontal="center" vertical="center"/>
    </xf>
    <xf numFmtId="0" fontId="22" fillId="0" borderId="11" xfId="0" applyFont="1" applyBorder="1" applyAlignment="1">
      <alignment horizontal="center" vertical="center"/>
    </xf>
    <xf numFmtId="179" fontId="25" fillId="0" borderId="11" xfId="0" applyNumberFormat="1" applyFont="1" applyBorder="1" applyAlignment="1">
      <alignment horizontal="center" vertical="center"/>
    </xf>
    <xf numFmtId="0" fontId="25" fillId="6" borderId="11" xfId="0" applyFont="1" applyFill="1" applyBorder="1" applyAlignment="1">
      <alignment horizontal="center" vertical="center"/>
    </xf>
    <xf numFmtId="0" fontId="25" fillId="0" borderId="0" xfId="0" applyFont="1" applyAlignment="1">
      <alignment vertical="center"/>
    </xf>
    <xf numFmtId="0" fontId="25" fillId="0" borderId="12" xfId="0" applyFont="1" applyBorder="1" applyAlignment="1">
      <alignment horizontal="center" vertical="center"/>
    </xf>
    <xf numFmtId="0" fontId="24" fillId="0" borderId="10" xfId="0" applyFont="1" applyBorder="1" applyAlignment="1">
      <alignment horizontal="center" vertical="center"/>
    </xf>
    <xf numFmtId="0" fontId="24" fillId="0" borderId="10" xfId="0" applyFont="1" applyBorder="1" applyAlignment="1">
      <alignment vertical="center"/>
    </xf>
    <xf numFmtId="0" fontId="24" fillId="0" borderId="7" xfId="0" applyFont="1" applyBorder="1" applyAlignment="1">
      <alignment vertical="center"/>
    </xf>
    <xf numFmtId="0" fontId="25" fillId="0" borderId="19" xfId="0" applyFont="1" applyBorder="1" applyAlignment="1">
      <alignment horizontal="center" vertical="center"/>
    </xf>
    <xf numFmtId="0" fontId="25" fillId="6" borderId="19" xfId="0" applyFont="1" applyFill="1" applyBorder="1" applyAlignment="1">
      <alignment horizontal="center" vertical="center"/>
    </xf>
    <xf numFmtId="0" fontId="25" fillId="13" borderId="16" xfId="0" applyFont="1" applyFill="1" applyBorder="1" applyAlignment="1">
      <alignment vertical="center"/>
    </xf>
    <xf numFmtId="0" fontId="25" fillId="0" borderId="16" xfId="0" applyFont="1" applyBorder="1" applyAlignment="1">
      <alignment vertical="center"/>
    </xf>
    <xf numFmtId="0" fontId="23" fillId="24" borderId="19" xfId="0" applyFont="1" applyFill="1" applyBorder="1" applyAlignment="1">
      <alignment horizontal="center" vertical="center"/>
    </xf>
    <xf numFmtId="0" fontId="21" fillId="0" borderId="19" xfId="0" applyFont="1" applyBorder="1" applyAlignment="1">
      <alignment horizontal="center" vertical="center"/>
    </xf>
    <xf numFmtId="14" fontId="25" fillId="0" borderId="10" xfId="0" applyNumberFormat="1" applyFont="1" applyBorder="1" applyAlignment="1">
      <alignment horizontal="center" vertical="center"/>
    </xf>
    <xf numFmtId="14" fontId="25" fillId="6" borderId="10" xfId="0" applyNumberFormat="1" applyFont="1" applyFill="1" applyBorder="1" applyAlignment="1">
      <alignment horizontal="center" vertical="center"/>
    </xf>
    <xf numFmtId="14" fontId="21" fillId="0" borderId="10" xfId="0" applyNumberFormat="1" applyFont="1" applyBorder="1" applyAlignment="1">
      <alignment horizontal="center" vertical="center"/>
    </xf>
    <xf numFmtId="0" fontId="25" fillId="0" borderId="10" xfId="0" applyFont="1" applyBorder="1" applyAlignment="1">
      <alignment horizontal="center" vertical="center"/>
    </xf>
    <xf numFmtId="179" fontId="25" fillId="0" borderId="10" xfId="0" applyNumberFormat="1" applyFont="1" applyBorder="1" applyAlignment="1">
      <alignment horizontal="center" vertical="center"/>
    </xf>
    <xf numFmtId="0" fontId="25" fillId="0" borderId="10" xfId="0" applyFont="1" applyBorder="1" applyAlignment="1">
      <alignment vertical="center"/>
    </xf>
    <xf numFmtId="179" fontId="25" fillId="0" borderId="12" xfId="0" applyNumberFormat="1" applyFont="1" applyBorder="1" applyAlignment="1">
      <alignment horizontal="center" vertical="center"/>
    </xf>
    <xf numFmtId="0" fontId="24" fillId="0" borderId="13" xfId="0" applyFont="1" applyBorder="1" applyAlignment="1">
      <alignment horizontal="center" vertical="center"/>
    </xf>
    <xf numFmtId="0" fontId="29" fillId="0" borderId="0" xfId="0" applyFont="1" applyAlignment="1">
      <alignment horizontal="left" vertical="center"/>
    </xf>
    <xf numFmtId="0" fontId="6" fillId="5" borderId="1" xfId="0" applyFont="1" applyFill="1" applyBorder="1" applyAlignment="1">
      <alignment horizontal="center" vertical="center"/>
    </xf>
    <xf numFmtId="0" fontId="6" fillId="4" borderId="1" xfId="0" applyFont="1" applyFill="1" applyBorder="1" applyAlignment="1">
      <alignment horizontal="center" vertical="center"/>
    </xf>
    <xf numFmtId="0" fontId="6" fillId="8" borderId="0" xfId="0" applyFont="1" applyFill="1" applyAlignment="1">
      <alignment horizontal="center" vertical="center"/>
    </xf>
    <xf numFmtId="14" fontId="35" fillId="0" borderId="0" xfId="0" applyNumberFormat="1" applyFont="1" applyAlignment="1">
      <alignment horizontal="center" vertical="center"/>
    </xf>
    <xf numFmtId="0" fontId="30" fillId="3" borderId="10" xfId="0" applyFont="1" applyFill="1" applyBorder="1" applyAlignment="1">
      <alignment horizontal="center" vertical="center"/>
    </xf>
    <xf numFmtId="49" fontId="6" fillId="0" borderId="10" xfId="0" applyNumberFormat="1" applyFont="1" applyBorder="1" applyAlignment="1">
      <alignment horizontal="center" vertical="center"/>
    </xf>
    <xf numFmtId="49" fontId="6" fillId="7" borderId="10" xfId="0" applyNumberFormat="1" applyFont="1" applyFill="1" applyBorder="1" applyAlignment="1">
      <alignment horizontal="center" vertical="center"/>
    </xf>
    <xf numFmtId="0" fontId="31" fillId="0" borderId="10" xfId="0" applyFont="1" applyBorder="1" applyAlignment="1">
      <alignment horizontal="center" vertical="center"/>
    </xf>
    <xf numFmtId="0" fontId="6" fillId="8" borderId="10" xfId="0" applyFont="1" applyFill="1" applyBorder="1" applyAlignment="1">
      <alignment horizontal="center" vertical="center"/>
    </xf>
    <xf numFmtId="0" fontId="32" fillId="0" borderId="10" xfId="0" applyFont="1" applyBorder="1" applyAlignment="1">
      <alignment horizontal="center" vertical="center"/>
    </xf>
    <xf numFmtId="0" fontId="6" fillId="7" borderId="10" xfId="0" applyFont="1" applyFill="1" applyBorder="1" applyAlignment="1">
      <alignment horizontal="center" vertical="center"/>
    </xf>
    <xf numFmtId="0" fontId="14" fillId="0" borderId="10" xfId="0" applyFont="1" applyBorder="1" applyAlignment="1">
      <alignment horizontal="center" vertical="center"/>
    </xf>
    <xf numFmtId="0" fontId="18" fillId="0" borderId="10" xfId="0" applyFont="1" applyBorder="1" applyAlignment="1">
      <alignment horizontal="center" vertical="center"/>
    </xf>
    <xf numFmtId="0" fontId="33" fillId="0" borderId="10" xfId="0" applyFont="1" applyBorder="1" applyAlignment="1">
      <alignment horizontal="center" vertical="center"/>
    </xf>
    <xf numFmtId="0" fontId="6" fillId="9" borderId="10" xfId="0" applyFont="1" applyFill="1" applyBorder="1" applyAlignment="1">
      <alignment horizontal="center" vertical="center"/>
    </xf>
    <xf numFmtId="49" fontId="34" fillId="7" borderId="10" xfId="0" applyNumberFormat="1" applyFont="1" applyFill="1" applyBorder="1" applyAlignment="1">
      <alignment horizontal="center" vertical="center"/>
    </xf>
    <xf numFmtId="49" fontId="34" fillId="0" borderId="10" xfId="0" applyNumberFormat="1" applyFont="1" applyBorder="1" applyAlignment="1">
      <alignment horizontal="center" vertical="center"/>
    </xf>
    <xf numFmtId="0" fontId="6" fillId="20" borderId="10" xfId="0" applyFont="1" applyFill="1" applyBorder="1" applyAlignment="1">
      <alignment horizontal="center" vertical="center"/>
    </xf>
    <xf numFmtId="0" fontId="6" fillId="0" borderId="4" xfId="0" applyFont="1" applyBorder="1" applyAlignment="1">
      <alignment horizontal="center" vertical="center"/>
    </xf>
    <xf numFmtId="0" fontId="36" fillId="0" borderId="10" xfId="0" applyFont="1" applyBorder="1" applyAlignment="1">
      <alignment horizontal="center" vertical="center"/>
    </xf>
    <xf numFmtId="49" fontId="6" fillId="13" borderId="10" xfId="0" applyNumberFormat="1" applyFont="1" applyFill="1" applyBorder="1" applyAlignment="1">
      <alignment horizontal="center" vertical="center"/>
    </xf>
    <xf numFmtId="0" fontId="19" fillId="2" borderId="4" xfId="0" applyFont="1" applyFill="1" applyBorder="1" applyAlignment="1">
      <alignment horizontal="center" vertical="center"/>
    </xf>
    <xf numFmtId="0" fontId="19" fillId="2" borderId="10" xfId="0" applyFont="1" applyFill="1" applyBorder="1" applyAlignment="1">
      <alignment horizontal="center" vertical="center"/>
    </xf>
    <xf numFmtId="0" fontId="19" fillId="2" borderId="10" xfId="0" applyFont="1" applyFill="1" applyBorder="1" applyAlignment="1">
      <alignment horizontal="center" vertical="center" wrapText="1"/>
    </xf>
    <xf numFmtId="0" fontId="2" fillId="17" borderId="0" xfId="0" applyFont="1" applyFill="1" applyAlignment="1">
      <alignment horizontal="center" vertical="center"/>
    </xf>
    <xf numFmtId="14" fontId="23" fillId="25" borderId="10" xfId="0" applyNumberFormat="1" applyFont="1" applyFill="1" applyBorder="1" applyAlignment="1">
      <alignment horizontal="center" vertical="center"/>
    </xf>
    <xf numFmtId="0" fontId="25" fillId="13" borderId="24" xfId="0" applyFont="1" applyFill="1" applyBorder="1" applyAlignment="1">
      <alignment vertical="center"/>
    </xf>
    <xf numFmtId="0" fontId="22" fillId="0" borderId="10" xfId="0" applyFont="1" applyBorder="1" applyAlignment="1">
      <alignment horizontal="center" vertical="center"/>
    </xf>
    <xf numFmtId="0" fontId="37" fillId="0" borderId="11" xfId="0" applyFont="1" applyBorder="1" applyAlignment="1">
      <alignment horizontal="center" vertical="center"/>
    </xf>
    <xf numFmtId="0" fontId="0" fillId="0" borderId="11"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32" fillId="0" borderId="0" xfId="0" applyFont="1" applyAlignment="1">
      <alignment horizontal="center" vertical="center"/>
    </xf>
    <xf numFmtId="0" fontId="44" fillId="37" borderId="0" xfId="0" applyFont="1" applyFill="1" applyAlignment="1">
      <alignment horizontal="center"/>
    </xf>
    <xf numFmtId="0" fontId="45" fillId="35" borderId="0" xfId="0" applyFont="1" applyFill="1" applyAlignment="1">
      <alignment horizontal="center"/>
    </xf>
    <xf numFmtId="0" fontId="46" fillId="38" borderId="0" xfId="0" applyFont="1" applyFill="1" applyAlignment="1">
      <alignment horizontal="center"/>
    </xf>
    <xf numFmtId="0" fontId="44" fillId="39" borderId="0" xfId="0" applyFont="1" applyFill="1" applyAlignment="1">
      <alignment horizontal="center"/>
    </xf>
    <xf numFmtId="0" fontId="47" fillId="34" borderId="0" xfId="0" applyFont="1" applyFill="1" applyAlignment="1">
      <alignment horizontal="center"/>
    </xf>
    <xf numFmtId="0" fontId="48" fillId="0" borderId="40" xfId="0" applyFont="1" applyBorder="1" applyAlignment="1">
      <alignment horizontal="center" vertical="center"/>
    </xf>
    <xf numFmtId="0" fontId="43" fillId="0" borderId="40" xfId="0" applyFont="1" applyBorder="1" applyAlignment="1">
      <alignment horizontal="center" vertical="center"/>
    </xf>
    <xf numFmtId="16" fontId="43" fillId="0" borderId="40" xfId="0" applyNumberFormat="1" applyFont="1" applyBorder="1" applyAlignment="1">
      <alignment horizontal="center" vertical="center"/>
    </xf>
    <xf numFmtId="0" fontId="43" fillId="0" borderId="39" xfId="0" applyFont="1" applyBorder="1" applyAlignment="1">
      <alignment horizontal="left" vertical="center"/>
    </xf>
    <xf numFmtId="0" fontId="41" fillId="15" borderId="41" xfId="0" applyFont="1" applyFill="1" applyBorder="1" applyAlignment="1">
      <alignment horizontal="center" vertical="center"/>
    </xf>
    <xf numFmtId="0" fontId="43" fillId="0" borderId="39" xfId="0" applyFont="1" applyBorder="1" applyAlignment="1">
      <alignment horizontal="left" vertical="center" wrapText="1"/>
    </xf>
    <xf numFmtId="0" fontId="41" fillId="15" borderId="1" xfId="0" applyFont="1" applyFill="1" applyBorder="1" applyAlignment="1">
      <alignment horizontal="center" vertical="center"/>
    </xf>
    <xf numFmtId="16" fontId="6" fillId="0" borderId="40" xfId="0" applyNumberFormat="1" applyFont="1" applyBorder="1" applyAlignment="1">
      <alignment horizontal="center" vertical="center"/>
    </xf>
    <xf numFmtId="0" fontId="39" fillId="0" borderId="0" xfId="0" applyFont="1" applyAlignment="1">
      <alignment horizontal="left" vertical="center"/>
    </xf>
    <xf numFmtId="49" fontId="40" fillId="41" borderId="42" xfId="0" applyNumberFormat="1" applyFont="1" applyFill="1" applyBorder="1" applyAlignment="1">
      <alignment horizontal="center" vertical="center"/>
    </xf>
    <xf numFmtId="49" fontId="51" fillId="29" borderId="42" xfId="7" applyNumberFormat="1" applyFont="1" applyBorder="1" applyAlignment="1">
      <alignment horizontal="center" vertical="center"/>
    </xf>
    <xf numFmtId="49" fontId="51" fillId="33" borderId="42" xfId="11" applyNumberFormat="1" applyFont="1" applyBorder="1" applyAlignment="1">
      <alignment horizontal="center" vertical="center"/>
    </xf>
    <xf numFmtId="49" fontId="51" fillId="31" borderId="42" xfId="9" applyNumberFormat="1" applyFont="1" applyBorder="1" applyAlignment="1">
      <alignment horizontal="center" vertical="center"/>
    </xf>
    <xf numFmtId="0" fontId="23" fillId="26" borderId="23" xfId="4" applyFont="1" applyBorder="1" applyAlignment="1">
      <alignment horizontal="center" vertical="center" wrapText="1"/>
    </xf>
    <xf numFmtId="0" fontId="23" fillId="26" borderId="40" xfId="4" applyFont="1" applyBorder="1" applyAlignment="1">
      <alignment horizontal="center" vertical="center" wrapText="1"/>
    </xf>
    <xf numFmtId="0" fontId="49" fillId="27" borderId="40" xfId="5" applyFont="1" applyBorder="1" applyAlignment="1">
      <alignment horizontal="center" vertical="center" wrapText="1"/>
    </xf>
    <xf numFmtId="0" fontId="23" fillId="26" borderId="39" xfId="4" applyFont="1" applyBorder="1" applyAlignment="1">
      <alignment horizontal="center" vertical="center" wrapText="1"/>
    </xf>
    <xf numFmtId="0" fontId="0" fillId="0" borderId="0" xfId="0" applyAlignment="1">
      <alignment vertical="center" wrapText="1"/>
    </xf>
    <xf numFmtId="0" fontId="43" fillId="0" borderId="40" xfId="0" applyFont="1" applyBorder="1" applyAlignment="1">
      <alignment horizontal="center" vertical="center" wrapText="1"/>
    </xf>
    <xf numFmtId="0" fontId="6" fillId="13" borderId="10" xfId="0" applyFont="1" applyFill="1" applyBorder="1" applyAlignment="1">
      <alignment horizontal="center" vertical="center"/>
    </xf>
    <xf numFmtId="0" fontId="6" fillId="21" borderId="10" xfId="0" applyFont="1" applyFill="1" applyBorder="1" applyAlignment="1">
      <alignment horizontal="center" vertical="center"/>
    </xf>
    <xf numFmtId="0" fontId="19" fillId="22" borderId="0" xfId="0" applyFont="1" applyFill="1" applyAlignment="1">
      <alignment horizontal="center" vertical="center" wrapText="1"/>
    </xf>
    <xf numFmtId="0" fontId="6" fillId="13" borderId="0" xfId="0" applyFont="1" applyFill="1" applyAlignment="1">
      <alignment horizontal="center" vertical="center" wrapText="1"/>
    </xf>
    <xf numFmtId="0" fontId="53" fillId="0" borderId="0" xfId="0" applyFont="1" applyAlignment="1">
      <alignment horizontal="center" vertical="center"/>
    </xf>
    <xf numFmtId="0" fontId="53" fillId="0" borderId="0" xfId="0" applyFont="1" applyAlignment="1">
      <alignment horizontal="center"/>
    </xf>
    <xf numFmtId="0" fontId="37" fillId="0" borderId="12" xfId="0" applyFont="1" applyBorder="1" applyAlignment="1">
      <alignment horizontal="center" vertical="center"/>
    </xf>
    <xf numFmtId="0" fontId="0" fillId="0" borderId="10" xfId="0" applyBorder="1" applyAlignment="1">
      <alignment horizontal="center" vertical="center"/>
    </xf>
    <xf numFmtId="0" fontId="0" fillId="0" borderId="12" xfId="0" applyBorder="1" applyAlignment="1">
      <alignment vertical="center"/>
    </xf>
    <xf numFmtId="0" fontId="6" fillId="0" borderId="0" xfId="0" quotePrefix="1" applyFont="1" applyAlignment="1">
      <alignment horizontal="center" vertical="center"/>
    </xf>
    <xf numFmtId="0" fontId="6" fillId="13" borderId="0" xfId="0" applyFont="1" applyFill="1" applyAlignment="1">
      <alignment horizontal="center" vertical="center"/>
    </xf>
    <xf numFmtId="0" fontId="6" fillId="6" borderId="0" xfId="0" applyFont="1" applyFill="1" applyAlignment="1">
      <alignment horizontal="center" vertical="center"/>
    </xf>
    <xf numFmtId="0" fontId="14" fillId="13" borderId="10" xfId="0" applyFont="1" applyFill="1" applyBorder="1" applyAlignment="1">
      <alignment horizontal="center" vertical="center"/>
    </xf>
    <xf numFmtId="0" fontId="54" fillId="0" borderId="0" xfId="0" applyFont="1" applyAlignment="1">
      <alignment horizontal="center" vertical="center"/>
    </xf>
    <xf numFmtId="0" fontId="55" fillId="42" borderId="17" xfId="0" applyFont="1" applyFill="1" applyBorder="1" applyAlignment="1">
      <alignment horizontal="center" vertical="center" wrapText="1"/>
    </xf>
    <xf numFmtId="0" fontId="54" fillId="0" borderId="10" xfId="0" applyFont="1" applyBorder="1" applyAlignment="1">
      <alignment horizontal="center" vertical="center"/>
    </xf>
    <xf numFmtId="0" fontId="54" fillId="0" borderId="10" xfId="0" applyFont="1" applyBorder="1" applyAlignment="1">
      <alignment horizontal="left" vertical="center" wrapText="1"/>
    </xf>
    <xf numFmtId="0" fontId="54" fillId="0" borderId="10" xfId="0" quotePrefix="1" applyFont="1" applyBorder="1" applyAlignment="1">
      <alignment horizontal="center" vertical="center"/>
    </xf>
    <xf numFmtId="14" fontId="54" fillId="0" borderId="10" xfId="0" applyNumberFormat="1" applyFont="1" applyBorder="1" applyAlignment="1">
      <alignment horizontal="center" vertical="center"/>
    </xf>
    <xf numFmtId="14" fontId="57" fillId="0" borderId="10" xfId="0" applyNumberFormat="1" applyFont="1" applyBorder="1" applyAlignment="1">
      <alignment horizontal="center" vertical="center"/>
    </xf>
    <xf numFmtId="14" fontId="54" fillId="0" borderId="10" xfId="0" applyNumberFormat="1" applyFont="1" applyBorder="1" applyAlignment="1">
      <alignment horizontal="center" vertical="center" wrapText="1"/>
    </xf>
    <xf numFmtId="0" fontId="56" fillId="0" borderId="10" xfId="1" applyFont="1" applyFill="1" applyBorder="1" applyAlignment="1">
      <alignment horizontal="center" vertical="center"/>
    </xf>
    <xf numFmtId="0" fontId="56" fillId="0" borderId="10" xfId="1" applyFont="1" applyBorder="1" applyAlignment="1">
      <alignment horizontal="center" vertical="center"/>
    </xf>
    <xf numFmtId="0" fontId="54" fillId="0" borderId="10" xfId="0" applyFont="1" applyBorder="1" applyAlignment="1">
      <alignment horizontal="center" vertical="center" wrapText="1"/>
    </xf>
    <xf numFmtId="0" fontId="54" fillId="6" borderId="10" xfId="1" applyFont="1" applyFill="1" applyBorder="1" applyAlignment="1">
      <alignment horizontal="left" vertical="center" wrapText="1"/>
    </xf>
    <xf numFmtId="14" fontId="56" fillId="0" borderId="10" xfId="1" applyNumberFormat="1" applyFont="1" applyBorder="1" applyAlignment="1">
      <alignment horizontal="center" vertical="center"/>
    </xf>
    <xf numFmtId="176" fontId="54" fillId="0" borderId="10" xfId="0" quotePrefix="1" applyNumberFormat="1" applyFont="1" applyBorder="1" applyAlignment="1">
      <alignment horizontal="center" vertical="center"/>
    </xf>
    <xf numFmtId="0" fontId="58" fillId="0" borderId="10" xfId="0" applyFont="1" applyBorder="1" applyAlignment="1">
      <alignment horizontal="left" vertical="center" wrapText="1"/>
    </xf>
    <xf numFmtId="0" fontId="54" fillId="0" borderId="10" xfId="0" quotePrefix="1" applyFont="1" applyBorder="1" applyAlignment="1">
      <alignment horizontal="center" vertical="center" wrapText="1"/>
    </xf>
    <xf numFmtId="0" fontId="56" fillId="0" borderId="10" xfId="1" applyFont="1" applyBorder="1" applyAlignment="1">
      <alignment horizontal="left" vertical="center" wrapText="1"/>
    </xf>
    <xf numFmtId="3" fontId="54" fillId="0" borderId="10" xfId="0" applyNumberFormat="1" applyFont="1" applyBorder="1" applyAlignment="1">
      <alignment horizontal="center" vertical="center"/>
    </xf>
    <xf numFmtId="0" fontId="54" fillId="14" borderId="0" xfId="0" applyFont="1" applyFill="1" applyAlignment="1">
      <alignment horizontal="center" vertical="center"/>
    </xf>
    <xf numFmtId="0" fontId="54" fillId="14" borderId="10" xfId="0" applyFont="1" applyFill="1" applyBorder="1" applyAlignment="1">
      <alignment horizontal="center" vertical="center"/>
    </xf>
    <xf numFmtId="14" fontId="54" fillId="14" borderId="10" xfId="0" applyNumberFormat="1" applyFont="1" applyFill="1" applyBorder="1" applyAlignment="1">
      <alignment horizontal="center" vertical="center"/>
    </xf>
    <xf numFmtId="14" fontId="54" fillId="14" borderId="10" xfId="0" applyNumberFormat="1" applyFont="1" applyFill="1" applyBorder="1" applyAlignment="1">
      <alignment horizontal="center" vertical="center" wrapText="1"/>
    </xf>
    <xf numFmtId="49" fontId="54" fillId="0" borderId="10" xfId="0" applyNumberFormat="1" applyFont="1" applyBorder="1" applyAlignment="1">
      <alignment horizontal="center" vertical="center"/>
    </xf>
    <xf numFmtId="0" fontId="56" fillId="0" borderId="10" xfId="1" applyFont="1" applyFill="1" applyBorder="1" applyAlignment="1">
      <alignment horizontal="left" vertical="center" wrapText="1"/>
    </xf>
    <xf numFmtId="14" fontId="56" fillId="0" borderId="10" xfId="1" applyNumberFormat="1" applyFont="1" applyFill="1" applyBorder="1" applyAlignment="1">
      <alignment horizontal="center" vertical="center"/>
    </xf>
    <xf numFmtId="0" fontId="54" fillId="0" borderId="19" xfId="0" applyFont="1" applyBorder="1" applyAlignment="1">
      <alignment horizontal="center" vertical="center"/>
    </xf>
    <xf numFmtId="49" fontId="54" fillId="0" borderId="10" xfId="0" applyNumberFormat="1" applyFont="1" applyBorder="1" applyAlignment="1">
      <alignment horizontal="center" vertical="center" wrapText="1"/>
    </xf>
    <xf numFmtId="0" fontId="54" fillId="14" borderId="19" xfId="0" applyFont="1" applyFill="1" applyBorder="1" applyAlignment="1">
      <alignment horizontal="center" vertical="center"/>
    </xf>
    <xf numFmtId="0" fontId="60" fillId="0" borderId="10" xfId="0" applyFont="1" applyBorder="1" applyAlignment="1">
      <alignment horizontal="left" vertical="center" wrapText="1"/>
    </xf>
    <xf numFmtId="0" fontId="60" fillId="0" borderId="10" xfId="1" applyFont="1" applyFill="1" applyBorder="1" applyAlignment="1">
      <alignment horizontal="center" vertical="center" wrapText="1"/>
    </xf>
    <xf numFmtId="14" fontId="61" fillId="0" borderId="10" xfId="0" applyNumberFormat="1" applyFont="1" applyBorder="1" applyAlignment="1">
      <alignment horizontal="center" vertical="center"/>
    </xf>
    <xf numFmtId="0" fontId="58" fillId="0" borderId="10" xfId="0" applyFont="1" applyBorder="1" applyAlignment="1">
      <alignment horizontal="center" vertical="center"/>
    </xf>
    <xf numFmtId="0" fontId="54" fillId="0" borderId="10" xfId="1" applyFont="1" applyFill="1" applyBorder="1" applyAlignment="1">
      <alignment horizontal="left" vertical="center" wrapText="1"/>
    </xf>
    <xf numFmtId="0" fontId="56" fillId="0" borderId="10" xfId="1" applyFont="1" applyFill="1" applyBorder="1" applyAlignment="1">
      <alignment horizontal="center" vertical="center" wrapText="1"/>
    </xf>
    <xf numFmtId="0" fontId="60" fillId="0" borderId="10" xfId="0" applyFont="1" applyBorder="1" applyAlignment="1">
      <alignment horizontal="center" vertical="center" wrapText="1"/>
    </xf>
    <xf numFmtId="0" fontId="54" fillId="13" borderId="10" xfId="0" applyFont="1" applyFill="1" applyBorder="1" applyAlignment="1">
      <alignment horizontal="center" vertical="center"/>
    </xf>
    <xf numFmtId="0" fontId="63" fillId="0" borderId="10" xfId="0" applyFont="1" applyBorder="1" applyAlignment="1">
      <alignment horizontal="center" vertical="center"/>
    </xf>
    <xf numFmtId="0" fontId="54" fillId="0" borderId="10" xfId="0" applyFont="1" applyBorder="1" applyAlignment="1">
      <alignment horizontal="left" wrapText="1"/>
    </xf>
    <xf numFmtId="0" fontId="54" fillId="0" borderId="10" xfId="0" applyFont="1" applyBorder="1" applyAlignment="1">
      <alignment horizontal="left" vertical="top" wrapText="1"/>
    </xf>
    <xf numFmtId="0" fontId="54" fillId="12" borderId="10" xfId="0" applyFont="1" applyFill="1" applyBorder="1" applyAlignment="1">
      <alignment horizontal="center" vertical="center"/>
    </xf>
    <xf numFmtId="0" fontId="54" fillId="0" borderId="14" xfId="0" applyFont="1" applyBorder="1" applyAlignment="1">
      <alignment horizontal="center" vertical="center"/>
    </xf>
    <xf numFmtId="0" fontId="54" fillId="0" borderId="10" xfId="0" applyFont="1" applyBorder="1" applyAlignment="1">
      <alignment vertical="center"/>
    </xf>
    <xf numFmtId="0" fontId="54" fillId="0" borderId="7" xfId="0" applyFont="1" applyBorder="1" applyAlignment="1">
      <alignment horizontal="center" vertical="center"/>
    </xf>
    <xf numFmtId="0" fontId="54" fillId="7" borderId="10" xfId="0" applyFont="1" applyFill="1" applyBorder="1" applyAlignment="1">
      <alignment horizontal="center" vertical="center"/>
    </xf>
    <xf numFmtId="0" fontId="60" fillId="0" borderId="10" xfId="0" applyFont="1" applyBorder="1" applyAlignment="1">
      <alignment horizontal="center"/>
    </xf>
    <xf numFmtId="0" fontId="54" fillId="0" borderId="10" xfId="0" applyFont="1" applyBorder="1"/>
    <xf numFmtId="0" fontId="60" fillId="0" borderId="10" xfId="0" applyFont="1" applyBorder="1" applyAlignment="1">
      <alignment horizontal="left" vertical="center" wrapText="1" indent="1"/>
    </xf>
    <xf numFmtId="0" fontId="54" fillId="0" borderId="10" xfId="0" applyFont="1" applyBorder="1" applyAlignment="1">
      <alignment horizontal="center" vertical="center" indent="1"/>
    </xf>
    <xf numFmtId="0" fontId="58" fillId="0" borderId="10" xfId="0" applyFont="1" applyBorder="1" applyAlignment="1">
      <alignment horizontal="center" vertical="center" indent="1"/>
    </xf>
    <xf numFmtId="0" fontId="54" fillId="13" borderId="10" xfId="0" applyFont="1" applyFill="1" applyBorder="1" applyAlignment="1">
      <alignment horizontal="left" vertical="center" wrapText="1"/>
    </xf>
    <xf numFmtId="0" fontId="54" fillId="14" borderId="10" xfId="0" applyFont="1" applyFill="1" applyBorder="1" applyAlignment="1">
      <alignment horizontal="left" vertical="center" wrapText="1"/>
    </xf>
    <xf numFmtId="0" fontId="56" fillId="14" borderId="10" xfId="1" applyFont="1" applyFill="1" applyBorder="1" applyAlignment="1">
      <alignment horizontal="left" vertical="center" wrapText="1"/>
    </xf>
    <xf numFmtId="0" fontId="54" fillId="21" borderId="10" xfId="0" applyFont="1" applyFill="1" applyBorder="1" applyAlignment="1">
      <alignment horizontal="left" vertical="center" wrapText="1"/>
    </xf>
    <xf numFmtId="0" fontId="54" fillId="12" borderId="10" xfId="0" applyFont="1" applyFill="1" applyBorder="1" applyAlignment="1">
      <alignment horizontal="left" vertical="center" wrapText="1"/>
    </xf>
    <xf numFmtId="0" fontId="58" fillId="0" borderId="10" xfId="0" applyFont="1" applyBorder="1" applyAlignment="1">
      <alignment horizontal="left" vertical="center" wrapText="1" indent="1"/>
    </xf>
    <xf numFmtId="0" fontId="54" fillId="0" borderId="10" xfId="0" applyFont="1" applyBorder="1" applyAlignment="1">
      <alignment horizontal="left" vertical="center" wrapText="1" indent="1"/>
    </xf>
    <xf numFmtId="0" fontId="59" fillId="0" borderId="10" xfId="0" applyFont="1" applyBorder="1" applyAlignment="1">
      <alignment horizontal="left" vertical="center" wrapText="1"/>
    </xf>
    <xf numFmtId="0" fontId="55" fillId="0" borderId="10" xfId="0" applyFont="1" applyBorder="1" applyAlignment="1">
      <alignment horizontal="left" vertical="center" wrapText="1"/>
    </xf>
    <xf numFmtId="0" fontId="54" fillId="14" borderId="10" xfId="0" applyFont="1" applyFill="1" applyBorder="1" applyAlignment="1">
      <alignment horizontal="center" vertical="center" wrapText="1"/>
    </xf>
    <xf numFmtId="0" fontId="54" fillId="12" borderId="10" xfId="0" applyFont="1" applyFill="1" applyBorder="1" applyAlignment="1">
      <alignment horizontal="center" vertical="center" wrapText="1"/>
    </xf>
    <xf numFmtId="176" fontId="54" fillId="0" borderId="10" xfId="0" quotePrefix="1" applyNumberFormat="1" applyFont="1" applyBorder="1" applyAlignment="1">
      <alignment horizontal="center" vertical="center" wrapText="1"/>
    </xf>
    <xf numFmtId="0" fontId="56" fillId="0" borderId="10" xfId="1" applyFont="1" applyBorder="1" applyAlignment="1">
      <alignment horizontal="center" vertical="center" wrapText="1"/>
    </xf>
    <xf numFmtId="0" fontId="60" fillId="0" borderId="10" xfId="0" applyFont="1" applyBorder="1" applyAlignment="1">
      <alignment horizontal="center" wrapText="1"/>
    </xf>
    <xf numFmtId="0" fontId="62" fillId="0" borderId="10" xfId="0" applyFont="1" applyBorder="1" applyAlignment="1">
      <alignment horizontal="left" wrapText="1"/>
    </xf>
    <xf numFmtId="0" fontId="56" fillId="0" borderId="10" xfId="1" quotePrefix="1" applyFont="1" applyBorder="1" applyAlignment="1">
      <alignment horizontal="left" vertical="center" wrapText="1"/>
    </xf>
    <xf numFmtId="0" fontId="56" fillId="0" borderId="10" xfId="1" quotePrefix="1" applyFont="1" applyBorder="1" applyAlignment="1">
      <alignment horizontal="left" vertical="top" wrapText="1"/>
    </xf>
    <xf numFmtId="0" fontId="56" fillId="0" borderId="10" xfId="1" applyFont="1" applyFill="1" applyBorder="1" applyAlignment="1">
      <alignment horizontal="left" wrapText="1"/>
    </xf>
    <xf numFmtId="0" fontId="64" fillId="0" borderId="10" xfId="0" applyFont="1" applyBorder="1" applyAlignment="1">
      <alignment horizontal="left" vertical="center" wrapText="1"/>
    </xf>
    <xf numFmtId="0" fontId="54" fillId="0" borderId="10" xfId="1" applyFont="1" applyBorder="1" applyAlignment="1">
      <alignment horizontal="left" vertical="center" wrapText="1"/>
    </xf>
    <xf numFmtId="0" fontId="62" fillId="0" borderId="10" xfId="0" applyFont="1" applyBorder="1" applyAlignment="1">
      <alignment horizontal="left" vertical="center" wrapText="1"/>
    </xf>
    <xf numFmtId="0" fontId="56" fillId="0" borderId="10" xfId="1" applyFont="1" applyBorder="1" applyAlignment="1">
      <alignment horizontal="left" vertical="top" wrapText="1"/>
    </xf>
    <xf numFmtId="0" fontId="56" fillId="12" borderId="10" xfId="1" applyFont="1" applyFill="1" applyBorder="1" applyAlignment="1">
      <alignment horizontal="left" wrapText="1"/>
    </xf>
    <xf numFmtId="0" fontId="56" fillId="12" borderId="10" xfId="1" applyFont="1" applyFill="1" applyBorder="1" applyAlignment="1">
      <alignment horizontal="left" vertical="center" wrapText="1"/>
    </xf>
    <xf numFmtId="0" fontId="60" fillId="15" borderId="10" xfId="0" applyFont="1" applyFill="1" applyBorder="1" applyAlignment="1">
      <alignment horizontal="left" wrapText="1"/>
    </xf>
    <xf numFmtId="0" fontId="58" fillId="0" borderId="10" xfId="0" applyFont="1" applyBorder="1" applyAlignment="1">
      <alignment horizontal="left" wrapText="1"/>
    </xf>
    <xf numFmtId="0" fontId="0" fillId="43" borderId="0" xfId="0" applyFill="1"/>
    <xf numFmtId="0" fontId="14" fillId="13" borderId="10" xfId="0" applyFont="1" applyFill="1" applyBorder="1" applyAlignment="1">
      <alignment horizontal="center" vertical="center" wrapText="1"/>
    </xf>
    <xf numFmtId="3" fontId="75" fillId="45" borderId="0" xfId="0" applyNumberFormat="1" applyFont="1" applyFill="1" applyAlignment="1">
      <alignment horizontal="center" vertical="center"/>
    </xf>
    <xf numFmtId="3" fontId="74" fillId="45" borderId="0" xfId="0" applyNumberFormat="1" applyFont="1" applyFill="1" applyAlignment="1">
      <alignment horizontal="center" vertical="center"/>
    </xf>
    <xf numFmtId="0" fontId="73" fillId="44" borderId="47" xfId="0" applyFont="1" applyFill="1" applyBorder="1" applyAlignment="1">
      <alignment horizontal="center" vertical="center"/>
    </xf>
    <xf numFmtId="3" fontId="78" fillId="45" borderId="56" xfId="0" applyNumberFormat="1" applyFont="1" applyFill="1" applyBorder="1" applyAlignment="1">
      <alignment horizontal="center" vertical="center"/>
    </xf>
    <xf numFmtId="3" fontId="77" fillId="45" borderId="56" xfId="0" applyNumberFormat="1" applyFont="1" applyFill="1" applyBorder="1" applyAlignment="1">
      <alignment horizontal="center" vertical="center"/>
    </xf>
    <xf numFmtId="0" fontId="73" fillId="44" borderId="52" xfId="0" applyFont="1" applyFill="1" applyBorder="1" applyAlignment="1">
      <alignment horizontal="center" vertical="center"/>
    </xf>
    <xf numFmtId="3" fontId="76" fillId="45" borderId="53" xfId="0" applyNumberFormat="1" applyFont="1" applyFill="1" applyBorder="1" applyAlignment="1">
      <alignment horizontal="center" vertical="center"/>
    </xf>
    <xf numFmtId="3" fontId="76" fillId="45" borderId="58" xfId="0" applyNumberFormat="1" applyFont="1" applyFill="1" applyBorder="1" applyAlignment="1">
      <alignment horizontal="center" vertical="center"/>
    </xf>
    <xf numFmtId="0" fontId="34" fillId="13" borderId="10" xfId="0" applyFont="1" applyFill="1" applyBorder="1" applyAlignment="1">
      <alignment horizontal="center" vertical="center"/>
    </xf>
    <xf numFmtId="0" fontId="4" fillId="0" borderId="10" xfId="1" applyBorder="1" applyAlignment="1">
      <alignment horizontal="left" vertical="center" wrapText="1"/>
    </xf>
    <xf numFmtId="0" fontId="4" fillId="0" borderId="10" xfId="1" applyFill="1" applyBorder="1" applyAlignment="1">
      <alignment horizontal="left" vertical="center" wrapText="1"/>
    </xf>
    <xf numFmtId="0" fontId="54" fillId="0" borderId="7" xfId="0" applyFont="1" applyBorder="1" applyAlignment="1">
      <alignment horizontal="left" vertical="center" wrapText="1"/>
    </xf>
    <xf numFmtId="0" fontId="54" fillId="14" borderId="7" xfId="0" applyFont="1" applyFill="1" applyBorder="1" applyAlignment="1">
      <alignment horizontal="left" vertical="center" wrapText="1"/>
    </xf>
    <xf numFmtId="0" fontId="29" fillId="6" borderId="0" xfId="0" applyFont="1" applyFill="1" applyAlignment="1">
      <alignment horizontal="center" vertical="center"/>
    </xf>
    <xf numFmtId="0" fontId="81" fillId="0" borderId="5" xfId="0" applyFont="1" applyBorder="1" applyAlignment="1">
      <alignment vertical="center"/>
    </xf>
    <xf numFmtId="0" fontId="82" fillId="0" borderId="5" xfId="0" applyFont="1" applyBorder="1" applyAlignment="1">
      <alignment horizontal="center" vertical="center"/>
    </xf>
    <xf numFmtId="0" fontId="83" fillId="0" borderId="0" xfId="0" applyFont="1" applyAlignment="1">
      <alignment horizontal="center" vertical="center"/>
    </xf>
    <xf numFmtId="0" fontId="84" fillId="49" borderId="11" xfId="0" applyFont="1" applyFill="1" applyBorder="1" applyAlignment="1">
      <alignment horizontal="center" vertical="center" wrapText="1"/>
    </xf>
    <xf numFmtId="0" fontId="84" fillId="49" borderId="12" xfId="0" applyFont="1" applyFill="1" applyBorder="1" applyAlignment="1">
      <alignment horizontal="center" vertical="center" wrapText="1"/>
    </xf>
    <xf numFmtId="0" fontId="88" fillId="0" borderId="11" xfId="0" applyFont="1" applyBorder="1" applyAlignment="1">
      <alignment horizontal="left" vertical="center" wrapText="1"/>
    </xf>
    <xf numFmtId="0" fontId="88" fillId="0" borderId="19" xfId="0" applyFont="1" applyBorder="1" applyAlignment="1">
      <alignment horizontal="left" vertical="center" wrapText="1"/>
    </xf>
    <xf numFmtId="0" fontId="88" fillId="0" borderId="17" xfId="0" applyFont="1" applyBorder="1" applyAlignment="1">
      <alignment horizontal="left" vertical="center" wrapText="1"/>
    </xf>
    <xf numFmtId="0" fontId="88" fillId="0" borderId="60" xfId="0" applyFont="1" applyBorder="1" applyAlignment="1">
      <alignment horizontal="left" vertical="center" wrapText="1"/>
    </xf>
    <xf numFmtId="0" fontId="88" fillId="0" borderId="10" xfId="0" applyFont="1" applyBorder="1" applyAlignment="1">
      <alignment horizontal="left" vertical="center" wrapText="1"/>
    </xf>
    <xf numFmtId="0" fontId="88" fillId="0" borderId="59" xfId="0" applyFont="1" applyBorder="1" applyAlignment="1">
      <alignment horizontal="left" vertical="center" wrapText="1"/>
    </xf>
    <xf numFmtId="0" fontId="88" fillId="0" borderId="12" xfId="0" applyFont="1" applyBorder="1" applyAlignment="1">
      <alignment horizontal="left" vertical="center" wrapText="1"/>
    </xf>
    <xf numFmtId="0" fontId="88" fillId="0" borderId="13" xfId="0" applyFont="1" applyBorder="1" applyAlignment="1">
      <alignment horizontal="left" vertical="center" wrapText="1"/>
    </xf>
    <xf numFmtId="0" fontId="90" fillId="0" borderId="17" xfId="0" applyFont="1" applyBorder="1" applyAlignment="1">
      <alignment horizontal="left" vertical="center" wrapText="1"/>
    </xf>
    <xf numFmtId="0" fontId="90" fillId="0" borderId="10" xfId="0" applyFont="1" applyBorder="1" applyAlignment="1">
      <alignment horizontal="left" vertical="center" wrapText="1"/>
    </xf>
    <xf numFmtId="0" fontId="84" fillId="0" borderId="11" xfId="0" applyFont="1" applyBorder="1" applyAlignment="1">
      <alignment horizontal="center" vertical="center" wrapText="1"/>
    </xf>
    <xf numFmtId="0" fontId="84" fillId="0" borderId="19" xfId="0" applyFont="1" applyBorder="1" applyAlignment="1">
      <alignment horizontal="center" vertical="center" wrapText="1"/>
    </xf>
    <xf numFmtId="0" fontId="88" fillId="11" borderId="62" xfId="0" applyFont="1" applyFill="1" applyBorder="1" applyAlignment="1">
      <alignment horizontal="left" vertical="top" wrapText="1"/>
    </xf>
    <xf numFmtId="0" fontId="88" fillId="0" borderId="15" xfId="0" applyFont="1" applyBorder="1" applyAlignment="1">
      <alignment horizontal="left" vertical="top" wrapText="1"/>
    </xf>
    <xf numFmtId="0" fontId="88" fillId="0" borderId="22" xfId="0" applyFont="1" applyBorder="1" applyAlignment="1">
      <alignment horizontal="left" vertical="top" wrapText="1"/>
    </xf>
    <xf numFmtId="0" fontId="88" fillId="13" borderId="63" xfId="0" applyFont="1" applyFill="1" applyBorder="1" applyAlignment="1">
      <alignment horizontal="left" vertical="top" wrapText="1"/>
    </xf>
    <xf numFmtId="0" fontId="91" fillId="0" borderId="10" xfId="0" applyFont="1" applyBorder="1" applyAlignment="1">
      <alignment horizontal="left" vertical="top" wrapText="1"/>
    </xf>
    <xf numFmtId="0" fontId="88" fillId="0" borderId="64" xfId="0" applyFont="1" applyBorder="1" applyAlignment="1">
      <alignment horizontal="left" vertical="top" wrapText="1"/>
    </xf>
    <xf numFmtId="0" fontId="88" fillId="0" borderId="65" xfId="0" applyFont="1" applyBorder="1" applyAlignment="1">
      <alignment horizontal="left" vertical="top" wrapText="1"/>
    </xf>
    <xf numFmtId="0" fontId="88" fillId="11" borderId="59" xfId="0" applyFont="1" applyFill="1" applyBorder="1" applyAlignment="1">
      <alignment horizontal="left" vertical="top" wrapText="1"/>
    </xf>
    <xf numFmtId="0" fontId="88" fillId="0" borderId="59" xfId="0" applyFont="1" applyBorder="1" applyAlignment="1">
      <alignment horizontal="left" vertical="top" wrapText="1"/>
    </xf>
    <xf numFmtId="0" fontId="88" fillId="0" borderId="11" xfId="0" applyFont="1" applyBorder="1" applyAlignment="1">
      <alignment horizontal="left" vertical="top" wrapText="1"/>
    </xf>
    <xf numFmtId="0" fontId="88" fillId="0" borderId="12" xfId="0" applyFont="1" applyBorder="1" applyAlignment="1">
      <alignment horizontal="left" vertical="top" wrapText="1"/>
    </xf>
    <xf numFmtId="0" fontId="88" fillId="11" borderId="11" xfId="0" applyFont="1" applyFill="1" applyBorder="1" applyAlignment="1">
      <alignment horizontal="left" vertical="top" wrapText="1"/>
    </xf>
    <xf numFmtId="0" fontId="88" fillId="0" borderId="19" xfId="0" applyFont="1" applyBorder="1" applyAlignment="1">
      <alignment horizontal="left" vertical="top" wrapText="1"/>
    </xf>
    <xf numFmtId="0" fontId="88" fillId="0" borderId="66" xfId="0" applyFont="1" applyBorder="1" applyAlignment="1">
      <alignment horizontal="left" vertical="top" wrapText="1"/>
    </xf>
    <xf numFmtId="0" fontId="88" fillId="0" borderId="60" xfId="0" applyFont="1" applyBorder="1" applyAlignment="1">
      <alignment horizontal="left" vertical="top" wrapText="1"/>
    </xf>
    <xf numFmtId="0" fontId="88" fillId="0" borderId="13" xfId="0" applyFont="1" applyBorder="1" applyAlignment="1">
      <alignment horizontal="left" vertical="top" wrapText="1"/>
    </xf>
    <xf numFmtId="0" fontId="88" fillId="0" borderId="67" xfId="0" applyFont="1" applyBorder="1" applyAlignment="1">
      <alignment horizontal="left" vertical="top" wrapText="1"/>
    </xf>
    <xf numFmtId="0" fontId="91" fillId="0" borderId="16" xfId="0" applyFont="1" applyBorder="1" applyAlignment="1">
      <alignment horizontal="left" vertical="top" wrapText="1"/>
    </xf>
    <xf numFmtId="0" fontId="88" fillId="11" borderId="60" xfId="0" applyFont="1" applyFill="1" applyBorder="1" applyAlignment="1">
      <alignment horizontal="left" vertical="top" wrapText="1"/>
    </xf>
    <xf numFmtId="0" fontId="88" fillId="14" borderId="11" xfId="0" applyFont="1" applyFill="1" applyBorder="1" applyAlignment="1">
      <alignment horizontal="left" vertical="top" wrapText="1"/>
    </xf>
    <xf numFmtId="0" fontId="88" fillId="11" borderId="19" xfId="0" applyFont="1" applyFill="1" applyBorder="1" applyAlignment="1">
      <alignment horizontal="left" vertical="top" wrapText="1"/>
    </xf>
    <xf numFmtId="0" fontId="88" fillId="14" borderId="68" xfId="0" applyFont="1" applyFill="1" applyBorder="1" applyAlignment="1">
      <alignment horizontal="left" vertical="top" wrapText="1"/>
    </xf>
    <xf numFmtId="0" fontId="88" fillId="11" borderId="69" xfId="0" applyFont="1" applyFill="1" applyBorder="1" applyAlignment="1">
      <alignment horizontal="left" vertical="top" wrapText="1"/>
    </xf>
    <xf numFmtId="0" fontId="91" fillId="0" borderId="0" xfId="0" applyFont="1" applyAlignment="1">
      <alignment horizontal="left" vertical="top" wrapText="1"/>
    </xf>
    <xf numFmtId="0" fontId="88" fillId="11" borderId="10" xfId="0" applyFont="1" applyFill="1" applyBorder="1" applyAlignment="1">
      <alignment horizontal="left" vertical="top" wrapText="1"/>
    </xf>
    <xf numFmtId="0" fontId="88" fillId="13" borderId="11" xfId="0" applyFont="1" applyFill="1" applyBorder="1" applyAlignment="1">
      <alignment horizontal="left" vertical="top" wrapText="1"/>
    </xf>
    <xf numFmtId="0" fontId="88" fillId="13" borderId="12" xfId="0" applyFont="1" applyFill="1" applyBorder="1" applyAlignment="1">
      <alignment horizontal="left" vertical="top" wrapText="1"/>
    </xf>
    <xf numFmtId="0" fontId="88" fillId="0" borderId="18" xfId="0" applyFont="1" applyBorder="1" applyAlignment="1">
      <alignment horizontal="left" vertical="top" wrapText="1"/>
    </xf>
    <xf numFmtId="0" fontId="88" fillId="11" borderId="63" xfId="0" applyFont="1" applyFill="1" applyBorder="1" applyAlignment="1">
      <alignment horizontal="left" vertical="top" wrapText="1"/>
    </xf>
    <xf numFmtId="0" fontId="92" fillId="0" borderId="70" xfId="0" applyFont="1" applyBorder="1" applyAlignment="1">
      <alignment horizontal="left" vertical="top" wrapText="1"/>
    </xf>
    <xf numFmtId="0" fontId="88" fillId="54" borderId="70" xfId="0" applyFont="1" applyFill="1" applyBorder="1" applyAlignment="1">
      <alignment horizontal="left" vertical="top" wrapText="1"/>
    </xf>
    <xf numFmtId="0" fontId="88" fillId="11" borderId="71" xfId="0" applyFont="1" applyFill="1" applyBorder="1" applyAlignment="1">
      <alignment horizontal="left" vertical="top" wrapText="1"/>
    </xf>
    <xf numFmtId="0" fontId="88" fillId="11" borderId="66" xfId="0" applyFont="1" applyFill="1" applyBorder="1" applyAlignment="1">
      <alignment horizontal="left" vertical="top" wrapText="1"/>
    </xf>
    <xf numFmtId="0" fontId="88" fillId="0" borderId="71" xfId="0" applyFont="1" applyBorder="1" applyAlignment="1">
      <alignment horizontal="left" vertical="top" wrapText="1"/>
    </xf>
    <xf numFmtId="0" fontId="88" fillId="14" borderId="70" xfId="0" applyFont="1" applyFill="1" applyBorder="1" applyAlignment="1">
      <alignment horizontal="left" vertical="top" wrapText="1"/>
    </xf>
    <xf numFmtId="0" fontId="88" fillId="0" borderId="63" xfId="0" applyFont="1" applyBorder="1" applyAlignment="1">
      <alignment horizontal="left" vertical="top" wrapText="1"/>
    </xf>
    <xf numFmtId="0" fontId="88" fillId="11" borderId="72" xfId="0" applyFont="1" applyFill="1" applyBorder="1" applyAlignment="1">
      <alignment horizontal="left" vertical="top" wrapText="1"/>
    </xf>
    <xf numFmtId="0" fontId="88" fillId="0" borderId="73" xfId="0" applyFont="1" applyBorder="1" applyAlignment="1">
      <alignment horizontal="left" vertical="top" wrapText="1"/>
    </xf>
    <xf numFmtId="0" fontId="88" fillId="13" borderId="72" xfId="0" applyFont="1" applyFill="1" applyBorder="1" applyAlignment="1">
      <alignment horizontal="left" vertical="top" wrapText="1"/>
    </xf>
    <xf numFmtId="0" fontId="88" fillId="14" borderId="19" xfId="0" applyFont="1" applyFill="1" applyBorder="1" applyAlignment="1">
      <alignment horizontal="left" vertical="top" wrapText="1"/>
    </xf>
    <xf numFmtId="0" fontId="88" fillId="0" borderId="70" xfId="0" applyFont="1" applyBorder="1" applyAlignment="1">
      <alignment horizontal="left" vertical="top" wrapText="1"/>
    </xf>
    <xf numFmtId="0" fontId="88" fillId="0" borderId="74" xfId="0" applyFont="1" applyBorder="1" applyAlignment="1">
      <alignment horizontal="left" vertical="top" wrapText="1"/>
    </xf>
    <xf numFmtId="0" fontId="88" fillId="0" borderId="46" xfId="0" applyFont="1" applyBorder="1" applyAlignment="1">
      <alignment horizontal="left" vertical="top" wrapText="1"/>
    </xf>
    <xf numFmtId="0" fontId="88" fillId="0" borderId="75" xfId="0" applyFont="1" applyBorder="1" applyAlignment="1">
      <alignment horizontal="left" vertical="top" wrapText="1"/>
    </xf>
    <xf numFmtId="0" fontId="93" fillId="0" borderId="0" xfId="0" applyFont="1" applyAlignment="1">
      <alignment horizontal="left" vertical="center"/>
    </xf>
    <xf numFmtId="0" fontId="94" fillId="0" borderId="76" xfId="0" applyFont="1" applyBorder="1" applyAlignment="1">
      <alignment horizontal="left" vertical="center"/>
    </xf>
    <xf numFmtId="0" fontId="95" fillId="0" borderId="77" xfId="0" applyFont="1" applyBorder="1" applyAlignment="1">
      <alignment horizontal="left" vertical="center"/>
    </xf>
    <xf numFmtId="0" fontId="96" fillId="0" borderId="78" xfId="0" applyFont="1" applyBorder="1" applyAlignment="1">
      <alignment horizontal="left" vertical="center"/>
    </xf>
    <xf numFmtId="0" fontId="97" fillId="0" borderId="0" xfId="0" applyFont="1" applyAlignment="1">
      <alignment horizontal="left" vertical="center"/>
    </xf>
    <xf numFmtId="0" fontId="14" fillId="14" borderId="10" xfId="0" applyFont="1" applyFill="1" applyBorder="1" applyAlignment="1">
      <alignment horizontal="center" vertical="center"/>
    </xf>
    <xf numFmtId="0" fontId="6" fillId="55" borderId="10" xfId="0" applyFont="1" applyFill="1" applyBorder="1" applyAlignment="1">
      <alignment horizontal="center" vertical="center"/>
    </xf>
    <xf numFmtId="0" fontId="14" fillId="11" borderId="10" xfId="0" applyFont="1" applyFill="1" applyBorder="1" applyAlignment="1">
      <alignment horizontal="center" vertical="center"/>
    </xf>
    <xf numFmtId="49" fontId="6" fillId="11" borderId="10" xfId="0" applyNumberFormat="1" applyFont="1" applyFill="1" applyBorder="1" applyAlignment="1">
      <alignment horizontal="center" vertical="center"/>
    </xf>
    <xf numFmtId="0" fontId="6" fillId="10" borderId="10" xfId="0" applyFont="1" applyFill="1" applyBorder="1" applyAlignment="1">
      <alignment horizontal="center" vertical="center"/>
    </xf>
    <xf numFmtId="0" fontId="6" fillId="56" borderId="10" xfId="0" applyFont="1" applyFill="1" applyBorder="1" applyAlignment="1">
      <alignment horizontal="center" vertical="center"/>
    </xf>
    <xf numFmtId="0" fontId="14" fillId="56" borderId="10" xfId="0" applyFont="1" applyFill="1" applyBorder="1" applyAlignment="1">
      <alignment horizontal="center" vertical="center"/>
    </xf>
    <xf numFmtId="0" fontId="98" fillId="0" borderId="0" xfId="0" applyFont="1"/>
    <xf numFmtId="0" fontId="99" fillId="0" borderId="0" xfId="0" applyFont="1"/>
    <xf numFmtId="0" fontId="13" fillId="40" borderId="59" xfId="0" applyFont="1" applyFill="1" applyBorder="1" applyAlignment="1">
      <alignment horizontal="center" vertical="center"/>
    </xf>
    <xf numFmtId="0" fontId="13" fillId="40" borderId="11" xfId="0" applyFont="1" applyFill="1" applyBorder="1" applyAlignment="1">
      <alignment horizontal="center" vertical="center"/>
    </xf>
    <xf numFmtId="0" fontId="13" fillId="40" borderId="19" xfId="0" applyFont="1" applyFill="1" applyBorder="1" applyAlignment="1">
      <alignment horizontal="center" vertical="center"/>
    </xf>
    <xf numFmtId="0" fontId="43" fillId="0" borderId="59" xfId="0" applyFont="1" applyBorder="1" applyAlignment="1">
      <alignment horizontal="center" vertical="center"/>
    </xf>
    <xf numFmtId="0" fontId="43" fillId="0" borderId="11" xfId="0" applyFont="1" applyBorder="1" applyAlignment="1">
      <alignment horizontal="center" vertical="center"/>
    </xf>
    <xf numFmtId="0" fontId="43" fillId="0" borderId="11" xfId="0" applyFont="1" applyBorder="1" applyAlignment="1">
      <alignment vertical="center"/>
    </xf>
    <xf numFmtId="0" fontId="43" fillId="0" borderId="11" xfId="0" applyFont="1" applyBorder="1" applyAlignment="1">
      <alignment horizontal="center" vertical="center"/>
      <extLst>
        <ext xmlns:xfpb="http://schemas.microsoft.com/office/spreadsheetml/2022/featurepropertybag" uri="{C7286773-470A-42A8-94C5-96B5CB345126}">
          <xfpb:xfComplement i="0"/>
        </ext>
      </extLst>
    </xf>
    <xf numFmtId="0" fontId="43" fillId="0" borderId="19" xfId="0" applyFont="1" applyBorder="1" applyAlignment="1">
      <alignment vertical="center"/>
    </xf>
    <xf numFmtId="0" fontId="98" fillId="42" borderId="0" xfId="0" applyFont="1" applyFill="1"/>
    <xf numFmtId="0" fontId="98" fillId="57" borderId="0" xfId="0" applyFont="1" applyFill="1"/>
    <xf numFmtId="0" fontId="14" fillId="8" borderId="10" xfId="0" applyFont="1" applyFill="1" applyBorder="1" applyAlignment="1">
      <alignment horizontal="center" vertical="center"/>
    </xf>
    <xf numFmtId="0" fontId="43" fillId="0" borderId="0" xfId="0" applyFont="1" applyAlignment="1">
      <alignment horizontal="left" vertical="center"/>
    </xf>
    <xf numFmtId="0" fontId="43" fillId="0" borderId="0" xfId="0" applyFont="1" applyAlignment="1">
      <alignment horizontal="left" vertical="center" wrapText="1"/>
    </xf>
    <xf numFmtId="0" fontId="51" fillId="6" borderId="5" xfId="0" applyFont="1" applyFill="1" applyBorder="1" applyAlignment="1">
      <alignment vertical="center"/>
    </xf>
    <xf numFmtId="0" fontId="51" fillId="6" borderId="5" xfId="0" applyFont="1" applyFill="1" applyBorder="1" applyAlignment="1">
      <alignment horizontal="center" vertical="center" wrapText="1"/>
    </xf>
    <xf numFmtId="0" fontId="51" fillId="6" borderId="5" xfId="0" applyFont="1" applyFill="1" applyBorder="1" applyAlignment="1">
      <alignment vertical="center" wrapText="1"/>
    </xf>
    <xf numFmtId="0" fontId="51" fillId="6" borderId="6" xfId="0" applyFont="1" applyFill="1" applyBorder="1" applyAlignment="1">
      <alignment horizontal="left" vertical="center" wrapText="1"/>
    </xf>
    <xf numFmtId="0" fontId="51" fillId="6" borderId="12" xfId="0" applyFont="1" applyFill="1" applyBorder="1" applyAlignment="1">
      <alignment horizontal="center" vertical="center"/>
    </xf>
    <xf numFmtId="0" fontId="51" fillId="6" borderId="12" xfId="0" applyFont="1" applyFill="1" applyBorder="1" applyAlignment="1">
      <alignment horizontal="center" vertical="center" wrapText="1"/>
    </xf>
    <xf numFmtId="0" fontId="51" fillId="6" borderId="13" xfId="0" applyFont="1" applyFill="1" applyBorder="1" applyAlignment="1">
      <alignment horizontal="center" vertical="center" wrapText="1"/>
    </xf>
    <xf numFmtId="0" fontId="51" fillId="10" borderId="14" xfId="0" applyFont="1" applyFill="1" applyBorder="1" applyAlignment="1">
      <alignment horizontal="center" vertical="center" wrapText="1"/>
    </xf>
    <xf numFmtId="0" fontId="51" fillId="10" borderId="17" xfId="0" applyFont="1" applyFill="1" applyBorder="1" applyAlignment="1">
      <alignment horizontal="center" vertical="center" wrapText="1"/>
    </xf>
    <xf numFmtId="0" fontId="51" fillId="10" borderId="15" xfId="0" applyFont="1" applyFill="1" applyBorder="1" applyAlignment="1">
      <alignment horizontal="center" vertical="center" wrapText="1"/>
    </xf>
    <xf numFmtId="0" fontId="51" fillId="10" borderId="0" xfId="0" applyFont="1" applyFill="1" applyAlignment="1">
      <alignment horizontal="center" vertical="center" wrapText="1"/>
    </xf>
    <xf numFmtId="0" fontId="51" fillId="10" borderId="24" xfId="0" applyFont="1" applyFill="1" applyBorder="1" applyAlignment="1">
      <alignment horizontal="center" vertical="center" wrapText="1"/>
    </xf>
    <xf numFmtId="0" fontId="51" fillId="11" borderId="15" xfId="0" applyFont="1" applyFill="1" applyBorder="1" applyAlignment="1">
      <alignment horizontal="center" vertical="center" wrapText="1"/>
    </xf>
    <xf numFmtId="0" fontId="51" fillId="11" borderId="18" xfId="0" applyFont="1" applyFill="1" applyBorder="1" applyAlignment="1">
      <alignment horizontal="center" vertical="center" wrapText="1"/>
    </xf>
    <xf numFmtId="0" fontId="51" fillId="11" borderId="18" xfId="0" applyFont="1" applyFill="1" applyBorder="1" applyAlignment="1">
      <alignment horizontal="center" vertical="center"/>
    </xf>
    <xf numFmtId="0" fontId="51" fillId="11" borderId="46" xfId="0" applyFont="1" applyFill="1" applyBorder="1" applyAlignment="1">
      <alignment horizontal="center" vertical="center"/>
    </xf>
    <xf numFmtId="14" fontId="51" fillId="0" borderId="10" xfId="0" applyNumberFormat="1" applyFont="1" applyBorder="1" applyAlignment="1">
      <alignment horizontal="center" vertical="center"/>
    </xf>
    <xf numFmtId="0" fontId="19" fillId="36" borderId="4" xfId="0" applyFont="1" applyFill="1" applyBorder="1" applyAlignment="1">
      <alignment horizontal="center" vertical="center"/>
    </xf>
    <xf numFmtId="0" fontId="100" fillId="22" borderId="25" xfId="0" applyFont="1" applyFill="1" applyBorder="1" applyAlignment="1">
      <alignment horizontal="center" vertical="center" wrapText="1"/>
    </xf>
    <xf numFmtId="0" fontId="101" fillId="0" borderId="0" xfId="0" applyFont="1" applyAlignment="1">
      <alignment horizontal="center" vertical="center" wrapText="1"/>
    </xf>
    <xf numFmtId="0" fontId="102" fillId="0" borderId="0" xfId="0" applyFont="1"/>
    <xf numFmtId="0" fontId="103" fillId="23" borderId="0" xfId="0" applyFont="1" applyFill="1" applyAlignment="1">
      <alignment horizontal="center" vertical="center" wrapText="1"/>
    </xf>
    <xf numFmtId="0" fontId="101" fillId="23" borderId="0" xfId="0" applyFont="1" applyFill="1" applyAlignment="1">
      <alignment horizontal="center" vertical="center"/>
    </xf>
    <xf numFmtId="0" fontId="101" fillId="0" borderId="0" xfId="0" applyFont="1" applyAlignment="1">
      <alignment horizontal="center" vertical="center"/>
    </xf>
    <xf numFmtId="0" fontId="101" fillId="0" borderId="33" xfId="0" applyFont="1" applyBorder="1" applyAlignment="1">
      <alignment horizontal="center" vertical="center"/>
    </xf>
    <xf numFmtId="0" fontId="101" fillId="0" borderId="30" xfId="0" applyFont="1" applyBorder="1" applyAlignment="1">
      <alignment horizontal="center" vertical="center" wrapText="1"/>
    </xf>
    <xf numFmtId="0" fontId="101" fillId="0" borderId="31" xfId="0" applyFont="1" applyBorder="1" applyAlignment="1">
      <alignment horizontal="center" vertical="center"/>
    </xf>
    <xf numFmtId="0" fontId="101" fillId="0" borderId="0" xfId="12" applyFont="1"/>
    <xf numFmtId="0" fontId="105" fillId="0" borderId="0" xfId="0" applyFont="1" applyAlignment="1">
      <alignment readingOrder="1"/>
    </xf>
    <xf numFmtId="0" fontId="101" fillId="48" borderId="0" xfId="12" applyFont="1" applyFill="1"/>
    <xf numFmtId="0" fontId="101" fillId="0" borderId="0" xfId="12" applyFont="1" applyAlignment="1">
      <alignment wrapText="1"/>
    </xf>
    <xf numFmtId="0" fontId="104" fillId="0" borderId="0" xfId="0" applyFont="1"/>
    <xf numFmtId="0" fontId="101" fillId="46" borderId="0" xfId="12" applyFont="1" applyFill="1"/>
    <xf numFmtId="0" fontId="101" fillId="47" borderId="0" xfId="12" applyFont="1" applyFill="1"/>
    <xf numFmtId="0" fontId="106" fillId="0" borderId="0" xfId="0" applyFont="1" applyAlignment="1">
      <alignment vertical="center" wrapText="1"/>
    </xf>
    <xf numFmtId="0" fontId="101" fillId="13" borderId="0" xfId="12" applyFont="1" applyFill="1"/>
    <xf numFmtId="0" fontId="101" fillId="0" borderId="0" xfId="0" applyFont="1" applyAlignment="1">
      <alignment wrapText="1"/>
    </xf>
    <xf numFmtId="0" fontId="106" fillId="47" borderId="0" xfId="0" applyFont="1" applyFill="1" applyAlignment="1">
      <alignment vertical="center" wrapText="1"/>
    </xf>
    <xf numFmtId="0" fontId="106" fillId="13" borderId="0" xfId="0" applyFont="1" applyFill="1" applyAlignment="1">
      <alignment vertical="center" wrapText="1"/>
    </xf>
    <xf numFmtId="0" fontId="104" fillId="47" borderId="0" xfId="0" applyFont="1" applyFill="1" applyAlignment="1">
      <alignment vertical="center" wrapText="1"/>
    </xf>
    <xf numFmtId="0" fontId="104" fillId="0" borderId="0" xfId="12" applyFont="1"/>
    <xf numFmtId="0" fontId="104" fillId="0" borderId="0" xfId="0" applyFont="1" applyAlignment="1">
      <alignment vertical="center" wrapText="1"/>
    </xf>
    <xf numFmtId="0" fontId="104" fillId="0" borderId="0" xfId="0" applyFont="1" applyAlignment="1">
      <alignment vertical="center"/>
    </xf>
    <xf numFmtId="0" fontId="104" fillId="15" borderId="0" xfId="0" applyFont="1" applyFill="1"/>
    <xf numFmtId="0" fontId="104" fillId="15" borderId="0" xfId="0" applyFont="1" applyFill="1" applyAlignment="1">
      <alignment wrapText="1"/>
    </xf>
    <xf numFmtId="0" fontId="104" fillId="0" borderId="0" xfId="12" applyFont="1" applyAlignment="1">
      <alignment wrapText="1"/>
    </xf>
    <xf numFmtId="0" fontId="101" fillId="48" borderId="8" xfId="0" applyFont="1" applyFill="1" applyBorder="1"/>
    <xf numFmtId="0" fontId="102" fillId="0" borderId="8" xfId="0" applyFont="1" applyBorder="1"/>
    <xf numFmtId="0" fontId="101" fillId="0" borderId="8" xfId="0" applyFont="1" applyBorder="1" applyAlignment="1">
      <alignment wrapText="1"/>
    </xf>
    <xf numFmtId="0" fontId="101" fillId="0" borderId="8" xfId="12" applyFont="1" applyBorder="1"/>
    <xf numFmtId="0" fontId="101" fillId="0" borderId="0" xfId="0" applyFont="1"/>
    <xf numFmtId="0" fontId="101" fillId="48" borderId="0" xfId="0" applyFont="1" applyFill="1"/>
    <xf numFmtId="0" fontId="104" fillId="48" borderId="0" xfId="12" applyFont="1" applyFill="1"/>
    <xf numFmtId="0" fontId="101" fillId="47" borderId="0" xfId="0" applyFont="1" applyFill="1"/>
    <xf numFmtId="0" fontId="104" fillId="0" borderId="0" xfId="0" applyFont="1" applyAlignment="1">
      <alignment horizontal="left" vertical="top" wrapText="1"/>
    </xf>
    <xf numFmtId="0" fontId="107" fillId="48" borderId="0" xfId="0" applyFont="1" applyFill="1"/>
    <xf numFmtId="0" fontId="104" fillId="0" borderId="0" xfId="0" applyFont="1" applyAlignment="1">
      <alignment wrapText="1"/>
    </xf>
    <xf numFmtId="0" fontId="107" fillId="0" borderId="0" xfId="0" applyFont="1"/>
    <xf numFmtId="0" fontId="105" fillId="0" borderId="8" xfId="0" applyFont="1" applyBorder="1" applyAlignment="1">
      <alignment readingOrder="1"/>
    </xf>
    <xf numFmtId="0" fontId="101" fillId="0" borderId="0" xfId="0" applyFont="1" applyAlignment="1">
      <alignment horizontal="left" vertical="top" wrapText="1"/>
    </xf>
    <xf numFmtId="0" fontId="106" fillId="15" borderId="0" xfId="0" applyFont="1" applyFill="1" applyAlignment="1">
      <alignment wrapText="1"/>
    </xf>
    <xf numFmtId="0" fontId="101" fillId="0" borderId="0" xfId="0" applyFont="1" applyAlignment="1">
      <alignment horizontal="left" wrapText="1"/>
    </xf>
    <xf numFmtId="0" fontId="104" fillId="15" borderId="8" xfId="1" applyFont="1" applyFill="1" applyBorder="1" applyAlignment="1">
      <alignment horizontal="left" vertical="top" wrapText="1" readingOrder="1"/>
    </xf>
    <xf numFmtId="0" fontId="101" fillId="0" borderId="8" xfId="0" applyFont="1" applyBorder="1"/>
    <xf numFmtId="0" fontId="14" fillId="20" borderId="10" xfId="0" applyFont="1" applyFill="1" applyBorder="1" applyAlignment="1">
      <alignment horizontal="center" vertical="center"/>
    </xf>
    <xf numFmtId="0" fontId="110" fillId="15" borderId="0" xfId="0" applyFont="1" applyFill="1" applyAlignment="1">
      <alignment wrapText="1"/>
    </xf>
    <xf numFmtId="0" fontId="102" fillId="47" borderId="0" xfId="0" applyFont="1" applyFill="1"/>
    <xf numFmtId="0" fontId="104" fillId="0" borderId="0" xfId="0" applyFont="1" applyAlignment="1">
      <alignment readingOrder="1"/>
    </xf>
    <xf numFmtId="0" fontId="104" fillId="0" borderId="0" xfId="1" applyFont="1"/>
    <xf numFmtId="0" fontId="108" fillId="0" borderId="0" xfId="0" applyFont="1" applyAlignment="1">
      <alignment vertical="top" wrapText="1"/>
    </xf>
    <xf numFmtId="9" fontId="0" fillId="0" borderId="0" xfId="0" applyNumberFormat="1"/>
    <xf numFmtId="0" fontId="6" fillId="0" borderId="82" xfId="0" applyFont="1" applyBorder="1" applyAlignment="1">
      <alignment horizontal="center" vertical="center"/>
    </xf>
    <xf numFmtId="0" fontId="6" fillId="0" borderId="82" xfId="0" applyFont="1" applyBorder="1" applyAlignment="1">
      <alignment vertical="center"/>
    </xf>
    <xf numFmtId="0" fontId="112" fillId="0" borderId="82" xfId="0" applyFont="1" applyBorder="1" applyAlignment="1">
      <alignment vertical="center"/>
    </xf>
    <xf numFmtId="14" fontId="112" fillId="0" borderId="82" xfId="0" applyNumberFormat="1" applyFont="1" applyBorder="1" applyAlignment="1">
      <alignment horizontal="center" vertical="center"/>
    </xf>
    <xf numFmtId="9" fontId="6" fillId="0" borderId="81" xfId="0" applyNumberFormat="1" applyFont="1" applyBorder="1" applyAlignment="1">
      <alignment horizontal="center" vertical="center"/>
    </xf>
    <xf numFmtId="0" fontId="112" fillId="0" borderId="83" xfId="0" applyFont="1" applyBorder="1" applyAlignment="1">
      <alignment vertical="center"/>
    </xf>
    <xf numFmtId="180" fontId="6" fillId="0" borderId="80" xfId="0" applyNumberFormat="1" applyFont="1" applyBorder="1" applyAlignment="1">
      <alignment horizontal="center" vertical="center"/>
    </xf>
    <xf numFmtId="14" fontId="112" fillId="0" borderId="81" xfId="0" applyNumberFormat="1" applyFont="1" applyBorder="1" applyAlignment="1">
      <alignment horizontal="center" vertical="center"/>
    </xf>
    <xf numFmtId="0" fontId="6" fillId="0" borderId="83" xfId="0" applyFont="1" applyBorder="1" applyAlignment="1">
      <alignment horizontal="center" vertical="center"/>
    </xf>
    <xf numFmtId="14" fontId="112" fillId="0" borderId="80" xfId="0" applyNumberFormat="1" applyFont="1" applyBorder="1" applyAlignment="1">
      <alignment horizontal="center" vertical="center"/>
    </xf>
    <xf numFmtId="14" fontId="112" fillId="0" borderId="83" xfId="0" applyNumberFormat="1" applyFont="1" applyBorder="1" applyAlignment="1">
      <alignment horizontal="center" vertical="center"/>
    </xf>
    <xf numFmtId="14" fontId="6" fillId="0" borderId="82" xfId="0" applyNumberFormat="1" applyFont="1" applyBorder="1" applyAlignment="1">
      <alignment vertical="center"/>
    </xf>
    <xf numFmtId="0" fontId="112" fillId="0" borderId="80" xfId="0" applyFont="1" applyBorder="1" applyAlignment="1">
      <alignment vertical="center"/>
    </xf>
    <xf numFmtId="0" fontId="6" fillId="0" borderId="84" xfId="0" applyFont="1" applyBorder="1"/>
    <xf numFmtId="0" fontId="6" fillId="0" borderId="82" xfId="0" applyFont="1" applyBorder="1"/>
    <xf numFmtId="0" fontId="7" fillId="0" borderId="82" xfId="0" applyFont="1" applyBorder="1" applyAlignment="1">
      <alignment horizontal="center"/>
    </xf>
    <xf numFmtId="0" fontId="115" fillId="0" borderId="82" xfId="0" applyFont="1" applyBorder="1" applyAlignment="1">
      <alignment vertical="center"/>
    </xf>
    <xf numFmtId="0" fontId="113" fillId="0" borderId="82" xfId="0" applyFont="1" applyBorder="1" applyAlignment="1">
      <alignment vertical="center"/>
    </xf>
    <xf numFmtId="0" fontId="112" fillId="0" borderId="82" xfId="0" applyFont="1" applyBorder="1" applyAlignment="1">
      <alignment horizontal="center" vertical="center"/>
    </xf>
    <xf numFmtId="0" fontId="113" fillId="0" borderId="80" xfId="0" applyFont="1" applyBorder="1" applyAlignment="1">
      <alignment vertical="center"/>
    </xf>
    <xf numFmtId="0" fontId="40" fillId="63" borderId="82" xfId="0" applyFont="1" applyFill="1" applyBorder="1" applyAlignment="1">
      <alignment horizontal="center" vertical="center" wrapText="1"/>
    </xf>
    <xf numFmtId="0" fontId="40" fillId="63" borderId="80" xfId="0" applyFont="1" applyFill="1" applyBorder="1" applyAlignment="1">
      <alignment horizontal="center" vertical="center" wrapText="1"/>
    </xf>
    <xf numFmtId="0" fontId="40" fillId="63" borderId="83" xfId="0" applyFont="1" applyFill="1" applyBorder="1" applyAlignment="1">
      <alignment horizontal="center" vertical="center" wrapText="1"/>
    </xf>
    <xf numFmtId="0" fontId="40" fillId="64" borderId="81" xfId="0" applyFont="1" applyFill="1" applyBorder="1" applyAlignment="1">
      <alignment horizontal="center" vertical="center" wrapText="1"/>
    </xf>
    <xf numFmtId="0" fontId="40" fillId="64" borderId="82" xfId="0" applyFont="1" applyFill="1" applyBorder="1" applyAlignment="1">
      <alignment horizontal="center" vertical="center" wrapText="1"/>
    </xf>
    <xf numFmtId="0" fontId="40" fillId="64" borderId="80" xfId="0" applyFont="1" applyFill="1" applyBorder="1" applyAlignment="1">
      <alignment horizontal="center" vertical="center" wrapText="1"/>
    </xf>
    <xf numFmtId="0" fontId="40" fillId="64" borderId="83" xfId="0" applyFont="1" applyFill="1" applyBorder="1" applyAlignment="1">
      <alignment horizontal="center" vertical="center" wrapText="1"/>
    </xf>
    <xf numFmtId="0" fontId="40" fillId="65" borderId="81" xfId="0" applyFont="1" applyFill="1" applyBorder="1" applyAlignment="1">
      <alignment horizontal="center" vertical="center" wrapText="1"/>
    </xf>
    <xf numFmtId="0" fontId="40" fillId="65" borderId="82" xfId="0" applyFont="1" applyFill="1" applyBorder="1" applyAlignment="1">
      <alignment horizontal="center" vertical="center" wrapText="1"/>
    </xf>
    <xf numFmtId="0" fontId="40" fillId="65" borderId="80" xfId="0" applyFont="1" applyFill="1" applyBorder="1" applyAlignment="1">
      <alignment horizontal="center" vertical="center" wrapText="1"/>
    </xf>
    <xf numFmtId="0" fontId="40" fillId="65" borderId="83" xfId="0" applyFont="1" applyFill="1" applyBorder="1" applyAlignment="1">
      <alignment horizontal="center" vertical="center" wrapText="1"/>
    </xf>
    <xf numFmtId="0" fontId="40" fillId="66" borderId="81" xfId="0" applyFont="1" applyFill="1" applyBorder="1" applyAlignment="1">
      <alignment horizontal="center" vertical="center" wrapText="1"/>
    </xf>
    <xf numFmtId="0" fontId="40" fillId="66" borderId="82" xfId="0" applyFont="1" applyFill="1" applyBorder="1" applyAlignment="1">
      <alignment horizontal="center" vertical="center" wrapText="1"/>
    </xf>
    <xf numFmtId="0" fontId="40" fillId="66" borderId="80" xfId="0" applyFont="1" applyFill="1" applyBorder="1" applyAlignment="1">
      <alignment horizontal="center" vertical="center" wrapText="1"/>
    </xf>
    <xf numFmtId="0" fontId="40" fillId="66" borderId="84" xfId="0" applyFont="1" applyFill="1" applyBorder="1" applyAlignment="1">
      <alignment horizontal="center" vertical="center" wrapText="1"/>
    </xf>
    <xf numFmtId="0" fontId="111" fillId="58" borderId="0" xfId="0" applyFont="1" applyFill="1" applyAlignment="1">
      <alignment vertical="center"/>
    </xf>
    <xf numFmtId="0" fontId="13" fillId="59" borderId="0" xfId="0" applyFont="1" applyFill="1" applyAlignment="1">
      <alignment horizontal="center"/>
    </xf>
    <xf numFmtId="0" fontId="13" fillId="60" borderId="0" xfId="0" applyFont="1" applyFill="1" applyAlignment="1">
      <alignment horizontal="center"/>
    </xf>
    <xf numFmtId="0" fontId="13" fillId="61" borderId="0" xfId="0" applyFont="1" applyFill="1" applyAlignment="1">
      <alignment horizontal="center"/>
    </xf>
    <xf numFmtId="0" fontId="13" fillId="62" borderId="0" xfId="0" applyFont="1" applyFill="1" applyAlignment="1">
      <alignment horizontal="center"/>
    </xf>
    <xf numFmtId="0" fontId="114" fillId="0" borderId="0" xfId="0" applyFont="1" applyAlignment="1">
      <alignment wrapText="1"/>
    </xf>
    <xf numFmtId="0" fontId="41" fillId="58" borderId="82" xfId="0" applyFont="1" applyFill="1" applyBorder="1" applyAlignment="1">
      <alignment horizontal="center"/>
    </xf>
    <xf numFmtId="0" fontId="13" fillId="63" borderId="0" xfId="0" applyFont="1" applyFill="1" applyAlignment="1">
      <alignment horizontal="center"/>
    </xf>
    <xf numFmtId="0" fontId="65" fillId="45" borderId="0" xfId="0" applyFont="1" applyFill="1" applyAlignment="1">
      <alignment horizontal="center" vertical="center"/>
    </xf>
    <xf numFmtId="0" fontId="0" fillId="45" borderId="0" xfId="0" applyFill="1" applyAlignment="1">
      <alignment vertical="center"/>
    </xf>
    <xf numFmtId="0" fontId="0" fillId="45" borderId="55" xfId="0" applyFill="1" applyBorder="1" applyAlignment="1">
      <alignment vertical="center"/>
    </xf>
    <xf numFmtId="0" fontId="66" fillId="44" borderId="49" xfId="0" applyFont="1" applyFill="1" applyBorder="1" applyAlignment="1">
      <alignment horizontal="center" vertical="center"/>
    </xf>
    <xf numFmtId="0" fontId="0" fillId="44" borderId="47" xfId="0" applyFill="1" applyBorder="1" applyAlignment="1">
      <alignment vertical="center"/>
    </xf>
    <xf numFmtId="0" fontId="0" fillId="44" borderId="52" xfId="0" applyFill="1" applyBorder="1" applyAlignment="1">
      <alignment vertical="center"/>
    </xf>
    <xf numFmtId="0" fontId="67" fillId="44" borderId="50" xfId="0" applyFont="1" applyFill="1" applyBorder="1" applyAlignment="1">
      <alignment horizontal="center" vertical="center"/>
    </xf>
    <xf numFmtId="0" fontId="0" fillId="44" borderId="0" xfId="0" applyFill="1" applyAlignment="1">
      <alignment vertical="center"/>
    </xf>
    <xf numFmtId="0" fontId="0" fillId="44" borderId="53" xfId="0" applyFill="1" applyBorder="1" applyAlignment="1">
      <alignment vertical="center"/>
    </xf>
    <xf numFmtId="0" fontId="0" fillId="44" borderId="50" xfId="0" applyFill="1" applyBorder="1" applyAlignment="1">
      <alignment vertical="center"/>
    </xf>
    <xf numFmtId="0" fontId="0" fillId="44" borderId="51" xfId="0" applyFill="1" applyBorder="1" applyAlignment="1">
      <alignment vertical="center"/>
    </xf>
    <xf numFmtId="0" fontId="0" fillId="44" borderId="48" xfId="0" applyFill="1" applyBorder="1" applyAlignment="1">
      <alignment vertical="center"/>
    </xf>
    <xf numFmtId="0" fontId="0" fillId="44" borderId="54" xfId="0" applyFill="1" applyBorder="1" applyAlignment="1">
      <alignment vertical="center"/>
    </xf>
    <xf numFmtId="0" fontId="68" fillId="44" borderId="50" xfId="0" applyFont="1" applyFill="1" applyBorder="1" applyAlignment="1">
      <alignment horizontal="center" vertical="center"/>
    </xf>
    <xf numFmtId="0" fontId="69" fillId="44" borderId="50" xfId="0" applyFont="1" applyFill="1" applyBorder="1" applyAlignment="1">
      <alignment horizontal="center" vertical="center"/>
    </xf>
    <xf numFmtId="0" fontId="65" fillId="44" borderId="50" xfId="0" applyFont="1" applyFill="1" applyBorder="1" applyAlignment="1">
      <alignment horizontal="center" vertical="center"/>
    </xf>
    <xf numFmtId="0" fontId="79" fillId="45" borderId="0" xfId="0" applyFont="1" applyFill="1" applyAlignment="1">
      <alignment horizontal="left" vertical="center"/>
    </xf>
    <xf numFmtId="0" fontId="66" fillId="44" borderId="47" xfId="0" applyFont="1" applyFill="1" applyBorder="1" applyAlignment="1">
      <alignment horizontal="center" vertical="center"/>
    </xf>
    <xf numFmtId="0" fontId="66" fillId="44" borderId="52" xfId="0" applyFont="1" applyFill="1" applyBorder="1" applyAlignment="1">
      <alignment horizontal="center" vertical="center"/>
    </xf>
    <xf numFmtId="3" fontId="68" fillId="44" borderId="50" xfId="0" applyNumberFormat="1" applyFont="1" applyFill="1" applyBorder="1" applyAlignment="1">
      <alignment horizontal="center" vertical="center"/>
    </xf>
    <xf numFmtId="0" fontId="68" fillId="44" borderId="0" xfId="0" applyFont="1" applyFill="1" applyAlignment="1">
      <alignment horizontal="center" vertical="center"/>
    </xf>
    <xf numFmtId="0" fontId="68" fillId="44" borderId="53" xfId="0" applyFont="1" applyFill="1" applyBorder="1" applyAlignment="1">
      <alignment horizontal="center" vertical="center"/>
    </xf>
    <xf numFmtId="0" fontId="68" fillId="44" borderId="51" xfId="0" applyFont="1" applyFill="1" applyBorder="1" applyAlignment="1">
      <alignment horizontal="center" vertical="center"/>
    </xf>
    <xf numFmtId="0" fontId="68" fillId="44" borderId="48" xfId="0" applyFont="1" applyFill="1" applyBorder="1" applyAlignment="1">
      <alignment horizontal="center" vertical="center"/>
    </xf>
    <xf numFmtId="0" fontId="68" fillId="44" borderId="54" xfId="0" applyFont="1" applyFill="1" applyBorder="1" applyAlignment="1">
      <alignment horizontal="center" vertical="center"/>
    </xf>
    <xf numFmtId="3" fontId="69" fillId="44" borderId="50" xfId="0" applyNumberFormat="1" applyFont="1" applyFill="1" applyBorder="1" applyAlignment="1">
      <alignment horizontal="center" vertical="center"/>
    </xf>
    <xf numFmtId="0" fontId="69" fillId="44" borderId="0" xfId="0" applyFont="1" applyFill="1" applyAlignment="1">
      <alignment horizontal="center" vertical="center"/>
    </xf>
    <xf numFmtId="0" fontId="69" fillId="44" borderId="53" xfId="0" applyFont="1" applyFill="1" applyBorder="1" applyAlignment="1">
      <alignment horizontal="center" vertical="center"/>
    </xf>
    <xf numFmtId="0" fontId="69" fillId="44" borderId="51" xfId="0" applyFont="1" applyFill="1" applyBorder="1" applyAlignment="1">
      <alignment horizontal="center" vertical="center"/>
    </xf>
    <xf numFmtId="0" fontId="69" fillId="44" borderId="48" xfId="0" applyFont="1" applyFill="1" applyBorder="1" applyAlignment="1">
      <alignment horizontal="center" vertical="center"/>
    </xf>
    <xf numFmtId="0" fontId="69" fillId="44" borderId="54" xfId="0" applyFont="1" applyFill="1" applyBorder="1" applyAlignment="1">
      <alignment horizontal="center" vertical="center"/>
    </xf>
    <xf numFmtId="3" fontId="71" fillId="44" borderId="50" xfId="0" applyNumberFormat="1" applyFont="1" applyFill="1" applyBorder="1" applyAlignment="1">
      <alignment horizontal="center" vertical="center"/>
    </xf>
    <xf numFmtId="0" fontId="71" fillId="44" borderId="0" xfId="0" applyFont="1" applyFill="1" applyAlignment="1">
      <alignment horizontal="center" vertical="center"/>
    </xf>
    <xf numFmtId="0" fontId="71" fillId="44" borderId="53" xfId="0" applyFont="1" applyFill="1" applyBorder="1" applyAlignment="1">
      <alignment horizontal="center" vertical="center"/>
    </xf>
    <xf numFmtId="0" fontId="71" fillId="44" borderId="50" xfId="0" applyFont="1" applyFill="1" applyBorder="1" applyAlignment="1">
      <alignment horizontal="center" vertical="center"/>
    </xf>
    <xf numFmtId="0" fontId="71" fillId="44" borderId="51" xfId="0" applyFont="1" applyFill="1" applyBorder="1" applyAlignment="1">
      <alignment horizontal="center" vertical="center"/>
    </xf>
    <xf numFmtId="0" fontId="71" fillId="44" borderId="48" xfId="0" applyFont="1" applyFill="1" applyBorder="1" applyAlignment="1">
      <alignment horizontal="center" vertical="center"/>
    </xf>
    <xf numFmtId="0" fontId="71" fillId="44" borderId="54" xfId="0" applyFont="1" applyFill="1" applyBorder="1" applyAlignment="1">
      <alignment horizontal="center" vertical="center"/>
    </xf>
    <xf numFmtId="0" fontId="74" fillId="45" borderId="50" xfId="0" applyFont="1" applyFill="1" applyBorder="1" applyAlignment="1">
      <alignment horizontal="left" vertical="center"/>
    </xf>
    <xf numFmtId="0" fontId="74" fillId="45" borderId="0" xfId="0" applyFont="1" applyFill="1" applyAlignment="1">
      <alignment horizontal="left" vertical="center"/>
    </xf>
    <xf numFmtId="0" fontId="77" fillId="45" borderId="57" xfId="0" applyFont="1" applyFill="1" applyBorder="1" applyAlignment="1">
      <alignment horizontal="left" vertical="center"/>
    </xf>
    <xf numFmtId="0" fontId="77" fillId="45" borderId="56" xfId="0" applyFont="1" applyFill="1" applyBorder="1" applyAlignment="1">
      <alignment horizontal="left" vertical="center"/>
    </xf>
    <xf numFmtId="3" fontId="65" fillId="44" borderId="50" xfId="0" applyNumberFormat="1" applyFont="1" applyFill="1" applyBorder="1" applyAlignment="1">
      <alignment horizontal="center" vertical="center"/>
    </xf>
    <xf numFmtId="0" fontId="65" fillId="44" borderId="0" xfId="0" applyFont="1" applyFill="1" applyAlignment="1">
      <alignment horizontal="center" vertical="center"/>
    </xf>
    <xf numFmtId="0" fontId="65" fillId="44" borderId="53" xfId="0" applyFont="1" applyFill="1" applyBorder="1" applyAlignment="1">
      <alignment horizontal="center" vertical="center"/>
    </xf>
    <xf numFmtId="0" fontId="65" fillId="44" borderId="51" xfId="0" applyFont="1" applyFill="1" applyBorder="1" applyAlignment="1">
      <alignment horizontal="center" vertical="center"/>
    </xf>
    <xf numFmtId="0" fontId="65" fillId="44" borderId="48" xfId="0" applyFont="1" applyFill="1" applyBorder="1" applyAlignment="1">
      <alignment horizontal="center" vertical="center"/>
    </xf>
    <xf numFmtId="0" fontId="65" fillId="44" borderId="54" xfId="0" applyFont="1" applyFill="1" applyBorder="1" applyAlignment="1">
      <alignment horizontal="center" vertical="center"/>
    </xf>
    <xf numFmtId="0" fontId="72" fillId="45" borderId="0" xfId="0" applyFont="1" applyFill="1" applyAlignment="1">
      <alignment horizontal="left" vertical="center"/>
    </xf>
    <xf numFmtId="0" fontId="73" fillId="44" borderId="49" xfId="0" applyFont="1" applyFill="1" applyBorder="1" applyAlignment="1">
      <alignment horizontal="left" vertical="center"/>
    </xf>
    <xf numFmtId="0" fontId="73" fillId="44" borderId="47" xfId="0" applyFont="1" applyFill="1" applyBorder="1" applyAlignment="1">
      <alignment horizontal="left" vertical="center"/>
    </xf>
    <xf numFmtId="0" fontId="116" fillId="58" borderId="0" xfId="0" applyFont="1" applyFill="1" applyAlignment="1">
      <alignment vertical="center"/>
    </xf>
    <xf numFmtId="0" fontId="89" fillId="52" borderId="19" xfId="0" applyFont="1" applyFill="1" applyBorder="1" applyAlignment="1">
      <alignment horizontal="center" vertical="center" wrapText="1"/>
    </xf>
    <xf numFmtId="0" fontId="89" fillId="52" borderId="61" xfId="0" applyFont="1" applyFill="1" applyBorder="1" applyAlignment="1">
      <alignment horizontal="center" vertical="center" wrapText="1"/>
    </xf>
    <xf numFmtId="0" fontId="89" fillId="53" borderId="19" xfId="0" applyFont="1" applyFill="1" applyBorder="1" applyAlignment="1">
      <alignment horizontal="center" vertical="center" wrapText="1"/>
    </xf>
    <xf numFmtId="0" fontId="89" fillId="53" borderId="61" xfId="0" applyFont="1" applyFill="1" applyBorder="1" applyAlignment="1">
      <alignment horizontal="center" vertical="center" wrapText="1"/>
    </xf>
    <xf numFmtId="0" fontId="81" fillId="0" borderId="5" xfId="0" applyFont="1" applyBorder="1" applyAlignment="1">
      <alignment horizontal="center" vertical="center"/>
    </xf>
    <xf numFmtId="0" fontId="85" fillId="8" borderId="19" xfId="0" applyFont="1" applyFill="1" applyBorder="1" applyAlignment="1">
      <alignment horizontal="center" vertical="center" wrapText="1"/>
    </xf>
    <xf numFmtId="0" fontId="87" fillId="8" borderId="59" xfId="0" applyFont="1" applyFill="1" applyBorder="1" applyAlignment="1">
      <alignment horizontal="center" vertical="center" wrapText="1"/>
    </xf>
    <xf numFmtId="0" fontId="88" fillId="0" borderId="17" xfId="0" applyFont="1" applyBorder="1" applyAlignment="1">
      <alignment horizontal="left" vertical="center" wrapText="1"/>
    </xf>
    <xf numFmtId="0" fontId="85" fillId="6" borderId="19" xfId="0" applyFont="1" applyFill="1" applyBorder="1" applyAlignment="1">
      <alignment horizontal="center" vertical="center" wrapText="1"/>
    </xf>
    <xf numFmtId="0" fontId="87" fillId="6" borderId="59" xfId="0" applyFont="1" applyFill="1" applyBorder="1" applyAlignment="1">
      <alignment horizontal="center" vertical="center" wrapText="1"/>
    </xf>
    <xf numFmtId="0" fontId="88" fillId="0" borderId="19" xfId="0" applyFont="1" applyBorder="1" applyAlignment="1">
      <alignment horizontal="left" vertical="center" wrapText="1"/>
    </xf>
    <xf numFmtId="0" fontId="88" fillId="0" borderId="60" xfId="0" applyFont="1" applyBorder="1" applyAlignment="1">
      <alignment horizontal="left" vertical="center" wrapText="1"/>
    </xf>
    <xf numFmtId="0" fontId="85" fillId="50" borderId="19" xfId="0" applyFont="1" applyFill="1" applyBorder="1" applyAlignment="1">
      <alignment horizontal="center" vertical="center" wrapText="1"/>
    </xf>
    <xf numFmtId="0" fontId="87" fillId="50" borderId="59" xfId="0" applyFont="1" applyFill="1" applyBorder="1" applyAlignment="1">
      <alignment horizontal="center" vertical="center" wrapText="1"/>
    </xf>
    <xf numFmtId="0" fontId="89" fillId="51" borderId="19" xfId="0" applyFont="1" applyFill="1" applyBorder="1" applyAlignment="1">
      <alignment horizontal="center" vertical="center" wrapText="1"/>
    </xf>
    <xf numFmtId="0" fontId="89" fillId="51" borderId="61" xfId="0" applyFont="1" applyFill="1" applyBorder="1" applyAlignment="1">
      <alignment horizontal="center" vertical="center" wrapText="1"/>
    </xf>
    <xf numFmtId="0" fontId="51" fillId="10" borderId="7" xfId="0" applyFont="1" applyFill="1" applyBorder="1" applyAlignment="1">
      <alignment horizontal="center" vertical="center"/>
    </xf>
    <xf numFmtId="0" fontId="51" fillId="10" borderId="8" xfId="0" applyFont="1" applyFill="1" applyBorder="1" applyAlignment="1">
      <alignment horizontal="center" vertical="center"/>
    </xf>
    <xf numFmtId="0" fontId="51" fillId="10" borderId="9" xfId="0" applyFont="1" applyFill="1" applyBorder="1" applyAlignment="1">
      <alignment horizontal="center" vertical="center"/>
    </xf>
    <xf numFmtId="0" fontId="51" fillId="11" borderId="10" xfId="0" applyFont="1" applyFill="1" applyBorder="1" applyAlignment="1">
      <alignment horizontal="center" vertical="center"/>
    </xf>
    <xf numFmtId="0" fontId="51" fillId="11" borderId="7" xfId="0" applyFont="1" applyFill="1" applyBorder="1" applyAlignment="1">
      <alignment horizontal="center" vertical="center"/>
    </xf>
    <xf numFmtId="0" fontId="55" fillId="42" borderId="10" xfId="0" applyFont="1" applyFill="1" applyBorder="1" applyAlignment="1">
      <alignment horizontal="center" vertical="center" wrapText="1"/>
    </xf>
    <xf numFmtId="0" fontId="51" fillId="42" borderId="2" xfId="0" applyFont="1" applyFill="1" applyBorder="1" applyAlignment="1">
      <alignment horizontal="center"/>
    </xf>
    <xf numFmtId="0" fontId="29" fillId="0" borderId="10" xfId="0" applyFont="1" applyBorder="1" applyAlignment="1">
      <alignment horizontal="center" vertical="center" wrapText="1"/>
    </xf>
    <xf numFmtId="0" fontId="29" fillId="0" borderId="10" xfId="0" applyFont="1" applyBorder="1" applyAlignment="1">
      <alignment horizontal="center" vertical="center"/>
    </xf>
    <xf numFmtId="0" fontId="29" fillId="7" borderId="2" xfId="0" applyFont="1" applyFill="1" applyBorder="1" applyAlignment="1">
      <alignment horizontal="center" vertical="center"/>
    </xf>
    <xf numFmtId="0" fontId="29" fillId="7" borderId="3" xfId="0" applyFont="1" applyFill="1" applyBorder="1" applyAlignment="1">
      <alignment horizontal="center" vertical="center"/>
    </xf>
    <xf numFmtId="0" fontId="29" fillId="0" borderId="17" xfId="0" applyFont="1" applyBorder="1" applyAlignment="1">
      <alignment horizontal="center" vertical="center" wrapText="1"/>
    </xf>
    <xf numFmtId="0" fontId="29" fillId="0" borderId="17" xfId="0" applyFont="1" applyBorder="1" applyAlignment="1">
      <alignment horizontal="center" vertical="center"/>
    </xf>
    <xf numFmtId="0" fontId="29" fillId="0" borderId="20" xfId="0" applyFont="1" applyBorder="1" applyAlignment="1">
      <alignment horizontal="center" vertical="center"/>
    </xf>
    <xf numFmtId="0" fontId="29" fillId="0" borderId="21" xfId="0" applyFont="1" applyBorder="1" applyAlignment="1">
      <alignment horizontal="center" vertical="center"/>
    </xf>
    <xf numFmtId="0" fontId="10" fillId="0" borderId="0" xfId="0" applyFont="1" applyAlignment="1">
      <alignment horizontal="left" vertical="center"/>
    </xf>
    <xf numFmtId="0" fontId="0" fillId="0" borderId="0" xfId="0" applyAlignment="1">
      <alignment horizontal="left" vertical="center"/>
    </xf>
    <xf numFmtId="0" fontId="12" fillId="19" borderId="0" xfId="0" applyFont="1" applyFill="1" applyAlignment="1">
      <alignment horizontal="center" vertical="center" wrapText="1"/>
    </xf>
    <xf numFmtId="0" fontId="0" fillId="0" borderId="0" xfId="0" applyAlignment="1">
      <alignment horizontal="center" vertical="center"/>
    </xf>
    <xf numFmtId="0" fontId="9" fillId="16" borderId="0" xfId="0" applyFont="1" applyFill="1" applyAlignment="1">
      <alignment horizontal="center" vertical="center"/>
    </xf>
    <xf numFmtId="49" fontId="42" fillId="40" borderId="42" xfId="0" applyNumberFormat="1" applyFont="1" applyFill="1" applyBorder="1" applyAlignment="1">
      <alignment horizontal="center" vertical="center"/>
    </xf>
    <xf numFmtId="49" fontId="50" fillId="28" borderId="42" xfId="6" applyNumberFormat="1" applyFont="1" applyBorder="1" applyAlignment="1">
      <alignment horizontal="center" vertical="center"/>
    </xf>
    <xf numFmtId="49" fontId="50" fillId="32" borderId="42" xfId="10" applyNumberFormat="1" applyFont="1" applyBorder="1" applyAlignment="1">
      <alignment horizontal="center" vertical="center"/>
    </xf>
    <xf numFmtId="49" fontId="50" fillId="30" borderId="42" xfId="8" applyNumberFormat="1" applyFont="1" applyBorder="1" applyAlignment="1">
      <alignment horizontal="center" vertical="center"/>
    </xf>
    <xf numFmtId="49" fontId="41" fillId="36" borderId="42" xfId="0" applyNumberFormat="1" applyFont="1" applyFill="1" applyBorder="1" applyAlignment="1">
      <alignment horizontal="center" vertical="center"/>
    </xf>
    <xf numFmtId="0" fontId="7" fillId="15" borderId="43" xfId="0" applyFont="1" applyFill="1" applyBorder="1" applyAlignment="1">
      <alignment horizontal="center" vertical="center"/>
    </xf>
    <xf numFmtId="0" fontId="7" fillId="15" borderId="44" xfId="0" applyFont="1" applyFill="1" applyBorder="1" applyAlignment="1">
      <alignment horizontal="center" vertical="center"/>
    </xf>
    <xf numFmtId="0" fontId="7" fillId="15" borderId="45" xfId="0" applyFont="1" applyFill="1" applyBorder="1" applyAlignment="1">
      <alignment horizontal="center" vertical="center"/>
    </xf>
    <xf numFmtId="0" fontId="6" fillId="0" borderId="33" xfId="0" applyFont="1" applyBorder="1" applyAlignment="1">
      <alignment horizontal="center" vertical="center"/>
    </xf>
    <xf numFmtId="0" fontId="6" fillId="0" borderId="36" xfId="0" applyFont="1" applyBorder="1" applyAlignment="1">
      <alignment horizontal="center" vertical="center"/>
    </xf>
    <xf numFmtId="0" fontId="6" fillId="0" borderId="27" xfId="0" applyFont="1" applyBorder="1" applyAlignment="1">
      <alignment horizontal="center" vertical="center"/>
    </xf>
    <xf numFmtId="178" fontId="6" fillId="0" borderId="35" xfId="0" applyNumberFormat="1" applyFont="1" applyBorder="1" applyAlignment="1">
      <alignment horizontal="center" vertical="center"/>
    </xf>
    <xf numFmtId="178" fontId="6" fillId="0" borderId="26" xfId="0" applyNumberFormat="1" applyFont="1" applyBorder="1" applyAlignment="1">
      <alignment horizontal="center" vertical="center"/>
    </xf>
    <xf numFmtId="178" fontId="6" fillId="0" borderId="32" xfId="0" applyNumberFormat="1" applyFont="1" applyBorder="1" applyAlignment="1">
      <alignment horizontal="center" vertical="center"/>
    </xf>
    <xf numFmtId="0" fontId="14" fillId="0" borderId="35" xfId="0" applyFont="1" applyBorder="1" applyAlignment="1">
      <alignment horizontal="center" vertical="center"/>
    </xf>
    <xf numFmtId="0" fontId="14" fillId="0" borderId="26" xfId="0" applyFont="1" applyBorder="1" applyAlignment="1">
      <alignment horizontal="center" vertical="center"/>
    </xf>
    <xf numFmtId="0" fontId="6" fillId="0" borderId="35" xfId="0" applyFont="1" applyBorder="1" applyAlignment="1">
      <alignment horizontal="center" vertical="center"/>
    </xf>
    <xf numFmtId="0" fontId="6" fillId="0" borderId="0" xfId="0" applyFont="1" applyAlignment="1">
      <alignment horizontal="center" vertical="center"/>
    </xf>
    <xf numFmtId="0" fontId="6" fillId="0" borderId="32" xfId="0" applyFont="1" applyBorder="1" applyAlignment="1">
      <alignment horizontal="center" vertical="center"/>
    </xf>
    <xf numFmtId="0" fontId="6" fillId="0" borderId="26" xfId="0" applyFont="1" applyBorder="1" applyAlignment="1">
      <alignment horizontal="center" vertical="center"/>
    </xf>
    <xf numFmtId="0" fontId="101" fillId="0" borderId="0" xfId="0" applyFont="1" applyAlignment="1">
      <alignment horizontal="center" vertical="center"/>
    </xf>
    <xf numFmtId="0" fontId="102" fillId="0" borderId="8" xfId="0" applyFont="1" applyBorder="1" applyAlignment="1">
      <alignment horizontal="center" vertical="center" wrapText="1"/>
    </xf>
    <xf numFmtId="0" fontId="102" fillId="0" borderId="0" xfId="0" applyFont="1" applyAlignment="1">
      <alignment horizontal="center" vertical="center" wrapText="1"/>
    </xf>
    <xf numFmtId="0" fontId="102" fillId="0" borderId="79" xfId="0" applyFont="1" applyBorder="1" applyAlignment="1">
      <alignment horizontal="center" vertical="center" wrapText="1"/>
    </xf>
    <xf numFmtId="0" fontId="102" fillId="0" borderId="8" xfId="0" applyFont="1" applyBorder="1" applyAlignment="1">
      <alignment horizontal="center"/>
    </xf>
    <xf numFmtId="0" fontId="102" fillId="0" borderId="0" xfId="0" applyFont="1" applyAlignment="1">
      <alignment horizontal="center"/>
    </xf>
    <xf numFmtId="0" fontId="102" fillId="0" borderId="79" xfId="0" applyFont="1" applyBorder="1" applyAlignment="1">
      <alignment horizontal="center"/>
    </xf>
    <xf numFmtId="0" fontId="101" fillId="0" borderId="37" xfId="0" applyFont="1" applyBorder="1" applyAlignment="1">
      <alignment horizontal="center" vertical="center"/>
    </xf>
    <xf numFmtId="0" fontId="101" fillId="0" borderId="0" xfId="0" applyFont="1" applyAlignment="1">
      <alignment horizontal="center" vertical="center" wrapText="1"/>
    </xf>
    <xf numFmtId="0" fontId="104" fillId="0" borderId="0" xfId="0" applyFont="1" applyAlignment="1">
      <alignment horizontal="center" vertical="center"/>
    </xf>
    <xf numFmtId="0" fontId="101" fillId="11" borderId="0" xfId="0" applyFont="1" applyFill="1" applyAlignment="1">
      <alignment horizontal="center" vertical="center"/>
    </xf>
    <xf numFmtId="14" fontId="102" fillId="0" borderId="8" xfId="0" applyNumberFormat="1" applyFont="1" applyBorder="1" applyAlignment="1">
      <alignment horizontal="center" vertical="center" wrapText="1"/>
    </xf>
    <xf numFmtId="0" fontId="102" fillId="0" borderId="8" xfId="0" applyFont="1" applyBorder="1" applyAlignment="1">
      <alignment horizontal="center" vertical="center"/>
    </xf>
    <xf numFmtId="0" fontId="102" fillId="0" borderId="0" xfId="0" applyFont="1" applyAlignment="1">
      <alignment horizontal="center" vertical="center"/>
    </xf>
    <xf numFmtId="0" fontId="6" fillId="0" borderId="0" xfId="0" applyFont="1" applyAlignment="1">
      <alignment horizontal="center" vertical="center" wrapText="1"/>
    </xf>
    <xf numFmtId="0" fontId="6" fillId="0" borderId="37" xfId="0" applyFont="1" applyBorder="1" applyAlignment="1">
      <alignment horizontal="center" vertical="center" wrapText="1"/>
    </xf>
    <xf numFmtId="0" fontId="70" fillId="0" borderId="0" xfId="0" applyFont="1" applyAlignment="1">
      <alignment horizontal="center" vertical="center"/>
    </xf>
    <xf numFmtId="0" fontId="109" fillId="0" borderId="0" xfId="0" applyFont="1" applyAlignment="1">
      <alignment horizontal="center" vertical="center"/>
    </xf>
    <xf numFmtId="0" fontId="52" fillId="0" borderId="0" xfId="0" applyFont="1" applyAlignment="1">
      <alignment horizontal="center" vertical="center"/>
    </xf>
    <xf numFmtId="0" fontId="52" fillId="0" borderId="0" xfId="0" applyFont="1" applyAlignment="1">
      <alignment horizontal="center" vertical="center" wrapText="1"/>
    </xf>
    <xf numFmtId="0" fontId="6" fillId="0" borderId="33" xfId="0" applyFont="1" applyBorder="1" applyAlignment="1">
      <alignment horizontal="center" vertical="center" wrapText="1"/>
    </xf>
    <xf numFmtId="0" fontId="6" fillId="0" borderId="36" xfId="0" applyFont="1" applyBorder="1" applyAlignment="1">
      <alignment horizontal="center" vertical="center" wrapText="1"/>
    </xf>
    <xf numFmtId="0" fontId="6" fillId="0" borderId="27" xfId="0" applyFont="1" applyBorder="1" applyAlignment="1">
      <alignment horizontal="center" vertical="center" wrapText="1"/>
    </xf>
    <xf numFmtId="0" fontId="14" fillId="0" borderId="32" xfId="0" applyFont="1" applyBorder="1" applyAlignment="1">
      <alignment horizontal="center" vertical="center" wrapText="1"/>
    </xf>
    <xf numFmtId="0" fontId="14" fillId="0" borderId="35" xfId="0" applyFont="1" applyBorder="1" applyAlignment="1">
      <alignment horizontal="center" vertical="center" wrapText="1"/>
    </xf>
    <xf numFmtId="0" fontId="14" fillId="0" borderId="26" xfId="0" applyFont="1" applyBorder="1" applyAlignment="1">
      <alignment horizontal="center" vertical="center" wrapText="1"/>
    </xf>
    <xf numFmtId="179" fontId="52"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8" xfId="0" applyFont="1" applyBorder="1" applyAlignment="1">
      <alignment horizontal="center" vertical="center"/>
    </xf>
    <xf numFmtId="0" fontId="37" fillId="0" borderId="11" xfId="0" applyFont="1" applyBorder="1" applyAlignment="1">
      <alignment horizontal="center" vertical="center"/>
    </xf>
    <xf numFmtId="0" fontId="37" fillId="0" borderId="12" xfId="0" applyFont="1" applyBorder="1" applyAlignment="1">
      <alignment horizontal="center" vertical="center"/>
    </xf>
    <xf numFmtId="0" fontId="37" fillId="0" borderId="18" xfId="0" applyFont="1" applyBorder="1" applyAlignment="1">
      <alignment horizontal="center" vertical="center"/>
    </xf>
    <xf numFmtId="0" fontId="37" fillId="0" borderId="22" xfId="0" applyFont="1" applyBorder="1" applyAlignment="1">
      <alignment horizontal="center" vertical="center"/>
    </xf>
    <xf numFmtId="178" fontId="6" fillId="0" borderId="0" xfId="0" applyNumberFormat="1" applyFont="1" applyAlignment="1">
      <alignment horizontal="center" vertical="center"/>
    </xf>
    <xf numFmtId="0" fontId="32" fillId="0" borderId="0" xfId="0" applyFont="1" applyAlignment="1">
      <alignment horizontal="center" vertical="center"/>
    </xf>
    <xf numFmtId="0" fontId="6" fillId="9" borderId="0" xfId="0" applyFont="1" applyFill="1" applyAlignment="1">
      <alignment horizontal="center" vertical="center"/>
    </xf>
    <xf numFmtId="0" fontId="6" fillId="11" borderId="0" xfId="0" applyFont="1" applyFill="1" applyAlignment="1">
      <alignment horizontal="center" vertical="center"/>
    </xf>
    <xf numFmtId="0" fontId="6" fillId="0" borderId="37" xfId="0" applyFont="1" applyBorder="1" applyAlignment="1">
      <alignment horizontal="center" vertical="center"/>
    </xf>
    <xf numFmtId="14" fontId="6" fillId="0" borderId="0" xfId="0" applyNumberFormat="1" applyFont="1" applyAlignment="1">
      <alignment horizontal="center" vertical="center"/>
    </xf>
    <xf numFmtId="0" fontId="40" fillId="59" borderId="0" xfId="0" applyFont="1" applyFill="1" applyAlignment="1">
      <alignment horizontal="center"/>
    </xf>
    <xf numFmtId="0" fontId="118" fillId="67" borderId="0" xfId="0" applyFont="1" applyFill="1" applyAlignment="1">
      <alignment horizontal="center" vertical="center"/>
    </xf>
    <xf numFmtId="0" fontId="117" fillId="0" borderId="0" xfId="0" applyFont="1" applyAlignment="1"/>
    <xf numFmtId="0" fontId="0" fillId="0" borderId="0" xfId="0" applyAlignment="1"/>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540">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b/>
        <i val="0"/>
        <color rgb="FFFFFFFF"/>
      </font>
      <fill>
        <patternFill patternType="solid">
          <fgColor indexed="64"/>
          <bgColor rgb="FF1565C0"/>
        </patternFill>
      </fill>
    </dxf>
    <dxf>
      <font>
        <b/>
        <i val="0"/>
        <color rgb="FFFFFFFF"/>
      </font>
      <fill>
        <patternFill patternType="solid">
          <fgColor indexed="64"/>
          <bgColor rgb="FF7B68EE"/>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ont>
        <b/>
        <i val="0"/>
        <color rgb="FFFFFFFF"/>
      </font>
      <fill>
        <patternFill patternType="solid">
          <fgColor indexed="64"/>
          <bgColor rgb="FFEF6C00"/>
        </patternFill>
      </fill>
    </dxf>
    <dxf>
      <fill>
        <patternFill patternType="solid">
          <fgColor rgb="FFADD8E6"/>
          <bgColor rgb="FFADD8E6"/>
        </patternFill>
      </fill>
    </dxf>
    <dxf>
      <font>
        <b/>
        <i val="0"/>
        <color rgb="FFFFFFFF"/>
      </font>
      <fill>
        <patternFill patternType="solid">
          <fgColor indexed="64"/>
          <bgColor rgb="FF1565C0"/>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ont>
        <b/>
        <i val="0"/>
        <color rgb="FFFFFFFF"/>
      </font>
      <fill>
        <patternFill patternType="solid">
          <fgColor indexed="64"/>
          <bgColor rgb="FF1565C0"/>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ont>
        <b/>
        <i val="0"/>
        <color rgb="FFFFFFFF"/>
      </font>
      <fill>
        <patternFill patternType="solid">
          <fgColor indexed="64"/>
          <bgColor rgb="FF2E7D32"/>
        </patternFill>
      </fill>
    </dxf>
    <dxf>
      <font>
        <b/>
        <i val="0"/>
        <color rgb="FFFFFFFF"/>
      </font>
      <fill>
        <patternFill patternType="solid">
          <fgColor indexed="64"/>
          <bgColor rgb="FF1565C0"/>
        </patternFill>
      </fill>
    </dxf>
    <dxf>
      <font>
        <b/>
        <i val="0"/>
        <color rgb="FFFFFFFF"/>
      </font>
      <fill>
        <patternFill patternType="solid">
          <fgColor indexed="64"/>
          <bgColor rgb="FF00897B"/>
        </patternFill>
      </fill>
    </dxf>
    <dxf>
      <font>
        <b/>
        <i val="0"/>
        <color rgb="FFFFFFFF"/>
      </font>
      <fill>
        <patternFill patternType="solid">
          <fgColor indexed="64"/>
          <bgColor rgb="FF7B68EE"/>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ill>
        <patternFill patternType="solid">
          <fgColor rgb="FFADD8E6"/>
          <bgColor rgb="FFADD8E6"/>
        </patternFill>
      </fill>
    </dxf>
    <dxf>
      <font>
        <color rgb="FF006100"/>
      </font>
      <fill>
        <patternFill patternType="solid">
          <fgColor indexed="64"/>
          <bgColor rgb="FFC6EFCE"/>
        </patternFill>
      </fill>
    </dxf>
    <dxf>
      <font>
        <color rgb="FF375623"/>
      </font>
      <fill>
        <patternFill patternType="solid">
          <fgColor indexed="64"/>
          <bgColor rgb="FFE2EFDA"/>
        </patternFill>
      </fill>
    </dxf>
    <dxf>
      <font>
        <color rgb="FF806000"/>
      </font>
      <fill>
        <patternFill patternType="solid">
          <fgColor indexed="64"/>
          <bgColor rgb="FFFFF2CC"/>
        </patternFill>
      </fill>
    </dxf>
    <dxf>
      <font>
        <color rgb="FF843C0C"/>
      </font>
      <fill>
        <patternFill patternType="solid">
          <fgColor indexed="64"/>
          <bgColor rgb="FFFCE4D6"/>
        </patternFill>
      </fill>
    </dxf>
    <dxf>
      <font>
        <color rgb="FF1F4E79"/>
      </font>
      <fill>
        <patternFill patternType="solid">
          <fgColor indexed="64"/>
          <bgColor rgb="FFBDD7EE"/>
        </patternFill>
      </fill>
    </dxf>
    <dxf>
      <font>
        <color rgb="FFFFFFFF"/>
      </font>
      <fill>
        <patternFill patternType="solid">
          <fgColor indexed="64"/>
          <bgColor rgb="FF388E3C"/>
        </patternFill>
      </fill>
    </dxf>
    <dxf>
      <font>
        <color rgb="FF000000"/>
      </font>
      <fill>
        <patternFill patternType="solid">
          <fgColor indexed="64"/>
          <bgColor rgb="FFFFC107"/>
        </patternFill>
      </fill>
    </dxf>
    <dxf>
      <font>
        <color rgb="FFFFFFFF"/>
      </font>
      <fill>
        <patternFill patternType="solid">
          <fgColor indexed="64"/>
          <bgColor rgb="FFD32F2F"/>
        </patternFill>
      </fill>
    </dxf>
    <dxf>
      <font>
        <color rgb="FFA6A6A6"/>
      </font>
    </dxf>
    <dxf>
      <font>
        <color rgb="FF9C0006"/>
      </font>
      <fill>
        <patternFill patternType="solid">
          <fgColor indexed="64"/>
          <bgColor rgb="FFFFC7CE"/>
        </patternFill>
      </fill>
    </dxf>
    <dxf>
      <fill>
        <patternFill patternType="solid">
          <fgColor indexed="64"/>
          <bgColor rgb="FFE2EFDA"/>
        </patternFill>
      </fill>
    </dxf>
    <dxf>
      <fill>
        <patternFill patternType="solid">
          <fgColor indexed="64"/>
          <bgColor rgb="FFFFFF00"/>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843C0C"/>
      </font>
      <fill>
        <patternFill patternType="solid">
          <fgColor indexed="64"/>
          <bgColor rgb="FFFCE4D6"/>
        </patternFill>
      </fill>
    </dxf>
    <dxf>
      <font>
        <color rgb="FF1F4E79"/>
      </font>
      <fill>
        <patternFill patternType="solid">
          <fgColor indexed="64"/>
          <bgColor rgb="FFDDEBF7"/>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Status</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doughnutChart>
        <c:varyColors val="1"/>
        <c:ser>
          <c:idx val="0"/>
          <c:order val="0"/>
          <c:dPt>
            <c:idx val="0"/>
            <c:bubble3D val="0"/>
            <c:spPr>
              <a:solidFill>
                <a:srgbClr val="17E0E6"/>
              </a:solidFill>
              <a:ln w="19050">
                <a:solidFill>
                  <a:schemeClr val="lt1"/>
                </a:solidFill>
              </a:ln>
              <a:effectLst/>
            </c:spPr>
            <c:extLst>
              <c:ext xmlns:c16="http://schemas.microsoft.com/office/drawing/2014/chart" uri="{C3380CC4-5D6E-409C-BE32-E72D297353CC}">
                <c16:uniqueId val="{00000003-77AC-4EDF-BD5D-47BB094C59A8}"/>
              </c:ext>
            </c:extLst>
          </c:dPt>
          <c:dPt>
            <c:idx val="1"/>
            <c:bubble3D val="0"/>
            <c:spPr>
              <a:solidFill>
                <a:srgbClr val="F5B841"/>
              </a:solidFill>
              <a:ln w="19050">
                <a:solidFill>
                  <a:schemeClr val="lt1"/>
                </a:solidFill>
              </a:ln>
              <a:effectLst/>
            </c:spPr>
            <c:extLst>
              <c:ext xmlns:c16="http://schemas.microsoft.com/office/drawing/2014/chart" uri="{C3380CC4-5D6E-409C-BE32-E72D297353CC}">
                <c16:uniqueId val="{00000004-77AC-4EDF-BD5D-47BB094C59A8}"/>
              </c:ext>
            </c:extLst>
          </c:dPt>
          <c:dPt>
            <c:idx val="2"/>
            <c:bubble3D val="0"/>
            <c:spPr>
              <a:solidFill>
                <a:srgbClr val="3DDC97"/>
              </a:solidFill>
              <a:ln w="19050">
                <a:solidFill>
                  <a:schemeClr val="lt1"/>
                </a:solidFill>
              </a:ln>
              <a:effectLst/>
            </c:spPr>
            <c:extLst>
              <c:ext xmlns:c16="http://schemas.microsoft.com/office/drawing/2014/chart" uri="{C3380CC4-5D6E-409C-BE32-E72D297353CC}">
                <c16:uniqueId val="{00000005-77AC-4EDF-BD5D-47BB094C59A8}"/>
              </c:ext>
            </c:extLst>
          </c:dPt>
          <c:dPt>
            <c:idx val="3"/>
            <c:bubble3D val="0"/>
            <c:spPr>
              <a:solidFill>
                <a:srgbClr val="3A6FF0"/>
              </a:solidFill>
              <a:ln w="19050">
                <a:solidFill>
                  <a:schemeClr val="lt1"/>
                </a:solidFill>
              </a:ln>
              <a:effectLst/>
            </c:spPr>
            <c:extLst>
              <c:ext xmlns:c16="http://schemas.microsoft.com/office/drawing/2014/chart" uri="{C3380CC4-5D6E-409C-BE32-E72D297353CC}">
                <c16:uniqueId val="{00000006-77AC-4EDF-BD5D-47BB094C59A8}"/>
              </c:ext>
            </c:extLst>
          </c:dPt>
          <c:cat>
            <c:strRef>
              <c:f>'CRM Dashboard'!$AA$2:$AA$5</c:f>
              <c:strCache>
                <c:ptCount val="4"/>
                <c:pt idx="0">
                  <c:v>New</c:v>
                </c:pt>
                <c:pt idx="1">
                  <c:v>Pipeline</c:v>
                </c:pt>
                <c:pt idx="2">
                  <c:v>Active</c:v>
                </c:pt>
                <c:pt idx="3">
                  <c:v>Others</c:v>
                </c:pt>
              </c:strCache>
            </c:strRef>
          </c:cat>
          <c:val>
            <c:numRef>
              <c:f>'CRM Dashboard'!$AB$2:$AB$5</c:f>
              <c:numCache>
                <c:formatCode>General</c:formatCode>
                <c:ptCount val="4"/>
                <c:pt idx="0">
                  <c:v>198</c:v>
                </c:pt>
                <c:pt idx="1">
                  <c:v>105</c:v>
                </c:pt>
                <c:pt idx="2">
                  <c:v>50</c:v>
                </c:pt>
                <c:pt idx="3">
                  <c:v>23</c:v>
                </c:pt>
              </c:numCache>
            </c:numRef>
          </c:val>
          <c:extLst>
            <c:ext xmlns:c16="http://schemas.microsoft.com/office/drawing/2014/chart" uri="{C3380CC4-5D6E-409C-BE32-E72D297353CC}">
              <c16:uniqueId val="{00000000-77AC-4EDF-BD5D-47BB094C59A8}"/>
            </c:ext>
          </c:extLst>
        </c:ser>
        <c:dLbls>
          <c:showLegendKey val="0"/>
          <c:showVal val="0"/>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legend>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PIC</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17E0E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Dashboard'!$AA$13:$AA$16</c:f>
              <c:strCache>
                <c:ptCount val="4"/>
                <c:pt idx="0">
                  <c:v>Grace</c:v>
                </c:pt>
                <c:pt idx="1">
                  <c:v>Ben</c:v>
                </c:pt>
                <c:pt idx="2">
                  <c:v>Bryant</c:v>
                </c:pt>
                <c:pt idx="3">
                  <c:v>Aiden</c:v>
                </c:pt>
              </c:strCache>
            </c:strRef>
          </c:cat>
          <c:val>
            <c:numRef>
              <c:f>'CRM Dashboard'!$AB$13:$AB$16</c:f>
              <c:numCache>
                <c:formatCode>General</c:formatCode>
                <c:ptCount val="4"/>
                <c:pt idx="0">
                  <c:v>139</c:v>
                </c:pt>
                <c:pt idx="1">
                  <c:v>107</c:v>
                </c:pt>
                <c:pt idx="2">
                  <c:v>90</c:v>
                </c:pt>
                <c:pt idx="3">
                  <c:v>46</c:v>
                </c:pt>
              </c:numCache>
            </c:numRef>
          </c:val>
          <c:extLst>
            <c:ext xmlns:c16="http://schemas.microsoft.com/office/drawing/2014/chart" uri="{C3380CC4-5D6E-409C-BE32-E72D297353CC}">
              <c16:uniqueId val="{00000000-C55A-437D-BC83-FC0D6D274074}"/>
            </c:ext>
          </c:extLst>
        </c:ser>
        <c:dLbls>
          <c:showLegendKey val="0"/>
          <c:showVal val="0"/>
          <c:showCatName val="0"/>
          <c:showSerName val="0"/>
          <c:showPercent val="0"/>
          <c:showBubbleSize val="0"/>
        </c:dLbls>
        <c:gapWidth val="182"/>
        <c:axId val="46401544"/>
        <c:axId val="46403592"/>
      </c:barChart>
      <c:catAx>
        <c:axId val="464015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403592"/>
        <c:crosses val="autoZero"/>
        <c:auto val="1"/>
        <c:lblAlgn val="ctr"/>
        <c:lblOffset val="100"/>
        <c:noMultiLvlLbl val="0"/>
      </c:catAx>
      <c:valAx>
        <c:axId val="4640359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401544"/>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Region</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3A6F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Dashboard'!$AA$34:$AA$38</c:f>
              <c:strCache>
                <c:ptCount val="5"/>
                <c:pt idx="0">
                  <c:v>East Asia</c:v>
                </c:pt>
                <c:pt idx="1">
                  <c:v>Southeast Asia</c:v>
                </c:pt>
                <c:pt idx="2">
                  <c:v>Singapore</c:v>
                </c:pt>
                <c:pt idx="3">
                  <c:v>Middle East</c:v>
                </c:pt>
                <c:pt idx="4">
                  <c:v>Others</c:v>
                </c:pt>
              </c:strCache>
            </c:strRef>
          </c:cat>
          <c:val>
            <c:numRef>
              <c:f>'CRM Dashboard'!$AB$34:$AB$38</c:f>
              <c:numCache>
                <c:formatCode>General</c:formatCode>
                <c:ptCount val="5"/>
                <c:pt idx="0">
                  <c:v>155</c:v>
                </c:pt>
                <c:pt idx="1">
                  <c:v>124</c:v>
                </c:pt>
                <c:pt idx="2">
                  <c:v>19</c:v>
                </c:pt>
                <c:pt idx="3">
                  <c:v>17</c:v>
                </c:pt>
                <c:pt idx="4">
                  <c:v>34</c:v>
                </c:pt>
              </c:numCache>
            </c:numRef>
          </c:val>
          <c:extLst>
            <c:ext xmlns:c16="http://schemas.microsoft.com/office/drawing/2014/chart" uri="{C3380CC4-5D6E-409C-BE32-E72D297353CC}">
              <c16:uniqueId val="{00000000-F1F1-4F0D-A080-9C228BB634B7}"/>
            </c:ext>
          </c:extLst>
        </c:ser>
        <c:dLbls>
          <c:showLegendKey val="0"/>
          <c:showVal val="0"/>
          <c:showCatName val="0"/>
          <c:showSerName val="0"/>
          <c:showPercent val="0"/>
          <c:showBubbleSize val="0"/>
        </c:dLbls>
        <c:gapWidth val="182"/>
        <c:axId val="46842888"/>
        <c:axId val="46844936"/>
      </c:barChart>
      <c:catAx>
        <c:axId val="468428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6844936"/>
        <c:crosses val="autoZero"/>
        <c:auto val="1"/>
        <c:lblAlgn val="ctr"/>
        <c:lblOffset val="100"/>
        <c:noMultiLvlLbl val="0"/>
      </c:catAx>
      <c:valAx>
        <c:axId val="46844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6842888"/>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Tier</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col"/>
        <c:grouping val="clustered"/>
        <c:varyColors val="0"/>
        <c:ser>
          <c:idx val="0"/>
          <c:order val="0"/>
          <c:spPr>
            <a:solidFill>
              <a:srgbClr val="3DDC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Dashboard'!$AA$8:$AA$10</c:f>
              <c:strCache>
                <c:ptCount val="3"/>
                <c:pt idx="0">
                  <c:v>Tier 1</c:v>
                </c:pt>
                <c:pt idx="1">
                  <c:v>Tier 2</c:v>
                </c:pt>
                <c:pt idx="2">
                  <c:v>Tier 3</c:v>
                </c:pt>
              </c:strCache>
            </c:strRef>
          </c:cat>
          <c:val>
            <c:numRef>
              <c:f>'CRM Dashboard'!$AB$8:$AB$10</c:f>
              <c:numCache>
                <c:formatCode>General</c:formatCode>
                <c:ptCount val="3"/>
                <c:pt idx="0">
                  <c:v>5</c:v>
                </c:pt>
                <c:pt idx="1">
                  <c:v>8</c:v>
                </c:pt>
                <c:pt idx="2">
                  <c:v>46</c:v>
                </c:pt>
              </c:numCache>
            </c:numRef>
          </c:val>
          <c:extLst>
            <c:ext xmlns:c16="http://schemas.microsoft.com/office/drawing/2014/chart" uri="{C3380CC4-5D6E-409C-BE32-E72D297353CC}">
              <c16:uniqueId val="{00000000-20A2-41A2-98B5-6C87D4101CF0}"/>
            </c:ext>
          </c:extLst>
        </c:ser>
        <c:dLbls>
          <c:showLegendKey val="0"/>
          <c:showVal val="0"/>
          <c:showCatName val="0"/>
          <c:showSerName val="0"/>
          <c:showPercent val="0"/>
          <c:showBubbleSize val="0"/>
        </c:dLbls>
        <c:gapWidth val="219"/>
        <c:overlap val="-27"/>
        <c:axId val="47715336"/>
        <c:axId val="47717384"/>
      </c:barChart>
      <c:catAx>
        <c:axId val="47715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7717384"/>
        <c:crosses val="autoZero"/>
        <c:auto val="1"/>
        <c:lblAlgn val="ctr"/>
        <c:lblOffset val="100"/>
        <c:noMultiLvlLbl val="0"/>
      </c:catAx>
      <c:valAx>
        <c:axId val="477173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7715336"/>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Type</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F5B84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Dashboard'!$AA$19:$AA$23</c:f>
              <c:strCache>
                <c:ptCount val="5"/>
                <c:pt idx="0">
                  <c:v>API</c:v>
                </c:pt>
                <c:pt idx="1">
                  <c:v>Dotbiz</c:v>
                </c:pt>
                <c:pt idx="2">
                  <c:v>Portal-Regular</c:v>
                </c:pt>
                <c:pt idx="3">
                  <c:v>Switching</c:v>
                </c:pt>
                <c:pt idx="4">
                  <c:v>Others</c:v>
                </c:pt>
              </c:strCache>
            </c:strRef>
          </c:cat>
          <c:val>
            <c:numRef>
              <c:f>'CRM Dashboard'!$AB$19:$AB$23</c:f>
              <c:numCache>
                <c:formatCode>General</c:formatCode>
                <c:ptCount val="5"/>
                <c:pt idx="0">
                  <c:v>254</c:v>
                </c:pt>
                <c:pt idx="1">
                  <c:v>21</c:v>
                </c:pt>
                <c:pt idx="2">
                  <c:v>8</c:v>
                </c:pt>
                <c:pt idx="3">
                  <c:v>5</c:v>
                </c:pt>
                <c:pt idx="4">
                  <c:v>6</c:v>
                </c:pt>
              </c:numCache>
            </c:numRef>
          </c:val>
          <c:extLst>
            <c:ext xmlns:c16="http://schemas.microsoft.com/office/drawing/2014/chart" uri="{C3380CC4-5D6E-409C-BE32-E72D297353CC}">
              <c16:uniqueId val="{00000000-7823-4488-8002-089246D34287}"/>
            </c:ext>
          </c:extLst>
        </c:ser>
        <c:dLbls>
          <c:showLegendKey val="0"/>
          <c:showVal val="0"/>
          <c:showCatName val="0"/>
          <c:showSerName val="0"/>
          <c:showPercent val="0"/>
          <c:showBubbleSize val="0"/>
        </c:dLbls>
        <c:gapWidth val="182"/>
        <c:axId val="48152072"/>
        <c:axId val="48162312"/>
      </c:barChart>
      <c:catAx>
        <c:axId val="481520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162312"/>
        <c:crosses val="autoZero"/>
        <c:auto val="1"/>
        <c:lblAlgn val="ctr"/>
        <c:lblOffset val="100"/>
        <c:noMultiLvlLbl val="0"/>
      </c:catAx>
      <c:valAx>
        <c:axId val="48162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152072"/>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r>
              <a:rPr lang="en-US" altLang="ko-KR"/>
              <a:t>Channels by Business Model</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FFFFFF"/>
              </a:solidFill>
              <a:latin typeface="+mn-lt"/>
              <a:ea typeface="+mn-ea"/>
              <a:cs typeface="+mn-cs"/>
            </a:defRPr>
          </a:pPr>
          <a:endParaRPr lang="en-US"/>
        </a:p>
      </c:txPr>
    </c:title>
    <c:autoTitleDeleted val="0"/>
    <c:plotArea>
      <c:layout/>
      <c:barChart>
        <c:barDir val="bar"/>
        <c:grouping val="clustered"/>
        <c:varyColors val="0"/>
        <c:ser>
          <c:idx val="0"/>
          <c:order val="0"/>
          <c:spPr>
            <a:solidFill>
              <a:srgbClr val="B06BF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'CRM Dashboard'!$AA$26:$AA$31</c:f>
              <c:strCache>
                <c:ptCount val="6"/>
                <c:pt idx="0">
                  <c:v>TA</c:v>
                </c:pt>
                <c:pt idx="1">
                  <c:v>B2B</c:v>
                </c:pt>
                <c:pt idx="2">
                  <c:v>B2C</c:v>
                </c:pt>
                <c:pt idx="3">
                  <c:v>TMC</c:v>
                </c:pt>
                <c:pt idx="4">
                  <c:v>OTA</c:v>
                </c:pt>
                <c:pt idx="5">
                  <c:v>Others</c:v>
                </c:pt>
              </c:strCache>
            </c:strRef>
          </c:cat>
          <c:val>
            <c:numRef>
              <c:f>'CRM Dashboard'!$AB$26:$AB$31</c:f>
              <c:numCache>
                <c:formatCode>General</c:formatCode>
                <c:ptCount val="6"/>
                <c:pt idx="0">
                  <c:v>5</c:v>
                </c:pt>
                <c:pt idx="1">
                  <c:v>100</c:v>
                </c:pt>
                <c:pt idx="2">
                  <c:v>44</c:v>
                </c:pt>
                <c:pt idx="3">
                  <c:v>13</c:v>
                </c:pt>
                <c:pt idx="4">
                  <c:v>6</c:v>
                </c:pt>
                <c:pt idx="5">
                  <c:v>114</c:v>
                </c:pt>
              </c:numCache>
            </c:numRef>
          </c:val>
          <c:extLst>
            <c:ext xmlns:c16="http://schemas.microsoft.com/office/drawing/2014/chart" uri="{C3380CC4-5D6E-409C-BE32-E72D297353CC}">
              <c16:uniqueId val="{00000000-9BD2-4B4E-A800-9F73810DAEBD}"/>
            </c:ext>
          </c:extLst>
        </c:ser>
        <c:dLbls>
          <c:showLegendKey val="0"/>
          <c:showVal val="0"/>
          <c:showCatName val="0"/>
          <c:showSerName val="0"/>
          <c:showPercent val="0"/>
          <c:showBubbleSize val="0"/>
        </c:dLbls>
        <c:gapWidth val="182"/>
        <c:axId val="48742920"/>
        <c:axId val="48744968"/>
      </c:barChart>
      <c:catAx>
        <c:axId val="487429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C7D6F2"/>
                </a:solidFill>
                <a:latin typeface="+mn-lt"/>
                <a:ea typeface="+mn-ea"/>
                <a:cs typeface="+mn-cs"/>
              </a:defRPr>
            </a:pPr>
            <a:endParaRPr lang="en-US"/>
          </a:p>
        </c:txPr>
        <c:crossAx val="48744968"/>
        <c:crosses val="autoZero"/>
        <c:auto val="1"/>
        <c:lblAlgn val="ctr"/>
        <c:lblOffset val="100"/>
        <c:noMultiLvlLbl val="0"/>
      </c:catAx>
      <c:valAx>
        <c:axId val="487449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rgbClr val="8FA9D6"/>
                </a:solidFill>
                <a:latin typeface="+mn-lt"/>
                <a:ea typeface="+mn-ea"/>
                <a:cs typeface="+mn-cs"/>
              </a:defRPr>
            </a:pPr>
            <a:endParaRPr lang="en-US"/>
          </a:p>
        </c:txPr>
        <c:crossAx val="48742920"/>
        <c:crosses val="autoZero"/>
        <c:crossBetween val="between"/>
      </c:valAx>
      <c:spPr>
        <a:noFill/>
        <a:ln>
          <a:noFill/>
        </a:ln>
        <a:effectLst/>
      </c:spPr>
    </c:plotArea>
    <c:plotVisOnly val="0"/>
    <c:dispBlanksAs val="gap"/>
    <c:showDLblsOverMax val="0"/>
  </c:chart>
  <c:spPr>
    <a:solidFill>
      <a:srgbClr val="0E1E4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ocumenttasks/documenttask1.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documenttasks/documenttask2.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17</xdr:row>
      <xdr:rowOff>0</xdr:rowOff>
    </xdr:from>
    <xdr:to>
      <xdr:col>8</xdr:col>
      <xdr:colOff>0</xdr:colOff>
      <xdr:row>38</xdr:row>
      <xdr:rowOff>0</xdr:rowOff>
    </xdr:to>
    <xdr:graphicFrame macro="">
      <xdr:nvGraphicFramePr>
        <xdr:cNvPr id="3" name="chStatus">
          <a:extLst>
            <a:ext uri="{FF2B5EF4-FFF2-40B4-BE49-F238E27FC236}">
              <a16:creationId xmlns:a16="http://schemas.microsoft.com/office/drawing/2014/main" i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17</xdr:row>
      <xdr:rowOff>0</xdr:rowOff>
    </xdr:from>
    <xdr:to>
      <xdr:col>16</xdr:col>
      <xdr:colOff>0</xdr:colOff>
      <xdr:row>38</xdr:row>
      <xdr:rowOff>0</xdr:rowOff>
    </xdr:to>
    <xdr:graphicFrame macro="">
      <xdr:nvGraphicFramePr>
        <xdr:cNvPr id="4" name="chPIC">
          <a:extLst>
            <a:ext uri="{FF2B5EF4-FFF2-40B4-BE49-F238E27FC236}">
              <a16:creationId xmlns:a16="http://schemas.microsoft.com/office/drawing/2014/main" id="{9F862F31-9A56-D97F-0650-8B495A7504AE}"/>
            </a:ext>
            <a:ext uri="{147F2762-F138-4A5C-976F-8EAC2B608ADB}">
              <a16:predDERef xmlns:a16="http://schemas.microsoft.com/office/drawing/2014/main" pred="{2BA98C4F-C3D6-CDA7-CD13-006897739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17</xdr:row>
      <xdr:rowOff>0</xdr:rowOff>
    </xdr:from>
    <xdr:to>
      <xdr:col>24</xdr:col>
      <xdr:colOff>0</xdr:colOff>
      <xdr:row>38</xdr:row>
      <xdr:rowOff>0</xdr:rowOff>
    </xdr:to>
    <xdr:graphicFrame macro="">
      <xdr:nvGraphicFramePr>
        <xdr:cNvPr id="5" name="chRegion">
          <a:extLst>
            <a:ext uri="{FF2B5EF4-FFF2-40B4-BE49-F238E27FC236}">
              <a16:creationId xmlns:a16="http://schemas.microsoft.com/office/drawing/2014/main" id="{98791525-FF26-8FE7-BBAA-0F8FE97F60D0}"/>
            </a:ext>
            <a:ext uri="{147F2762-F138-4A5C-976F-8EAC2B608ADB}">
              <a16:predDERef xmlns:a16="http://schemas.microsoft.com/office/drawing/2014/main" pred="{9F862F31-9A56-D97F-0650-8B495A7504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39</xdr:row>
      <xdr:rowOff>0</xdr:rowOff>
    </xdr:from>
    <xdr:to>
      <xdr:col>8</xdr:col>
      <xdr:colOff>0</xdr:colOff>
      <xdr:row>60</xdr:row>
      <xdr:rowOff>28575</xdr:rowOff>
    </xdr:to>
    <xdr:graphicFrame macro="">
      <xdr:nvGraphicFramePr>
        <xdr:cNvPr id="6" name="chTier">
          <a:extLst>
            <a:ext uri="{FF2B5EF4-FFF2-40B4-BE49-F238E27FC236}">
              <a16:creationId xmlns:a16="http://schemas.microsoft.com/office/drawing/2014/main" id="{F9125C62-BDA7-D6A8-052C-B5AFACE78EDF}"/>
            </a:ext>
            <a:ext uri="{147F2762-F138-4A5C-976F-8EAC2B608ADB}">
              <a16:predDERef xmlns:a16="http://schemas.microsoft.com/office/drawing/2014/main" pred="{98791525-FF26-8FE7-BBAA-0F8FE97F60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39</xdr:row>
      <xdr:rowOff>0</xdr:rowOff>
    </xdr:from>
    <xdr:to>
      <xdr:col>16</xdr:col>
      <xdr:colOff>0</xdr:colOff>
      <xdr:row>60</xdr:row>
      <xdr:rowOff>28575</xdr:rowOff>
    </xdr:to>
    <xdr:graphicFrame macro="">
      <xdr:nvGraphicFramePr>
        <xdr:cNvPr id="7" name="chType">
          <a:extLst>
            <a:ext uri="{FF2B5EF4-FFF2-40B4-BE49-F238E27FC236}">
              <a16:creationId xmlns:a16="http://schemas.microsoft.com/office/drawing/2014/main" id="{6178AB1A-C1C7-82D4-BA89-0DDD6CEA9B6A}"/>
            </a:ext>
            <a:ext uri="{147F2762-F138-4A5C-976F-8EAC2B608ADB}">
              <a16:predDERef xmlns:a16="http://schemas.microsoft.com/office/drawing/2014/main" pred="{F9125C62-BDA7-D6A8-052C-B5AFACE78E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39</xdr:row>
      <xdr:rowOff>0</xdr:rowOff>
    </xdr:from>
    <xdr:to>
      <xdr:col>24</xdr:col>
      <xdr:colOff>0</xdr:colOff>
      <xdr:row>60</xdr:row>
      <xdr:rowOff>28575</xdr:rowOff>
    </xdr:to>
    <xdr:graphicFrame macro="">
      <xdr:nvGraphicFramePr>
        <xdr:cNvPr id="8" name="chBM">
          <a:extLst>
            <a:ext uri="{FF2B5EF4-FFF2-40B4-BE49-F238E27FC236}">
              <a16:creationId xmlns:a16="http://schemas.microsoft.com/office/drawing/2014/main" id="{EEC3CD61-0063-CE1B-BA81-3335F9DE6F13}"/>
            </a:ext>
            <a:ext uri="{147F2762-F138-4A5C-976F-8EAC2B608ADB}">
              <a16:predDERef xmlns:a16="http://schemas.microsoft.com/office/drawing/2014/main" pred="{6178AB1A-C1C7-82D4-BA89-0DDD6CEA9B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 displayName="Jungwon Yoon (Sophia)" id="{A58CBF4E-0E31-45C3-801E-8AD1276662BD}" userId="S::jw.yoon@ohmyhotel.com::d8a8343a-c75e-4bed-ac27-dae21289e549"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J20" dT="2026-01-26T08:27:14.59" personId="{A58CBF4E-0E31-45C3-801E-8AD1276662BD}" id="{C3B36BD1-D1E3-46BD-9B54-31B2682F7507}">
    <text>change from Dec-25</text>
  </threadedComment>
  <threadedComment ref="J20" dT="2026-02-01T13:29:02.34" personId="{A58CBF4E-0E31-45C3-801E-8AD1276662BD}" id="{1AB52E78-9547-4993-A166-694CDBF9E3E1}" parentId="{C3B36BD1-D1E3-46BD-9B54-31B2682F7507}">
    <text>개발은 완료. 계약서 addendum 진행 중으로 오픈 펜딩 중</text>
  </threadedComment>
  <threadedComment ref="I21" dT="2026-02-01T13:37:15.49" personId="{A58CBF4E-0E31-45C3-801E-8AD1276662BD}" id="{B7F54BED-4455-48D3-905C-0A28BEFA2600}">
    <text>change from Dec-25</text>
  </threadedComment>
  <threadedComment ref="J21" dT="2026-02-01T13:37:15.49" personId="{A58CBF4E-0E31-45C3-801E-8AD1276662BD}" id="{1B2BC208-7AD1-40BA-B8E0-5C3AF6344F96}">
    <text>change from Jan-26</text>
  </threadedComment>
  <threadedComment ref="J21" dT="2026-04-21T08:39:58.96" personId="{A58CBF4E-0E31-45C3-801E-8AD1276662BD}" id="{3D282E71-446D-47A4-9423-BD674E6519A5}" parentId="{1B2BC208-7AD1-40BA-B8E0-5C3AF6344F96}">
    <text>Change to Apr</text>
  </threadedComment>
  <threadedComment ref="I22" dT="2026-02-01T13:37:15.49" personId="{A58CBF4E-0E31-45C3-801E-8AD1276662BD}" id="{CAB8FE20-F82C-452E-9BD3-740968738B7F}">
    <text>change from Dec-25</text>
  </threadedComment>
  <threadedComment ref="J22" dT="2026-02-01T13:37:15.49" personId="{A58CBF4E-0E31-45C3-801E-8AD1276662BD}" id="{F2A6C381-A7A1-4A55-9CFE-3D439D309EC2}">
    <text>change from Jan-26</text>
  </threadedComment>
  <threadedComment ref="J22" dT="2026-04-21T08:40:12.07" personId="{A58CBF4E-0E31-45C3-801E-8AD1276662BD}" id="{9AC797D5-4D81-4D65-B8ED-D7E10C5E984F}" parentId="{F2A6C381-A7A1-4A55-9CFE-3D439D309EC2}">
    <text xml:space="preserve">Change to Apr
</text>
  </threadedComment>
  <threadedComment ref="I23" dT="2026-02-01T13:37:15.49" personId="{A58CBF4E-0E31-45C3-801E-8AD1276662BD}" id="{3965260A-5910-4037-BF39-CE7356F6426E}">
    <text>change from Dec-25</text>
  </threadedComment>
  <threadedComment ref="J23" dT="2026-02-01T13:37:15.49" personId="{A58CBF4E-0E31-45C3-801E-8AD1276662BD}" id="{F788D425-DFFB-4F4C-890C-FE7CBE4B2F24}">
    <text>change from Jan-26</text>
  </threadedComment>
  <threadedComment ref="J23" dT="2026-04-21T08:40:56.88" personId="{A58CBF4E-0E31-45C3-801E-8AD1276662BD}" id="{61C63CC1-C01C-48BB-A862-BAC72CB146E5}" parentId="{F788D425-DFFB-4F4C-890C-FE7CBE4B2F24}">
    <text xml:space="preserve">Change to Jul
</text>
  </threadedComment>
</ThreadedComments>
</file>

<file path=xl/threadedComments/threadedComment3.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1.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1.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1.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1.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2.xm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031127-1780-439E-8DEA-46FC77240628}">
  <sheetPr>
    <tabColor rgb="FF8064A2"/>
  </sheetPr>
  <dimension ref="A1:AC69"/>
  <sheetViews>
    <sheetView showGridLines="0" topLeftCell="A49" workbookViewId="0">
      <selection activeCell="G66" sqref="G66"/>
    </sheetView>
  </sheetViews>
  <sheetFormatPr defaultRowHeight="17.100000000000001" outlineLevelCol="1"/>
  <cols>
    <col min="1" max="24" width="8" customWidth="1"/>
    <col min="26" max="28" width="0" hidden="1" customWidth="1" outlineLevel="1"/>
    <col min="29" max="29" width="9.125" collapsed="1"/>
  </cols>
  <sheetData>
    <row r="1" spans="1:28" ht="15" customHeight="1">
      <c r="A1" s="220"/>
      <c r="B1" s="220"/>
      <c r="C1" s="220"/>
      <c r="D1" s="220"/>
      <c r="E1" s="220"/>
      <c r="F1" s="220"/>
      <c r="G1" s="220"/>
      <c r="H1" s="220"/>
      <c r="I1" s="220"/>
      <c r="J1" s="220"/>
      <c r="K1" s="220"/>
      <c r="L1" s="220"/>
      <c r="M1" s="220"/>
      <c r="N1" s="220"/>
      <c r="O1" s="220"/>
      <c r="P1" s="220"/>
      <c r="Q1" s="220"/>
      <c r="R1" s="220"/>
      <c r="S1" s="220"/>
      <c r="T1" s="220"/>
      <c r="U1" s="220"/>
      <c r="V1" s="220"/>
      <c r="W1" s="220"/>
      <c r="X1" s="220"/>
      <c r="AA1" t="s">
        <v>0</v>
      </c>
    </row>
    <row r="2" spans="1:28" ht="15" customHeight="1">
      <c r="A2" s="220"/>
      <c r="B2" s="438" t="s">
        <v>1</v>
      </c>
      <c r="C2" s="439"/>
      <c r="D2" s="439"/>
      <c r="E2" s="439"/>
      <c r="F2" s="439"/>
      <c r="G2" s="439"/>
      <c r="H2" s="439"/>
      <c r="I2" s="439"/>
      <c r="J2" s="439"/>
      <c r="K2" s="439"/>
      <c r="L2" s="439"/>
      <c r="M2" s="439"/>
      <c r="N2" s="439"/>
      <c r="O2" s="439"/>
      <c r="P2" s="439"/>
      <c r="Q2" s="439"/>
      <c r="R2" s="439"/>
      <c r="S2" s="439"/>
      <c r="T2" s="439"/>
      <c r="U2" s="439"/>
      <c r="V2" s="439"/>
      <c r="W2" s="439"/>
      <c r="X2" s="220"/>
      <c r="AA2" t="s">
        <v>2</v>
      </c>
      <c r="AB2">
        <f>COUNTIF(CRM!$B$3:$B$384,AA2)</f>
        <v>198</v>
      </c>
    </row>
    <row r="3" spans="1:28" ht="15" customHeight="1">
      <c r="A3" s="220"/>
      <c r="B3" s="440"/>
      <c r="C3" s="440"/>
      <c r="D3" s="440"/>
      <c r="E3" s="440"/>
      <c r="F3" s="440"/>
      <c r="G3" s="440"/>
      <c r="H3" s="440"/>
      <c r="I3" s="440"/>
      <c r="J3" s="440"/>
      <c r="K3" s="440"/>
      <c r="L3" s="440"/>
      <c r="M3" s="440"/>
      <c r="N3" s="440"/>
      <c r="O3" s="440"/>
      <c r="P3" s="440"/>
      <c r="Q3" s="440"/>
      <c r="R3" s="440"/>
      <c r="S3" s="440"/>
      <c r="T3" s="440"/>
      <c r="U3" s="440"/>
      <c r="V3" s="440"/>
      <c r="W3" s="440"/>
      <c r="X3" s="220"/>
      <c r="AA3" t="s">
        <v>3</v>
      </c>
      <c r="AB3">
        <f>COUNTIF(CRM!$B$3:$B$384,AA3)</f>
        <v>105</v>
      </c>
    </row>
    <row r="4" spans="1:28" ht="15" customHeight="1">
      <c r="A4" s="220"/>
      <c r="B4" s="220"/>
      <c r="C4" s="220"/>
      <c r="D4" s="220"/>
      <c r="E4" s="220"/>
      <c r="F4" s="220"/>
      <c r="G4" s="220"/>
      <c r="H4" s="220"/>
      <c r="I4" s="220"/>
      <c r="J4" s="220"/>
      <c r="K4" s="220"/>
      <c r="L4" s="220"/>
      <c r="M4" s="220"/>
      <c r="N4" s="220"/>
      <c r="O4" s="220"/>
      <c r="P4" s="220"/>
      <c r="Q4" s="220"/>
      <c r="R4" s="220"/>
      <c r="S4" s="220"/>
      <c r="T4" s="220"/>
      <c r="U4" s="220"/>
      <c r="V4" s="220"/>
      <c r="W4" s="220"/>
      <c r="X4" s="220"/>
      <c r="AA4" t="s">
        <v>4</v>
      </c>
      <c r="AB4">
        <f>COUNTIF(CRM!$B$3:$B$384,AA4)</f>
        <v>50</v>
      </c>
    </row>
    <row r="5" spans="1:28" ht="15" customHeight="1">
      <c r="A5" s="220"/>
      <c r="B5" s="454" t="s">
        <v>5</v>
      </c>
      <c r="C5" s="454"/>
      <c r="D5" s="454"/>
      <c r="E5" s="454"/>
      <c r="F5" s="454"/>
      <c r="G5" s="454"/>
      <c r="H5" s="454"/>
      <c r="I5" s="454"/>
      <c r="J5" s="454"/>
      <c r="K5" s="454"/>
      <c r="L5" s="454"/>
      <c r="M5" s="454"/>
      <c r="N5" s="454"/>
      <c r="O5" s="454"/>
      <c r="P5" s="454"/>
      <c r="Q5" s="454"/>
      <c r="R5" s="454"/>
      <c r="S5" s="454"/>
      <c r="T5" s="454"/>
      <c r="U5" s="454"/>
      <c r="V5" s="454"/>
      <c r="W5" s="454"/>
      <c r="X5" s="454"/>
      <c r="AA5" t="s">
        <v>6</v>
      </c>
      <c r="AB5">
        <f>COUNTA(CRM!$B$3:$B$384)-SUM(AB2:AB4)</f>
        <v>23</v>
      </c>
    </row>
    <row r="6" spans="1:28" ht="15" customHeight="1">
      <c r="A6" s="220"/>
      <c r="B6" s="441" t="s">
        <v>7</v>
      </c>
      <c r="C6" s="442"/>
      <c r="D6" s="442"/>
      <c r="E6" s="442"/>
      <c r="F6" s="443"/>
      <c r="G6" s="220"/>
      <c r="H6" s="441" t="s">
        <v>8</v>
      </c>
      <c r="I6" s="442"/>
      <c r="J6" s="442"/>
      <c r="K6" s="442"/>
      <c r="L6" s="443"/>
      <c r="M6" s="220"/>
      <c r="N6" s="441" t="s">
        <v>9</v>
      </c>
      <c r="O6" s="442"/>
      <c r="P6" s="442"/>
      <c r="Q6" s="442"/>
      <c r="R6" s="443"/>
      <c r="S6" s="220"/>
      <c r="T6" s="441" t="s">
        <v>10</v>
      </c>
      <c r="U6" s="442"/>
      <c r="V6" s="442"/>
      <c r="W6" s="442"/>
      <c r="X6" s="443"/>
    </row>
    <row r="7" spans="1:28" ht="15" customHeight="1">
      <c r="A7" s="220"/>
      <c r="B7" s="444">
        <f>COUNTA(CRM!$F$3:$F$384)</f>
        <v>381</v>
      </c>
      <c r="C7" s="445"/>
      <c r="D7" s="445"/>
      <c r="E7" s="445"/>
      <c r="F7" s="446"/>
      <c r="G7" s="220"/>
      <c r="H7" s="451">
        <f>AB4</f>
        <v>50</v>
      </c>
      <c r="I7" s="445"/>
      <c r="J7" s="445"/>
      <c r="K7" s="445"/>
      <c r="L7" s="446"/>
      <c r="M7" s="220"/>
      <c r="N7" s="452">
        <f>AB3</f>
        <v>105</v>
      </c>
      <c r="O7" s="445"/>
      <c r="P7" s="445"/>
      <c r="Q7" s="445"/>
      <c r="R7" s="446"/>
      <c r="S7" s="220"/>
      <c r="T7" s="453">
        <f>AB2</f>
        <v>198</v>
      </c>
      <c r="U7" s="445"/>
      <c r="V7" s="445"/>
      <c r="W7" s="445"/>
      <c r="X7" s="446"/>
      <c r="AA7" t="s">
        <v>11</v>
      </c>
    </row>
    <row r="8" spans="1:28" ht="15" customHeight="1">
      <c r="A8" s="220"/>
      <c r="B8" s="447"/>
      <c r="C8" s="445"/>
      <c r="D8" s="445"/>
      <c r="E8" s="445"/>
      <c r="F8" s="446"/>
      <c r="G8" s="220"/>
      <c r="H8" s="447"/>
      <c r="I8" s="445"/>
      <c r="J8" s="445"/>
      <c r="K8" s="445"/>
      <c r="L8" s="446"/>
      <c r="M8" s="220"/>
      <c r="N8" s="447"/>
      <c r="O8" s="445"/>
      <c r="P8" s="445"/>
      <c r="Q8" s="445"/>
      <c r="R8" s="446"/>
      <c r="S8" s="220"/>
      <c r="T8" s="447"/>
      <c r="U8" s="445"/>
      <c r="V8" s="445"/>
      <c r="W8" s="445"/>
      <c r="X8" s="446"/>
      <c r="AA8" t="s">
        <v>12</v>
      </c>
      <c r="AB8">
        <f>COUNTIF(CRM!$C$3:$C$384,AA8)</f>
        <v>5</v>
      </c>
    </row>
    <row r="9" spans="1:28" ht="15" customHeight="1">
      <c r="A9" s="220"/>
      <c r="B9" s="448"/>
      <c r="C9" s="449"/>
      <c r="D9" s="449"/>
      <c r="E9" s="449"/>
      <c r="F9" s="450"/>
      <c r="G9" s="220"/>
      <c r="H9" s="448"/>
      <c r="I9" s="449"/>
      <c r="J9" s="449"/>
      <c r="K9" s="449"/>
      <c r="L9" s="450"/>
      <c r="M9" s="220"/>
      <c r="N9" s="448"/>
      <c r="O9" s="449"/>
      <c r="P9" s="449"/>
      <c r="Q9" s="449"/>
      <c r="R9" s="450"/>
      <c r="S9" s="220"/>
      <c r="T9" s="448"/>
      <c r="U9" s="449"/>
      <c r="V9" s="449"/>
      <c r="W9" s="449"/>
      <c r="X9" s="450"/>
      <c r="AA9" t="s">
        <v>13</v>
      </c>
      <c r="AB9">
        <f>COUNTIF(CRM!$C$3:$C$384,AA9)</f>
        <v>8</v>
      </c>
    </row>
    <row r="10" spans="1:28" ht="15" customHeight="1">
      <c r="A10" s="220"/>
      <c r="B10" s="220"/>
      <c r="C10" s="220"/>
      <c r="D10" s="220"/>
      <c r="E10" s="220"/>
      <c r="F10" s="220"/>
      <c r="G10" s="220"/>
      <c r="H10" s="220"/>
      <c r="I10" s="220"/>
      <c r="J10" s="220"/>
      <c r="K10" s="220"/>
      <c r="L10" s="220"/>
      <c r="M10" s="220"/>
      <c r="N10" s="220"/>
      <c r="O10" s="220"/>
      <c r="P10" s="220"/>
      <c r="Q10" s="220"/>
      <c r="R10" s="220"/>
      <c r="S10" s="220"/>
      <c r="T10" s="220"/>
      <c r="U10" s="220"/>
      <c r="V10" s="220"/>
      <c r="W10" s="220"/>
      <c r="X10" s="220"/>
      <c r="AA10" t="s">
        <v>14</v>
      </c>
      <c r="AB10">
        <f>COUNTIF(CRM!$C$3:$C$384,AA10)</f>
        <v>46</v>
      </c>
    </row>
    <row r="11" spans="1:28" ht="15" customHeight="1">
      <c r="A11" s="220"/>
      <c r="B11" s="454" t="s">
        <v>15</v>
      </c>
      <c r="C11" s="454"/>
      <c r="D11" s="454"/>
      <c r="E11" s="454"/>
      <c r="F11" s="454"/>
      <c r="G11" s="454"/>
      <c r="H11" s="454"/>
      <c r="I11" s="454"/>
      <c r="J11" s="454"/>
      <c r="K11" s="454"/>
      <c r="L11" s="454"/>
      <c r="M11" s="454"/>
      <c r="N11" s="454"/>
      <c r="O11" s="454"/>
      <c r="P11" s="454"/>
      <c r="Q11" s="454"/>
      <c r="R11" s="454"/>
      <c r="S11" s="454"/>
      <c r="T11" s="454"/>
      <c r="U11" s="454"/>
      <c r="V11" s="454"/>
      <c r="W11" s="454"/>
      <c r="X11" s="454"/>
    </row>
    <row r="12" spans="1:28" ht="15" customHeight="1">
      <c r="A12" s="220"/>
      <c r="B12" s="441" t="s">
        <v>16</v>
      </c>
      <c r="C12" s="455"/>
      <c r="D12" s="455"/>
      <c r="E12" s="455"/>
      <c r="F12" s="456"/>
      <c r="G12" s="220"/>
      <c r="H12" s="441" t="s">
        <v>17</v>
      </c>
      <c r="I12" s="455"/>
      <c r="J12" s="455"/>
      <c r="K12" s="455"/>
      <c r="L12" s="456"/>
      <c r="M12" s="220"/>
      <c r="N12" s="441" t="s">
        <v>18</v>
      </c>
      <c r="O12" s="455"/>
      <c r="P12" s="455"/>
      <c r="Q12" s="455"/>
      <c r="R12" s="456"/>
      <c r="S12" s="220"/>
      <c r="T12" s="441" t="s">
        <v>9</v>
      </c>
      <c r="U12" s="455"/>
      <c r="V12" s="455"/>
      <c r="W12" s="455"/>
      <c r="X12" s="456"/>
      <c r="AA12" t="s">
        <v>19</v>
      </c>
    </row>
    <row r="13" spans="1:28" ht="15" customHeight="1">
      <c r="A13" s="220"/>
      <c r="B13" s="480">
        <f>COUNTA('Dev Schedule 2025-26'!$B$4:$B$82)</f>
        <v>79</v>
      </c>
      <c r="C13" s="481"/>
      <c r="D13" s="481"/>
      <c r="E13" s="481"/>
      <c r="F13" s="482"/>
      <c r="G13" s="220"/>
      <c r="H13" s="457">
        <f>COUNTIF('Dev Schedule 2025-26'!$H$4:$H$82,"Live")</f>
        <v>8</v>
      </c>
      <c r="I13" s="458"/>
      <c r="J13" s="458"/>
      <c r="K13" s="458"/>
      <c r="L13" s="459"/>
      <c r="M13" s="220"/>
      <c r="N13" s="463">
        <f>COUNTIF('Dev Schedule 2025-26'!$H$4:$H$82,"In Development")+COUNTIF('Dev Schedule 2025-26'!$H$4:$H$82,"Testing")</f>
        <v>7</v>
      </c>
      <c r="O13" s="464"/>
      <c r="P13" s="464"/>
      <c r="Q13" s="464"/>
      <c r="R13" s="465"/>
      <c r="S13" s="220"/>
      <c r="T13" s="469">
        <f>COUNTA('Dev Schedule 2025-26'!$B$4:$B$82)-COUNTIF('Dev Schedule 2025-26'!$H$4:$H$82,"Live")-COUNTIF('Dev Schedule 2025-26'!$H$4:$H$82,"In Development")-COUNTIF('Dev Schedule 2025-26'!$H$4:$H$82,"Testing")</f>
        <v>64</v>
      </c>
      <c r="U13" s="470"/>
      <c r="V13" s="470"/>
      <c r="W13" s="470"/>
      <c r="X13" s="471"/>
      <c r="AA13" t="s">
        <v>20</v>
      </c>
      <c r="AB13">
        <f>COUNTIF(CRM!$H$3:$H$384,AA13)</f>
        <v>139</v>
      </c>
    </row>
    <row r="14" spans="1:28" ht="15" customHeight="1">
      <c r="A14" s="220"/>
      <c r="B14" s="453"/>
      <c r="C14" s="481"/>
      <c r="D14" s="481"/>
      <c r="E14" s="481"/>
      <c r="F14" s="482"/>
      <c r="G14" s="220"/>
      <c r="H14" s="451"/>
      <c r="I14" s="458"/>
      <c r="J14" s="458"/>
      <c r="K14" s="458"/>
      <c r="L14" s="459"/>
      <c r="M14" s="220"/>
      <c r="N14" s="452"/>
      <c r="O14" s="464"/>
      <c r="P14" s="464"/>
      <c r="Q14" s="464"/>
      <c r="R14" s="465"/>
      <c r="S14" s="220"/>
      <c r="T14" s="472"/>
      <c r="U14" s="470"/>
      <c r="V14" s="470"/>
      <c r="W14" s="470"/>
      <c r="X14" s="471"/>
      <c r="AA14" t="s">
        <v>21</v>
      </c>
      <c r="AB14">
        <f>COUNTIF(CRM!$H$3:$H$384,AA14)</f>
        <v>107</v>
      </c>
    </row>
    <row r="15" spans="1:28" ht="15" customHeight="1">
      <c r="A15" s="220"/>
      <c r="B15" s="483"/>
      <c r="C15" s="484"/>
      <c r="D15" s="484"/>
      <c r="E15" s="484"/>
      <c r="F15" s="485"/>
      <c r="G15" s="220"/>
      <c r="H15" s="460"/>
      <c r="I15" s="461"/>
      <c r="J15" s="461"/>
      <c r="K15" s="461"/>
      <c r="L15" s="462"/>
      <c r="M15" s="220"/>
      <c r="N15" s="466"/>
      <c r="O15" s="467"/>
      <c r="P15" s="467"/>
      <c r="Q15" s="467"/>
      <c r="R15" s="468"/>
      <c r="S15" s="220"/>
      <c r="T15" s="473"/>
      <c r="U15" s="474"/>
      <c r="V15" s="474"/>
      <c r="W15" s="474"/>
      <c r="X15" s="475"/>
      <c r="AA15" t="s">
        <v>22</v>
      </c>
      <c r="AB15">
        <f>COUNTIF(CRM!$H$3:$H$384,AA15)</f>
        <v>90</v>
      </c>
    </row>
    <row r="16" spans="1:28" ht="15" customHeight="1">
      <c r="A16" s="220"/>
      <c r="B16" s="220"/>
      <c r="C16" s="220"/>
      <c r="D16" s="220"/>
      <c r="E16" s="220"/>
      <c r="F16" s="220"/>
      <c r="G16" s="220"/>
      <c r="H16" s="220"/>
      <c r="I16" s="220"/>
      <c r="J16" s="220"/>
      <c r="K16" s="220"/>
      <c r="L16" s="220"/>
      <c r="M16" s="220"/>
      <c r="N16" s="220"/>
      <c r="O16" s="220"/>
      <c r="P16" s="220"/>
      <c r="Q16" s="220"/>
      <c r="R16" s="220"/>
      <c r="S16" s="220"/>
      <c r="T16" s="220"/>
      <c r="U16" s="220"/>
      <c r="V16" s="220"/>
      <c r="W16" s="220"/>
      <c r="X16" s="220"/>
      <c r="AA16" t="s">
        <v>23</v>
      </c>
      <c r="AB16">
        <f>COUNTIF(CRM!$H$3:$H$384,AA16)</f>
        <v>46</v>
      </c>
    </row>
    <row r="17" spans="1:28" ht="15" customHeight="1">
      <c r="A17" s="220"/>
      <c r="B17" s="454" t="s">
        <v>24</v>
      </c>
      <c r="C17" s="454"/>
      <c r="D17" s="454"/>
      <c r="E17" s="454"/>
      <c r="F17" s="454"/>
      <c r="G17" s="454"/>
      <c r="H17" s="454"/>
      <c r="I17" s="454"/>
      <c r="J17" s="454"/>
      <c r="K17" s="454"/>
      <c r="L17" s="454"/>
      <c r="M17" s="454"/>
      <c r="N17" s="454"/>
      <c r="O17" s="454"/>
      <c r="P17" s="454"/>
      <c r="Q17" s="454"/>
      <c r="R17" s="454"/>
      <c r="S17" s="454"/>
      <c r="T17" s="454"/>
      <c r="U17" s="454"/>
      <c r="V17" s="454"/>
      <c r="W17" s="454"/>
      <c r="X17" s="454"/>
    </row>
    <row r="18" spans="1:28" ht="15" customHeight="1">
      <c r="A18" s="220"/>
      <c r="AA18" t="s">
        <v>25</v>
      </c>
    </row>
    <row r="19" spans="1:28" ht="15" customHeight="1">
      <c r="A19" s="220"/>
      <c r="AA19" t="s">
        <v>26</v>
      </c>
      <c r="AB19">
        <f>COUNTIF(CRM!$E$3:$E$384,AA19)</f>
        <v>254</v>
      </c>
    </row>
    <row r="20" spans="1:28" ht="15" customHeight="1">
      <c r="A20" s="220"/>
      <c r="AA20" t="s">
        <v>27</v>
      </c>
      <c r="AB20">
        <f>COUNTIF(CRM!$E$3:$E$384,AA20)</f>
        <v>21</v>
      </c>
    </row>
    <row r="21" spans="1:28" ht="15" customHeight="1">
      <c r="A21" s="220"/>
      <c r="AA21" t="s">
        <v>28</v>
      </c>
      <c r="AB21">
        <f>COUNTIF(CRM!$E$3:$E$384,AA21)</f>
        <v>8</v>
      </c>
    </row>
    <row r="22" spans="1:28" ht="15" customHeight="1">
      <c r="A22" s="220"/>
      <c r="AA22" t="s">
        <v>29</v>
      </c>
      <c r="AB22">
        <f>COUNTIF(CRM!$E$3:$E$384,AA22)</f>
        <v>5</v>
      </c>
    </row>
    <row r="23" spans="1:28" ht="15" customHeight="1">
      <c r="A23" s="220"/>
      <c r="AA23" t="s">
        <v>6</v>
      </c>
      <c r="AB23">
        <f>COUNTA(CRM!$E$3:$E$384)-SUM(AB19:AB22)</f>
        <v>6</v>
      </c>
    </row>
    <row r="24" spans="1:28" ht="15" customHeight="1">
      <c r="A24" s="220"/>
    </row>
    <row r="25" spans="1:28" ht="15" customHeight="1">
      <c r="A25" s="220"/>
      <c r="AA25" t="s">
        <v>30</v>
      </c>
    </row>
    <row r="26" spans="1:28" ht="15" customHeight="1">
      <c r="A26" s="220"/>
      <c r="B26" s="220"/>
      <c r="C26" s="220"/>
      <c r="D26" s="220"/>
      <c r="E26" s="220"/>
      <c r="F26" s="220"/>
      <c r="G26" s="220"/>
      <c r="H26" s="220"/>
      <c r="I26" s="220"/>
      <c r="J26" s="220"/>
      <c r="K26" s="220"/>
      <c r="L26" s="220"/>
      <c r="M26" s="220"/>
      <c r="N26" s="220"/>
      <c r="O26" s="220"/>
      <c r="P26" s="220"/>
      <c r="Q26" s="220"/>
      <c r="R26" s="220"/>
      <c r="S26" s="220"/>
      <c r="T26" s="220"/>
      <c r="U26" s="220"/>
      <c r="V26" s="220"/>
      <c r="W26" s="220"/>
      <c r="X26" s="220"/>
      <c r="AA26" t="s">
        <v>31</v>
      </c>
      <c r="AB26">
        <f>COUNTIF(CRM!$N$3:$N$384,AA26)</f>
        <v>5</v>
      </c>
    </row>
    <row r="27" spans="1:28" ht="15" customHeight="1">
      <c r="A27" s="220"/>
      <c r="B27" s="220"/>
      <c r="C27" s="220"/>
      <c r="D27" s="220"/>
      <c r="E27" s="220"/>
      <c r="F27" s="220"/>
      <c r="G27" s="220"/>
      <c r="H27" s="220"/>
      <c r="I27" s="220"/>
      <c r="J27" s="220"/>
      <c r="K27" s="220"/>
      <c r="L27" s="220"/>
      <c r="M27" s="220"/>
      <c r="N27" s="220"/>
      <c r="O27" s="220"/>
      <c r="P27" s="220"/>
      <c r="Q27" s="220"/>
      <c r="R27" s="220"/>
      <c r="S27" s="220"/>
      <c r="T27" s="220"/>
      <c r="U27" s="220"/>
      <c r="V27" s="220"/>
      <c r="W27" s="220"/>
      <c r="X27" s="220"/>
      <c r="AA27" t="s">
        <v>32</v>
      </c>
      <c r="AB27">
        <f>COUNTIF(CRM!$N$3:$N$384,AA27)</f>
        <v>100</v>
      </c>
    </row>
    <row r="28" spans="1:28" ht="15" customHeight="1">
      <c r="A28" s="220"/>
      <c r="B28" s="220"/>
      <c r="C28" s="220"/>
      <c r="D28" s="220"/>
      <c r="E28" s="220"/>
      <c r="F28" s="220"/>
      <c r="G28" s="220"/>
      <c r="H28" s="220"/>
      <c r="I28" s="220"/>
      <c r="J28" s="220"/>
      <c r="K28" s="220"/>
      <c r="L28" s="220"/>
      <c r="M28" s="220"/>
      <c r="N28" s="220"/>
      <c r="O28" s="220"/>
      <c r="P28" s="220"/>
      <c r="Q28" s="220"/>
      <c r="R28" s="220"/>
      <c r="S28" s="220"/>
      <c r="T28" s="220"/>
      <c r="U28" s="220"/>
      <c r="V28" s="220"/>
      <c r="W28" s="220"/>
      <c r="X28" s="220"/>
      <c r="AA28" t="s">
        <v>33</v>
      </c>
      <c r="AB28">
        <f>COUNTIF(CRM!$N$3:$N$384,AA28)</f>
        <v>44</v>
      </c>
    </row>
    <row r="29" spans="1:28" ht="15" customHeight="1">
      <c r="A29" s="220"/>
      <c r="B29" s="220"/>
      <c r="C29" s="220"/>
      <c r="D29" s="220"/>
      <c r="E29" s="220"/>
      <c r="F29" s="220"/>
      <c r="G29" s="220"/>
      <c r="H29" s="220"/>
      <c r="I29" s="220"/>
      <c r="J29" s="220"/>
      <c r="K29" s="220"/>
      <c r="L29" s="220"/>
      <c r="M29" s="220"/>
      <c r="N29" s="220"/>
      <c r="O29" s="220"/>
      <c r="P29" s="220"/>
      <c r="Q29" s="220"/>
      <c r="R29" s="220"/>
      <c r="S29" s="220"/>
      <c r="T29" s="220"/>
      <c r="U29" s="220"/>
      <c r="V29" s="220"/>
      <c r="W29" s="220"/>
      <c r="X29" s="220"/>
      <c r="AA29" t="s">
        <v>34</v>
      </c>
      <c r="AB29">
        <f>COUNTIF(CRM!$N$3:$N$384,AA29)</f>
        <v>13</v>
      </c>
    </row>
    <row r="30" spans="1:28" ht="15" customHeight="1">
      <c r="A30" s="220"/>
      <c r="B30" s="220"/>
      <c r="C30" s="220"/>
      <c r="D30" s="220"/>
      <c r="E30" s="220"/>
      <c r="F30" s="220"/>
      <c r="G30" s="220"/>
      <c r="H30" s="220"/>
      <c r="I30" s="220"/>
      <c r="J30" s="220"/>
      <c r="K30" s="220"/>
      <c r="L30" s="220"/>
      <c r="M30" s="220"/>
      <c r="N30" s="220"/>
      <c r="O30" s="220"/>
      <c r="P30" s="220"/>
      <c r="Q30" s="220"/>
      <c r="R30" s="220"/>
      <c r="S30" s="220"/>
      <c r="T30" s="220"/>
      <c r="U30" s="220"/>
      <c r="V30" s="220"/>
      <c r="W30" s="220"/>
      <c r="X30" s="220"/>
      <c r="AA30" t="s">
        <v>35</v>
      </c>
      <c r="AB30">
        <f>COUNTIF(CRM!$N$3:$N$384,AA30)</f>
        <v>6</v>
      </c>
    </row>
    <row r="31" spans="1:28" ht="15" customHeight="1">
      <c r="A31" s="220"/>
      <c r="B31" s="220"/>
      <c r="C31" s="220"/>
      <c r="D31" s="220"/>
      <c r="E31" s="220"/>
      <c r="F31" s="220"/>
      <c r="G31" s="220"/>
      <c r="H31" s="220"/>
      <c r="I31" s="220"/>
      <c r="J31" s="220"/>
      <c r="K31" s="220"/>
      <c r="L31" s="220"/>
      <c r="M31" s="220"/>
      <c r="N31" s="220"/>
      <c r="O31" s="220"/>
      <c r="P31" s="220"/>
      <c r="Q31" s="220"/>
      <c r="R31" s="220"/>
      <c r="S31" s="220"/>
      <c r="T31" s="220"/>
      <c r="U31" s="220"/>
      <c r="V31" s="220"/>
      <c r="W31" s="220"/>
      <c r="X31" s="220"/>
      <c r="AA31" t="s">
        <v>6</v>
      </c>
      <c r="AB31">
        <f>COUNTA(CRM!$N$3:$N$384)-SUM(AB26:AB30)</f>
        <v>114</v>
      </c>
    </row>
    <row r="32" spans="1:28" ht="15" customHeight="1">
      <c r="A32" s="220"/>
      <c r="B32" s="220"/>
      <c r="C32" s="220"/>
      <c r="D32" s="220"/>
      <c r="E32" s="220"/>
      <c r="F32" s="220"/>
      <c r="G32" s="220"/>
      <c r="H32" s="220"/>
      <c r="I32" s="220"/>
      <c r="J32" s="220"/>
      <c r="K32" s="220"/>
      <c r="L32" s="220"/>
      <c r="M32" s="220"/>
      <c r="N32" s="220"/>
      <c r="O32" s="220"/>
      <c r="P32" s="220"/>
      <c r="Q32" s="220"/>
      <c r="R32" s="220"/>
      <c r="S32" s="220"/>
      <c r="T32" s="220"/>
      <c r="U32" s="220"/>
      <c r="V32" s="220"/>
      <c r="W32" s="220"/>
      <c r="X32" s="220"/>
    </row>
    <row r="33" spans="1:28" ht="15" customHeight="1">
      <c r="A33" s="220"/>
      <c r="B33" s="220"/>
      <c r="C33" s="220"/>
      <c r="D33" s="220"/>
      <c r="E33" s="220"/>
      <c r="F33" s="220"/>
      <c r="G33" s="220"/>
      <c r="H33" s="220"/>
      <c r="I33" s="220"/>
      <c r="J33" s="220"/>
      <c r="K33" s="220"/>
      <c r="L33" s="220"/>
      <c r="M33" s="220"/>
      <c r="N33" s="220"/>
      <c r="O33" s="220"/>
      <c r="P33" s="220"/>
      <c r="Q33" s="220"/>
      <c r="R33" s="220"/>
      <c r="S33" s="220"/>
      <c r="T33" s="220"/>
      <c r="U33" s="220"/>
      <c r="V33" s="220"/>
      <c r="W33" s="220"/>
      <c r="X33" s="220"/>
      <c r="AA33" t="s">
        <v>36</v>
      </c>
    </row>
    <row r="34" spans="1:28" ht="15" customHeight="1">
      <c r="A34" s="220"/>
      <c r="B34" s="220"/>
      <c r="C34" s="220"/>
      <c r="D34" s="220"/>
      <c r="E34" s="220"/>
      <c r="F34" s="220"/>
      <c r="G34" s="220"/>
      <c r="H34" s="220"/>
      <c r="I34" s="220"/>
      <c r="J34" s="220"/>
      <c r="K34" s="220"/>
      <c r="L34" s="220"/>
      <c r="M34" s="220"/>
      <c r="N34" s="220"/>
      <c r="O34" s="220"/>
      <c r="P34" s="220"/>
      <c r="Q34" s="220"/>
      <c r="R34" s="220"/>
      <c r="S34" s="220"/>
      <c r="T34" s="220"/>
      <c r="U34" s="220"/>
      <c r="V34" s="220"/>
      <c r="W34" s="220"/>
      <c r="X34" s="220"/>
      <c r="AA34" t="s">
        <v>37</v>
      </c>
      <c r="AB34">
        <f>COUNTIF(CRM!$K$3:$K$384,"East Asia")</f>
        <v>155</v>
      </c>
    </row>
    <row r="35" spans="1:28" ht="15" customHeight="1">
      <c r="A35" s="220"/>
      <c r="B35" s="220"/>
      <c r="C35" s="220"/>
      <c r="D35" s="220"/>
      <c r="E35" s="220"/>
      <c r="F35" s="220"/>
      <c r="G35" s="220"/>
      <c r="H35" s="220"/>
      <c r="I35" s="220"/>
      <c r="J35" s="220"/>
      <c r="K35" s="220"/>
      <c r="L35" s="220"/>
      <c r="M35" s="220"/>
      <c r="N35" s="220"/>
      <c r="O35" s="220"/>
      <c r="P35" s="220"/>
      <c r="Q35" s="220"/>
      <c r="R35" s="220"/>
      <c r="S35" s="220"/>
      <c r="T35" s="220"/>
      <c r="U35" s="220"/>
      <c r="V35" s="220"/>
      <c r="W35" s="220"/>
      <c r="X35" s="220"/>
      <c r="AA35" t="s">
        <v>38</v>
      </c>
      <c r="AB35">
        <f>COUNTIF(CRM!$K$3:$K$384,"South East Asia")+COUNTIF(CRM!$K$3:$K$384,"Southeast Asia")+COUNTIF(CRM!$K$3:$K$384,"SEA")</f>
        <v>124</v>
      </c>
    </row>
    <row r="36" spans="1:28" ht="15" customHeight="1">
      <c r="A36" s="220"/>
      <c r="B36" s="220"/>
      <c r="C36" s="220"/>
      <c r="D36" s="220"/>
      <c r="E36" s="220"/>
      <c r="F36" s="220"/>
      <c r="G36" s="220"/>
      <c r="H36" s="220"/>
      <c r="I36" s="220"/>
      <c r="J36" s="220"/>
      <c r="K36" s="220"/>
      <c r="L36" s="220"/>
      <c r="M36" s="220"/>
      <c r="N36" s="220"/>
      <c r="O36" s="220"/>
      <c r="P36" s="220"/>
      <c r="Q36" s="220"/>
      <c r="R36" s="220"/>
      <c r="S36" s="220"/>
      <c r="T36" s="220"/>
      <c r="U36" s="220"/>
      <c r="V36" s="220"/>
      <c r="W36" s="220"/>
      <c r="X36" s="220"/>
      <c r="AA36" t="s">
        <v>39</v>
      </c>
      <c r="AB36">
        <f>COUNTIF(CRM!$K$3:$K$384,"Singapore*")</f>
        <v>19</v>
      </c>
    </row>
    <row r="37" spans="1:28" ht="15" customHeight="1">
      <c r="A37" s="220"/>
      <c r="B37" s="220"/>
      <c r="C37" s="220"/>
      <c r="D37" s="220"/>
      <c r="E37" s="220"/>
      <c r="F37" s="220"/>
      <c r="G37" s="220"/>
      <c r="H37" s="220"/>
      <c r="I37" s="220"/>
      <c r="J37" s="220"/>
      <c r="K37" s="220"/>
      <c r="L37" s="220"/>
      <c r="M37" s="220"/>
      <c r="N37" s="220"/>
      <c r="O37" s="220"/>
      <c r="P37" s="220"/>
      <c r="Q37" s="220"/>
      <c r="R37" s="220"/>
      <c r="S37" s="220"/>
      <c r="T37" s="220"/>
      <c r="U37" s="220"/>
      <c r="V37" s="220"/>
      <c r="W37" s="220"/>
      <c r="X37" s="220"/>
      <c r="AA37" t="s">
        <v>40</v>
      </c>
      <c r="AB37">
        <f>COUNTIF(CRM!$K$3:$K$384,"Middle East*")</f>
        <v>17</v>
      </c>
    </row>
    <row r="38" spans="1:28" ht="15" customHeight="1">
      <c r="A38" s="220"/>
      <c r="B38" s="220"/>
      <c r="C38" s="220"/>
      <c r="D38" s="220"/>
      <c r="E38" s="220"/>
      <c r="F38" s="220"/>
      <c r="G38" s="220"/>
      <c r="H38" s="220"/>
      <c r="I38" s="220"/>
      <c r="J38" s="220"/>
      <c r="K38" s="220"/>
      <c r="L38" s="220"/>
      <c r="M38" s="220"/>
      <c r="N38" s="220"/>
      <c r="O38" s="220"/>
      <c r="P38" s="220"/>
      <c r="Q38" s="220"/>
      <c r="R38" s="220"/>
      <c r="S38" s="220"/>
      <c r="T38" s="220"/>
      <c r="U38" s="220"/>
      <c r="V38" s="220"/>
      <c r="W38" s="220"/>
      <c r="X38" s="220"/>
      <c r="AA38" t="s">
        <v>6</v>
      </c>
      <c r="AB38">
        <f>COUNTA(CRM!$K$3:$K$384)-SUM(AB34:AB37)</f>
        <v>34</v>
      </c>
    </row>
    <row r="39" spans="1:28" ht="15" customHeight="1">
      <c r="A39" s="220"/>
      <c r="B39" s="220"/>
      <c r="C39" s="220"/>
      <c r="D39" s="220"/>
      <c r="E39" s="220"/>
      <c r="F39" s="220"/>
      <c r="G39" s="220"/>
      <c r="H39" s="220"/>
      <c r="I39" s="220"/>
      <c r="J39" s="220"/>
      <c r="K39" s="220"/>
      <c r="L39" s="220"/>
      <c r="M39" s="220"/>
      <c r="N39" s="220"/>
      <c r="O39" s="220"/>
      <c r="P39" s="220"/>
      <c r="Q39" s="220"/>
      <c r="R39" s="220"/>
      <c r="S39" s="220"/>
      <c r="T39" s="220"/>
      <c r="U39" s="220"/>
      <c r="V39" s="220"/>
      <c r="W39" s="220"/>
      <c r="X39" s="220"/>
    </row>
    <row r="40" spans="1:28" ht="15" customHeight="1">
      <c r="A40" s="220"/>
      <c r="B40" s="220"/>
      <c r="C40" s="220"/>
      <c r="D40" s="220"/>
      <c r="E40" s="220"/>
      <c r="F40" s="220"/>
      <c r="G40" s="220"/>
      <c r="H40" s="220"/>
      <c r="I40" s="220"/>
      <c r="J40" s="220"/>
      <c r="K40" s="220"/>
      <c r="L40" s="220"/>
      <c r="M40" s="220"/>
      <c r="N40" s="220"/>
      <c r="O40" s="220"/>
      <c r="P40" s="220"/>
      <c r="Q40" s="220"/>
      <c r="R40" s="220"/>
      <c r="S40" s="220"/>
      <c r="T40" s="220"/>
      <c r="U40" s="220"/>
      <c r="V40" s="220"/>
      <c r="W40" s="220"/>
      <c r="X40" s="220"/>
    </row>
    <row r="41" spans="1:28" ht="15" customHeight="1">
      <c r="A41" s="220"/>
      <c r="B41" s="220"/>
      <c r="C41" s="220"/>
      <c r="D41" s="220"/>
      <c r="E41" s="220"/>
      <c r="F41" s="220"/>
      <c r="G41" s="220"/>
      <c r="H41" s="220"/>
      <c r="I41" s="220"/>
      <c r="J41" s="220"/>
      <c r="K41" s="220"/>
      <c r="L41" s="220"/>
      <c r="M41" s="220"/>
      <c r="N41" s="220"/>
      <c r="O41" s="220"/>
      <c r="P41" s="220"/>
      <c r="Q41" s="220"/>
      <c r="R41" s="220"/>
      <c r="S41" s="220"/>
      <c r="T41" s="220"/>
      <c r="U41" s="220"/>
      <c r="V41" s="220"/>
      <c r="W41" s="220"/>
      <c r="X41" s="220"/>
    </row>
    <row r="42" spans="1:28" ht="15" customHeight="1">
      <c r="A42" s="220"/>
      <c r="B42" s="220"/>
      <c r="C42" s="220"/>
      <c r="D42" s="220"/>
      <c r="E42" s="220"/>
      <c r="F42" s="220"/>
      <c r="G42" s="220"/>
      <c r="H42" s="220"/>
      <c r="I42" s="220"/>
      <c r="J42" s="220"/>
      <c r="K42" s="220"/>
      <c r="L42" s="220"/>
      <c r="M42" s="220"/>
      <c r="N42" s="220"/>
      <c r="O42" s="220"/>
      <c r="P42" s="220"/>
      <c r="Q42" s="220"/>
      <c r="R42" s="220"/>
      <c r="S42" s="220"/>
      <c r="T42" s="220"/>
      <c r="U42" s="220"/>
      <c r="V42" s="220"/>
      <c r="W42" s="220"/>
      <c r="X42" s="220"/>
    </row>
    <row r="43" spans="1:28" ht="15" customHeight="1">
      <c r="A43" s="220"/>
      <c r="B43" s="220"/>
      <c r="C43" s="220"/>
      <c r="D43" s="220"/>
      <c r="E43" s="220"/>
      <c r="F43" s="220"/>
      <c r="G43" s="220"/>
      <c r="H43" s="220"/>
      <c r="I43" s="220"/>
      <c r="J43" s="220"/>
      <c r="K43" s="220"/>
      <c r="L43" s="220"/>
      <c r="M43" s="220"/>
      <c r="N43" s="220"/>
      <c r="O43" s="220"/>
      <c r="P43" s="220"/>
      <c r="Q43" s="220"/>
      <c r="R43" s="220"/>
      <c r="S43" s="220"/>
      <c r="T43" s="220"/>
      <c r="U43" s="220"/>
      <c r="V43" s="220"/>
      <c r="W43" s="220"/>
      <c r="X43" s="220"/>
    </row>
    <row r="44" spans="1:28" ht="15" customHeight="1">
      <c r="A44" s="220"/>
      <c r="B44" s="220"/>
      <c r="C44" s="220"/>
      <c r="D44" s="220"/>
      <c r="E44" s="220"/>
      <c r="F44" s="220"/>
      <c r="G44" s="220"/>
      <c r="H44" s="220"/>
      <c r="I44" s="220"/>
      <c r="J44" s="220"/>
      <c r="K44" s="220"/>
      <c r="L44" s="220"/>
      <c r="M44" s="220"/>
      <c r="N44" s="220"/>
      <c r="O44" s="220"/>
      <c r="P44" s="220"/>
      <c r="Q44" s="220"/>
      <c r="R44" s="220"/>
      <c r="S44" s="220"/>
      <c r="T44" s="220"/>
      <c r="U44" s="220"/>
      <c r="V44" s="220"/>
      <c r="W44" s="220"/>
      <c r="X44" s="220"/>
    </row>
    <row r="45" spans="1:28" ht="15" customHeight="1">
      <c r="A45" s="220"/>
      <c r="B45" s="220"/>
      <c r="C45" s="220"/>
      <c r="D45" s="220"/>
      <c r="E45" s="220"/>
      <c r="F45" s="220"/>
      <c r="G45" s="220"/>
      <c r="H45" s="220"/>
      <c r="I45" s="220"/>
      <c r="J45" s="220"/>
      <c r="K45" s="220"/>
      <c r="L45" s="220"/>
      <c r="M45" s="220"/>
      <c r="N45" s="220"/>
      <c r="O45" s="220"/>
      <c r="P45" s="220"/>
      <c r="Q45" s="220"/>
      <c r="R45" s="220"/>
      <c r="S45" s="220"/>
      <c r="T45" s="220"/>
      <c r="U45" s="220"/>
      <c r="V45" s="220"/>
      <c r="W45" s="220"/>
      <c r="X45" s="220"/>
    </row>
    <row r="46" spans="1:28" ht="15" customHeight="1">
      <c r="A46" s="220"/>
      <c r="B46" s="220"/>
      <c r="C46" s="220"/>
      <c r="D46" s="220"/>
      <c r="E46" s="220"/>
      <c r="F46" s="220"/>
      <c r="G46" s="220"/>
      <c r="H46" s="220"/>
      <c r="I46" s="220"/>
      <c r="J46" s="220"/>
      <c r="K46" s="220"/>
      <c r="L46" s="220"/>
      <c r="M46" s="220"/>
      <c r="N46" s="220"/>
      <c r="O46" s="220"/>
      <c r="P46" s="220"/>
      <c r="Q46" s="220"/>
      <c r="R46" s="220"/>
      <c r="S46" s="220"/>
      <c r="T46" s="220"/>
      <c r="U46" s="220"/>
      <c r="V46" s="220"/>
      <c r="W46" s="220"/>
      <c r="X46" s="220"/>
    </row>
    <row r="47" spans="1:28" ht="15" customHeight="1">
      <c r="A47" s="220"/>
      <c r="B47" s="220"/>
      <c r="C47" s="220"/>
      <c r="D47" s="220"/>
      <c r="E47" s="220"/>
      <c r="F47" s="220"/>
      <c r="G47" s="220"/>
      <c r="H47" s="220"/>
      <c r="I47" s="220"/>
      <c r="J47" s="220"/>
      <c r="K47" s="220"/>
      <c r="L47" s="220"/>
      <c r="M47" s="220"/>
      <c r="N47" s="220"/>
      <c r="O47" s="220"/>
      <c r="P47" s="220"/>
      <c r="Q47" s="220"/>
      <c r="R47" s="220"/>
      <c r="S47" s="220"/>
      <c r="T47" s="220"/>
      <c r="U47" s="220"/>
      <c r="V47" s="220"/>
      <c r="W47" s="220"/>
      <c r="X47" s="220"/>
    </row>
    <row r="48" spans="1:28" ht="15" customHeight="1">
      <c r="A48" s="220"/>
      <c r="B48" s="220"/>
      <c r="C48" s="220"/>
      <c r="D48" s="220"/>
      <c r="E48" s="220"/>
      <c r="F48" s="220"/>
      <c r="G48" s="220"/>
      <c r="H48" s="220"/>
      <c r="I48" s="220"/>
      <c r="J48" s="220"/>
      <c r="K48" s="220"/>
      <c r="L48" s="220"/>
      <c r="M48" s="220"/>
      <c r="N48" s="220"/>
      <c r="O48" s="220"/>
      <c r="P48" s="220"/>
      <c r="Q48" s="220"/>
      <c r="R48" s="220"/>
      <c r="S48" s="220"/>
      <c r="T48" s="220"/>
      <c r="U48" s="220"/>
      <c r="V48" s="220"/>
      <c r="W48" s="220"/>
      <c r="X48" s="220"/>
    </row>
    <row r="49" spans="1:24" ht="15" customHeight="1">
      <c r="A49" s="220"/>
      <c r="B49" s="220"/>
      <c r="C49" s="220"/>
      <c r="D49" s="220"/>
      <c r="E49" s="220"/>
      <c r="F49" s="220"/>
      <c r="G49" s="220"/>
      <c r="H49" s="220"/>
      <c r="I49" s="220"/>
      <c r="J49" s="220"/>
      <c r="K49" s="220"/>
      <c r="L49" s="220"/>
      <c r="M49" s="220"/>
      <c r="N49" s="220"/>
      <c r="O49" s="220"/>
      <c r="P49" s="220"/>
      <c r="Q49" s="220"/>
      <c r="R49" s="220"/>
      <c r="S49" s="220"/>
      <c r="T49" s="220"/>
      <c r="U49" s="220"/>
      <c r="V49" s="220"/>
      <c r="W49" s="220"/>
      <c r="X49" s="220"/>
    </row>
    <row r="50" spans="1:24" ht="15" customHeight="1">
      <c r="A50" s="220"/>
      <c r="B50" s="220"/>
      <c r="C50" s="220"/>
      <c r="D50" s="220"/>
      <c r="E50" s="220"/>
      <c r="F50" s="220"/>
      <c r="G50" s="220"/>
      <c r="H50" s="220"/>
      <c r="I50" s="220"/>
      <c r="J50" s="220"/>
      <c r="K50" s="220"/>
      <c r="L50" s="220"/>
      <c r="M50" s="220"/>
      <c r="N50" s="220"/>
      <c r="O50" s="220"/>
      <c r="P50" s="220"/>
      <c r="Q50" s="220"/>
      <c r="R50" s="220"/>
      <c r="S50" s="220"/>
      <c r="T50" s="220"/>
      <c r="U50" s="220"/>
      <c r="V50" s="220"/>
      <c r="W50" s="220"/>
      <c r="X50" s="220"/>
    </row>
    <row r="51" spans="1:24" ht="15" customHeight="1">
      <c r="A51" s="220"/>
      <c r="B51" s="220"/>
      <c r="C51" s="220"/>
      <c r="D51" s="220"/>
      <c r="E51" s="220"/>
      <c r="F51" s="220"/>
      <c r="G51" s="220"/>
      <c r="H51" s="220"/>
      <c r="I51" s="220"/>
      <c r="J51" s="220"/>
      <c r="K51" s="220"/>
      <c r="L51" s="220"/>
      <c r="M51" s="220"/>
      <c r="N51" s="220"/>
      <c r="O51" s="220"/>
      <c r="P51" s="220"/>
      <c r="Q51" s="220"/>
      <c r="R51" s="220"/>
      <c r="S51" s="220"/>
      <c r="T51" s="220"/>
      <c r="U51" s="220"/>
      <c r="V51" s="220"/>
      <c r="W51" s="220"/>
      <c r="X51" s="220"/>
    </row>
    <row r="52" spans="1:24" ht="15" customHeight="1">
      <c r="A52" s="220"/>
      <c r="B52" s="220"/>
      <c r="C52" s="220"/>
      <c r="D52" s="220"/>
      <c r="E52" s="220"/>
      <c r="F52" s="220"/>
      <c r="G52" s="220"/>
      <c r="H52" s="220"/>
      <c r="I52" s="220"/>
      <c r="J52" s="220"/>
      <c r="K52" s="220"/>
      <c r="L52" s="220"/>
      <c r="M52" s="220"/>
      <c r="N52" s="220"/>
      <c r="O52" s="220"/>
      <c r="P52" s="220"/>
      <c r="Q52" s="220"/>
      <c r="R52" s="220"/>
      <c r="S52" s="220"/>
      <c r="T52" s="220"/>
      <c r="U52" s="220"/>
      <c r="V52" s="220"/>
      <c r="W52" s="220"/>
      <c r="X52" s="220"/>
    </row>
    <row r="53" spans="1:24" ht="15" customHeight="1">
      <c r="A53" s="220"/>
      <c r="B53" s="220"/>
      <c r="C53" s="220"/>
      <c r="D53" s="220"/>
      <c r="E53" s="220"/>
      <c r="F53" s="220"/>
      <c r="G53" s="220"/>
      <c r="H53" s="220"/>
      <c r="I53" s="220"/>
      <c r="J53" s="220"/>
      <c r="K53" s="220"/>
      <c r="L53" s="220"/>
      <c r="M53" s="220"/>
      <c r="N53" s="220"/>
      <c r="O53" s="220"/>
      <c r="P53" s="220"/>
      <c r="Q53" s="220"/>
      <c r="R53" s="220"/>
      <c r="S53" s="220"/>
      <c r="T53" s="220"/>
      <c r="U53" s="220"/>
      <c r="V53" s="220"/>
      <c r="W53" s="220"/>
      <c r="X53" s="220"/>
    </row>
    <row r="54" spans="1:24" ht="15" customHeight="1">
      <c r="A54" s="220"/>
      <c r="B54" s="220"/>
      <c r="C54" s="220"/>
      <c r="D54" s="220"/>
      <c r="E54" s="220"/>
      <c r="F54" s="220"/>
      <c r="G54" s="220"/>
      <c r="H54" s="220"/>
      <c r="I54" s="220"/>
      <c r="J54" s="220"/>
      <c r="K54" s="220"/>
      <c r="L54" s="220"/>
      <c r="M54" s="220"/>
      <c r="N54" s="220"/>
      <c r="O54" s="220"/>
      <c r="P54" s="220"/>
      <c r="Q54" s="220"/>
      <c r="R54" s="220"/>
      <c r="S54" s="220"/>
      <c r="T54" s="220"/>
      <c r="U54" s="220"/>
      <c r="V54" s="220"/>
      <c r="W54" s="220"/>
      <c r="X54" s="220"/>
    </row>
    <row r="55" spans="1:24" ht="15" customHeight="1">
      <c r="A55" s="220"/>
      <c r="B55" s="220"/>
      <c r="C55" s="220"/>
      <c r="D55" s="220"/>
      <c r="E55" s="220"/>
      <c r="F55" s="220"/>
      <c r="G55" s="220"/>
      <c r="H55" s="220"/>
      <c r="I55" s="220"/>
      <c r="J55" s="220"/>
      <c r="K55" s="220"/>
      <c r="L55" s="220"/>
      <c r="M55" s="220"/>
      <c r="N55" s="220"/>
      <c r="O55" s="220"/>
      <c r="P55" s="220"/>
      <c r="Q55" s="220"/>
      <c r="R55" s="220"/>
      <c r="S55" s="220"/>
      <c r="T55" s="220"/>
      <c r="U55" s="220"/>
      <c r="V55" s="220"/>
      <c r="W55" s="220"/>
      <c r="X55" s="220"/>
    </row>
    <row r="56" spans="1:24" ht="15" customHeight="1">
      <c r="A56" s="220"/>
      <c r="B56" s="220"/>
      <c r="C56" s="220"/>
      <c r="D56" s="220"/>
      <c r="E56" s="220"/>
      <c r="F56" s="220"/>
      <c r="G56" s="220"/>
      <c r="H56" s="220"/>
      <c r="I56" s="220"/>
      <c r="J56" s="220"/>
      <c r="K56" s="220"/>
      <c r="L56" s="220"/>
      <c r="M56" s="220"/>
      <c r="N56" s="220"/>
      <c r="O56" s="220"/>
      <c r="P56" s="220"/>
      <c r="Q56" s="220"/>
      <c r="R56" s="220"/>
      <c r="S56" s="220"/>
      <c r="T56" s="220"/>
      <c r="U56" s="220"/>
      <c r="V56" s="220"/>
      <c r="W56" s="220"/>
      <c r="X56" s="220"/>
    </row>
    <row r="57" spans="1:24">
      <c r="A57" s="220"/>
      <c r="B57" s="220"/>
      <c r="C57" s="220"/>
      <c r="D57" s="220"/>
      <c r="E57" s="220"/>
      <c r="F57" s="220"/>
      <c r="G57" s="220"/>
      <c r="H57" s="220"/>
      <c r="I57" s="220"/>
      <c r="J57" s="220"/>
      <c r="K57" s="220"/>
      <c r="L57" s="220"/>
      <c r="M57" s="220"/>
      <c r="N57" s="220"/>
      <c r="O57" s="220"/>
      <c r="P57" s="220"/>
      <c r="Q57" s="220"/>
      <c r="R57" s="220"/>
      <c r="S57" s="220"/>
      <c r="T57" s="220"/>
      <c r="U57" s="220"/>
      <c r="V57" s="220"/>
      <c r="W57" s="220"/>
      <c r="X57" s="220"/>
    </row>
    <row r="58" spans="1:24">
      <c r="A58" s="220"/>
      <c r="B58" s="220"/>
      <c r="C58" s="220"/>
      <c r="D58" s="220"/>
      <c r="E58" s="220"/>
      <c r="F58" s="220"/>
      <c r="G58" s="220"/>
      <c r="H58" s="220"/>
      <c r="I58" s="220"/>
      <c r="J58" s="220"/>
      <c r="K58" s="220"/>
      <c r="L58" s="220"/>
      <c r="M58" s="220"/>
      <c r="N58" s="220"/>
      <c r="O58" s="220"/>
      <c r="P58" s="220"/>
      <c r="Q58" s="220"/>
      <c r="R58" s="220"/>
      <c r="S58" s="220"/>
      <c r="T58" s="220"/>
      <c r="U58" s="220"/>
      <c r="V58" s="220"/>
      <c r="W58" s="220"/>
      <c r="X58" s="220"/>
    </row>
    <row r="59" spans="1:24">
      <c r="A59" s="220"/>
      <c r="B59" s="220"/>
      <c r="C59" s="220"/>
      <c r="D59" s="220"/>
      <c r="E59" s="220"/>
      <c r="F59" s="220"/>
      <c r="G59" s="220"/>
      <c r="H59" s="220"/>
      <c r="I59" s="220"/>
      <c r="J59" s="220"/>
      <c r="K59" s="220"/>
      <c r="L59" s="220"/>
      <c r="M59" s="220"/>
      <c r="N59" s="220"/>
      <c r="O59" s="220"/>
      <c r="P59" s="220"/>
      <c r="Q59" s="220"/>
      <c r="R59" s="220"/>
      <c r="S59" s="220"/>
      <c r="T59" s="220"/>
      <c r="U59" s="220"/>
      <c r="V59" s="220"/>
      <c r="W59" s="220"/>
      <c r="X59" s="220"/>
    </row>
    <row r="60" spans="1:24" ht="15" customHeight="1">
      <c r="A60" s="220"/>
      <c r="B60" s="220"/>
      <c r="C60" s="220"/>
      <c r="D60" s="220"/>
      <c r="E60" s="220"/>
      <c r="F60" s="220"/>
      <c r="G60" s="220"/>
      <c r="H60" s="220"/>
      <c r="I60" s="220"/>
      <c r="J60" s="220"/>
      <c r="K60" s="220"/>
      <c r="L60" s="220"/>
      <c r="M60" s="220"/>
      <c r="N60" s="220"/>
      <c r="O60" s="220"/>
      <c r="P60" s="220"/>
      <c r="Q60" s="220"/>
      <c r="R60" s="220"/>
      <c r="S60" s="220"/>
      <c r="T60" s="220"/>
      <c r="U60" s="220"/>
      <c r="V60" s="220"/>
      <c r="W60" s="220"/>
      <c r="X60" s="220"/>
    </row>
    <row r="61" spans="1:24" ht="15" customHeight="1">
      <c r="A61" s="220"/>
      <c r="B61" s="220"/>
      <c r="C61" s="220"/>
      <c r="D61" s="220"/>
      <c r="E61" s="220"/>
      <c r="F61" s="220"/>
      <c r="G61" s="220"/>
      <c r="H61" s="220"/>
      <c r="I61" s="220"/>
      <c r="J61" s="220"/>
      <c r="K61" s="220"/>
      <c r="L61" s="220"/>
      <c r="M61" s="220"/>
      <c r="N61" s="220"/>
      <c r="O61" s="220"/>
      <c r="P61" s="220"/>
      <c r="Q61" s="220"/>
      <c r="R61" s="220"/>
      <c r="S61" s="220"/>
      <c r="T61" s="220"/>
      <c r="U61" s="220"/>
      <c r="V61" s="220"/>
      <c r="W61" s="220"/>
      <c r="X61" s="220"/>
    </row>
    <row r="62" spans="1:24">
      <c r="A62" s="220"/>
      <c r="B62" s="486" t="s">
        <v>41</v>
      </c>
      <c r="C62" s="486"/>
      <c r="D62" s="486"/>
      <c r="E62" s="486"/>
      <c r="F62" s="486"/>
      <c r="G62" s="486"/>
      <c r="H62" s="486"/>
      <c r="I62" s="220"/>
      <c r="J62" s="220"/>
      <c r="K62" s="220"/>
      <c r="L62" s="220"/>
      <c r="M62" s="220"/>
      <c r="N62" s="220"/>
      <c r="O62" s="220"/>
      <c r="P62" s="220"/>
      <c r="Q62" s="220"/>
      <c r="R62" s="220"/>
      <c r="S62" s="220"/>
      <c r="T62" s="220"/>
      <c r="U62" s="220"/>
      <c r="V62" s="220"/>
      <c r="W62" s="220"/>
      <c r="X62" s="220"/>
    </row>
    <row r="63" spans="1:24">
      <c r="A63" s="220"/>
      <c r="B63" s="487" t="s">
        <v>42</v>
      </c>
      <c r="C63" s="488"/>
      <c r="D63" s="224" t="s">
        <v>17</v>
      </c>
      <c r="E63" s="224" t="s">
        <v>43</v>
      </c>
      <c r="F63" s="224" t="s">
        <v>44</v>
      </c>
      <c r="G63" s="224" t="s">
        <v>9</v>
      </c>
      <c r="H63" s="227" t="s">
        <v>45</v>
      </c>
      <c r="I63" s="220"/>
      <c r="J63" s="220"/>
      <c r="K63" s="220"/>
      <c r="L63" s="220"/>
      <c r="M63" s="220"/>
      <c r="N63" s="220"/>
      <c r="O63" s="220"/>
      <c r="P63" s="220"/>
      <c r="Q63" s="220"/>
      <c r="R63" s="220"/>
      <c r="S63" s="220"/>
      <c r="T63" s="220"/>
      <c r="U63" s="220"/>
      <c r="V63" s="220"/>
      <c r="W63" s="220"/>
      <c r="X63" s="220"/>
    </row>
    <row r="64" spans="1:24">
      <c r="A64" s="220"/>
      <c r="B64" s="476" t="s">
        <v>46</v>
      </c>
      <c r="C64" s="477"/>
      <c r="D64" s="222">
        <f>COUNTIF('Dev Schedule 2025-26'!$H$4:$H$5,"Live")</f>
        <v>0</v>
      </c>
      <c r="E64" s="223">
        <f>COUNTIF('Dev Schedule 2025-26'!$H$4:$H$5,"In Development")</f>
        <v>0</v>
      </c>
      <c r="F64" s="223">
        <f>COUNTIF('Dev Schedule 2025-26'!$H$4:$H$5,"Testing")</f>
        <v>0</v>
      </c>
      <c r="G64" s="223">
        <f>COUNTA('Dev Schedule 2025-26'!$B$4:$B$5)-D64-E64-F64</f>
        <v>2</v>
      </c>
      <c r="H64" s="228">
        <f>COUNTA('Dev Schedule 2025-26'!$B$4:$B$5)</f>
        <v>2</v>
      </c>
      <c r="I64" s="220"/>
      <c r="J64" s="220"/>
      <c r="K64" s="220"/>
      <c r="L64" s="220"/>
      <c r="M64" s="220"/>
      <c r="N64" s="220"/>
      <c r="O64" s="220"/>
      <c r="P64" s="220"/>
      <c r="Q64" s="220"/>
      <c r="R64" s="220"/>
      <c r="S64" s="220"/>
      <c r="T64" s="220"/>
      <c r="U64" s="220"/>
      <c r="V64" s="220"/>
      <c r="W64" s="220"/>
      <c r="X64" s="220"/>
    </row>
    <row r="65" spans="1:24">
      <c r="A65" s="220"/>
      <c r="B65" s="476" t="s">
        <v>47</v>
      </c>
      <c r="C65" s="477"/>
      <c r="D65" s="222">
        <f>COUNTIF('Dev Schedule 2025-26'!$H$6:$H$12,"Live")</f>
        <v>0</v>
      </c>
      <c r="E65" s="223">
        <f>COUNTIF('Dev Schedule 2025-26'!$H$6:$H$12,"In Development")</f>
        <v>1</v>
      </c>
      <c r="F65" s="223">
        <f>COUNTIF('Dev Schedule 2025-26'!$H$6:$H$12,"Testing")</f>
        <v>0</v>
      </c>
      <c r="G65" s="223">
        <f>COUNTA('Dev Schedule 2025-26'!$B$6:$B$12)-D65-E65-F65</f>
        <v>6</v>
      </c>
      <c r="H65" s="228">
        <f>COUNTA('Dev Schedule 2025-26'!$B$6:$B$12)</f>
        <v>7</v>
      </c>
      <c r="I65" s="220"/>
      <c r="J65" s="220"/>
      <c r="K65" s="220"/>
      <c r="L65" s="220"/>
      <c r="M65" s="220"/>
      <c r="N65" s="220"/>
      <c r="O65" s="220"/>
      <c r="P65" s="220"/>
      <c r="Q65" s="220"/>
      <c r="R65" s="220"/>
      <c r="S65" s="220"/>
      <c r="T65" s="220"/>
      <c r="U65" s="220"/>
      <c r="V65" s="220"/>
      <c r="W65" s="220"/>
      <c r="X65" s="220"/>
    </row>
    <row r="66" spans="1:24">
      <c r="A66" s="220"/>
      <c r="B66" s="476" t="s">
        <v>48</v>
      </c>
      <c r="C66" s="477"/>
      <c r="D66" s="222">
        <f>COUNTIF('Dev Schedule 2025-26'!$H$13:$H$64,"Live")</f>
        <v>7</v>
      </c>
      <c r="E66" s="223">
        <f>COUNTIF('Dev Schedule 2025-26'!$H$13:$H$64,"In Development")</f>
        <v>4</v>
      </c>
      <c r="F66" s="223">
        <f>COUNTIF('Dev Schedule 2025-26'!$H$13:$H$64,"Testing")</f>
        <v>1</v>
      </c>
      <c r="G66" s="223">
        <f>COUNTA('Dev Schedule 2025-26'!$B$13:$B$64)-D66-E66-F66</f>
        <v>40</v>
      </c>
      <c r="H66" s="228">
        <f>COUNTA('Dev Schedule 2025-26'!$B$13:$B$64)</f>
        <v>52</v>
      </c>
      <c r="I66" s="220"/>
      <c r="J66" s="220"/>
      <c r="K66" s="220"/>
      <c r="L66" s="220"/>
      <c r="M66" s="220"/>
      <c r="N66" s="220"/>
      <c r="O66" s="220"/>
      <c r="P66" s="220"/>
      <c r="Q66" s="220"/>
      <c r="R66" s="220"/>
      <c r="S66" s="220"/>
      <c r="T66" s="220"/>
      <c r="U66" s="220"/>
      <c r="V66" s="220"/>
      <c r="W66" s="220"/>
      <c r="X66" s="220"/>
    </row>
    <row r="67" spans="1:24">
      <c r="A67" s="220"/>
      <c r="B67" s="476" t="s">
        <v>49</v>
      </c>
      <c r="C67" s="477"/>
      <c r="D67" s="222">
        <f>COUNTIF('Dev Schedule 2025-26'!$H$67:$H$79,"Live")</f>
        <v>1</v>
      </c>
      <c r="E67" s="223">
        <f>COUNTIF('Dev Schedule 2025-26'!$H$67:$H$79,"In Development")</f>
        <v>0</v>
      </c>
      <c r="F67" s="223">
        <f>COUNTIF('Dev Schedule 2025-26'!$H$67:$H$79,"Testing")</f>
        <v>0</v>
      </c>
      <c r="G67" s="223">
        <f>COUNTA('Dev Schedule 2025-26'!$B$67:$B$79)-D67-E67-F67</f>
        <v>12</v>
      </c>
      <c r="H67" s="228">
        <f>COUNTA('Dev Schedule 2025-26'!$B$67:$B$79)</f>
        <v>13</v>
      </c>
      <c r="I67" s="220"/>
      <c r="J67" s="220"/>
      <c r="K67" s="220"/>
      <c r="L67" s="220"/>
      <c r="M67" s="220"/>
      <c r="N67" s="220"/>
      <c r="O67" s="220"/>
      <c r="P67" s="220"/>
      <c r="Q67" s="220"/>
      <c r="R67" s="220"/>
      <c r="S67" s="220"/>
      <c r="T67" s="220"/>
      <c r="U67" s="220"/>
      <c r="V67" s="220"/>
      <c r="W67" s="220"/>
      <c r="X67" s="220"/>
    </row>
    <row r="68" spans="1:24">
      <c r="A68" s="220"/>
      <c r="B68" s="476" t="s">
        <v>50</v>
      </c>
      <c r="C68" s="477"/>
      <c r="D68" s="222">
        <f>COUNTIF('Dev Schedule 2025-26'!$H$80:$H$82,"Live")</f>
        <v>0</v>
      </c>
      <c r="E68" s="223">
        <f>COUNTIF('Dev Schedule 2025-26'!$H$80:$H$82,"In Development")</f>
        <v>1</v>
      </c>
      <c r="F68" s="223">
        <f>COUNTIF('Dev Schedule 2025-26'!$H$80:$H$82,"Testing")</f>
        <v>0</v>
      </c>
      <c r="G68" s="223">
        <f>COUNTA('Dev Schedule 2025-26'!$B$80:$B$82)-D68-E68-F68</f>
        <v>2</v>
      </c>
      <c r="H68" s="228">
        <f>COUNTA('Dev Schedule 2025-26'!$B$80:$B$82)</f>
        <v>3</v>
      </c>
      <c r="I68" s="220"/>
      <c r="J68" s="220"/>
      <c r="K68" s="220"/>
      <c r="L68" s="220"/>
      <c r="M68" s="220"/>
      <c r="N68" s="220"/>
      <c r="O68" s="220"/>
      <c r="P68" s="220"/>
      <c r="Q68" s="220"/>
      <c r="R68" s="220"/>
      <c r="S68" s="220"/>
      <c r="T68" s="220"/>
      <c r="U68" s="220"/>
      <c r="V68" s="220"/>
      <c r="W68" s="220"/>
      <c r="X68" s="220"/>
    </row>
    <row r="69" spans="1:24">
      <c r="A69" s="220"/>
      <c r="B69" s="478" t="s">
        <v>45</v>
      </c>
      <c r="C69" s="479"/>
      <c r="D69" s="225">
        <f>SUM(D64:D68)</f>
        <v>8</v>
      </c>
      <c r="E69" s="226">
        <f>SUM(E64:E68)</f>
        <v>6</v>
      </c>
      <c r="F69" s="226">
        <f>SUM(F64:F68)</f>
        <v>1</v>
      </c>
      <c r="G69" s="226">
        <f>SUM(G64:G68)</f>
        <v>62</v>
      </c>
      <c r="H69" s="229">
        <f>SUM(H64:H68)</f>
        <v>77</v>
      </c>
      <c r="I69" s="220"/>
      <c r="J69" s="220"/>
      <c r="K69" s="220"/>
      <c r="L69" s="220"/>
      <c r="M69" s="220"/>
      <c r="N69" s="220"/>
      <c r="O69" s="220"/>
      <c r="P69" s="220"/>
      <c r="Q69" s="220"/>
      <c r="R69" s="220"/>
      <c r="S69" s="220"/>
      <c r="T69" s="220"/>
      <c r="U69" s="220"/>
      <c r="V69" s="220"/>
      <c r="W69" s="220"/>
      <c r="X69" s="220"/>
    </row>
  </sheetData>
  <mergeCells count="28">
    <mergeCell ref="B66:C66"/>
    <mergeCell ref="B67:C67"/>
    <mergeCell ref="B68:C68"/>
    <mergeCell ref="B69:C69"/>
    <mergeCell ref="B12:F12"/>
    <mergeCell ref="B13:F15"/>
    <mergeCell ref="B17:X17"/>
    <mergeCell ref="B62:H62"/>
    <mergeCell ref="B63:C63"/>
    <mergeCell ref="B64:C64"/>
    <mergeCell ref="B65:C65"/>
    <mergeCell ref="B11:X11"/>
    <mergeCell ref="H12:L12"/>
    <mergeCell ref="H13:L15"/>
    <mergeCell ref="N12:R12"/>
    <mergeCell ref="N13:R15"/>
    <mergeCell ref="T12:X12"/>
    <mergeCell ref="T13:X15"/>
    <mergeCell ref="B2:W3"/>
    <mergeCell ref="B6:F6"/>
    <mergeCell ref="B7:F9"/>
    <mergeCell ref="H6:L6"/>
    <mergeCell ref="H7:L9"/>
    <mergeCell ref="N6:R6"/>
    <mergeCell ref="N7:R9"/>
    <mergeCell ref="T6:X6"/>
    <mergeCell ref="T7:X9"/>
    <mergeCell ref="B5:X5"/>
  </mergeCells>
  <phoneticPr fontId="3"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1245-7DE9-4A3D-8CC3-FD21D6F0A8BD}">
  <dimension ref="A1:O85"/>
  <sheetViews>
    <sheetView workbookViewId="0"/>
  </sheetViews>
  <sheetFormatPr defaultRowHeight="16.5"/>
  <sheetData>
    <row r="1" spans="1:15" ht="30" customHeight="1">
      <c r="A1" s="489" t="s">
        <v>51</v>
      </c>
      <c r="B1" s="489"/>
      <c r="C1" s="489"/>
      <c r="D1" s="489"/>
      <c r="E1" s="489"/>
      <c r="F1" s="489"/>
      <c r="G1" s="489"/>
      <c r="H1" s="489"/>
      <c r="I1" s="489"/>
      <c r="J1" s="489"/>
      <c r="K1" s="489"/>
    </row>
    <row r="2" spans="1:15">
      <c r="A2" s="587" t="s">
        <v>52</v>
      </c>
      <c r="B2" s="588"/>
      <c r="C2" s="588"/>
      <c r="D2" s="588"/>
      <c r="E2" s="588"/>
      <c r="F2" s="588"/>
      <c r="G2" s="588"/>
      <c r="H2" s="588"/>
      <c r="I2" s="588"/>
      <c r="J2" s="588"/>
      <c r="K2" s="588"/>
    </row>
    <row r="3" spans="1:15">
      <c r="A3" s="585" t="s">
        <v>53</v>
      </c>
      <c r="B3" s="585"/>
      <c r="C3" s="585" t="s">
        <v>54</v>
      </c>
      <c r="D3" s="585"/>
      <c r="E3" s="585" t="s">
        <v>55</v>
      </c>
      <c r="F3" s="585"/>
      <c r="G3" s="585" t="s">
        <v>56</v>
      </c>
      <c r="H3" s="585"/>
      <c r="I3" s="585" t="s">
        <v>17</v>
      </c>
      <c r="J3" s="585"/>
      <c r="K3" s="585" t="s">
        <v>57</v>
      </c>
      <c r="L3" s="585"/>
    </row>
    <row r="4" spans="1:15" ht="33.75" customHeight="1">
      <c r="A4" s="586">
        <f>COUNTA($B$7:$B$85)</f>
        <v>79</v>
      </c>
      <c r="B4" s="586"/>
      <c r="C4" s="586">
        <f>COUNTIF($E$7:$E$85,"OMH*")</f>
        <v>35</v>
      </c>
      <c r="D4" s="586"/>
      <c r="E4" s="586">
        <f>COUNTIF($E$7:$E$85,"Partner")</f>
        <v>44</v>
      </c>
      <c r="F4" s="586"/>
      <c r="G4" s="586">
        <f>COUNTIF($G$7:$G$85,"High")</f>
        <v>0</v>
      </c>
      <c r="H4" s="586"/>
      <c r="I4" s="586">
        <f>COUNTIF($D$7:$D$85,"Live")</f>
        <v>8</v>
      </c>
      <c r="J4" s="586"/>
      <c r="K4" s="586">
        <f ca="1">COUNTIF($K$7:$K$85,"&gt;60")</f>
        <v>30</v>
      </c>
      <c r="L4" s="586"/>
    </row>
    <row r="5" spans="1:15">
      <c r="N5" t="s">
        <v>58</v>
      </c>
    </row>
    <row r="6" spans="1:15">
      <c r="A6" t="s">
        <v>59</v>
      </c>
      <c r="B6" t="s">
        <v>60</v>
      </c>
      <c r="C6" t="s">
        <v>61</v>
      </c>
      <c r="D6" t="s">
        <v>0</v>
      </c>
      <c r="E6" t="s">
        <v>62</v>
      </c>
      <c r="F6" t="s">
        <v>63</v>
      </c>
      <c r="G6" t="s">
        <v>64</v>
      </c>
      <c r="H6" t="s">
        <v>65</v>
      </c>
      <c r="I6" t="s">
        <v>66</v>
      </c>
      <c r="J6" t="s">
        <v>67</v>
      </c>
      <c r="K6" t="s">
        <v>68</v>
      </c>
      <c r="N6" t="s">
        <v>69</v>
      </c>
      <c r="O6" t="s">
        <v>70</v>
      </c>
    </row>
    <row r="7" spans="1:15">
      <c r="A7">
        <f>IF($B7="","",COUNTA($B$7:$B7))</f>
        <v>1</v>
      </c>
      <c r="B7" t="str">
        <f>IF('Dev Tracker (IT)'!C4="","",'Dev Tracker (IT)'!C4)</f>
        <v>HANHWA Hotel &amp; Resort</v>
      </c>
      <c r="C7" t="str">
        <f>IF('Dev Tracker (IT)'!B4="","",SUBSTITUTE('Dev Tracker (IT)'!B4,CHAR(10)," "))</f>
        <v>CRS</v>
      </c>
      <c r="D7" t="str">
        <f>IF('Dev Tracker (IT)'!J4="","",'Dev Tracker (IT)'!J4)</f>
        <v>Contact</v>
      </c>
      <c r="E7" t="str">
        <f>IF('Dev Tracker (IT)'!G4="","",IF(ISNUMBER(SEARCH("OHMY",'Dev Tracker (IT)'!G4)),IF(LEN('Dev Tracker (IT)'!G4)&gt;5,"OMH + Partner","OMH (in-house)"),"Partner"))</f>
        <v>OMH (in-house)</v>
      </c>
      <c r="F7" t="str">
        <f>IF('Dev Tracker (IT)'!D4="","",IF(ISNUMBER(SEARCH("OMH API",'Dev Tracker (IT)'!D4)),"They call our API","We build to their API"))</f>
        <v>We build to their API</v>
      </c>
      <c r="G7" t="str">
        <f>IF('Dev Tracker (IT)'!C4="","",IF('Dev Tracker (IT)'!E4="","Not set",'Dev Tracker (IT)'!E4))</f>
        <v>Not set</v>
      </c>
      <c r="H7">
        <f>IF('Dev Tracker (IT)'!N4="","",'Dev Tracker (IT)'!N4)</f>
        <v>0</v>
      </c>
      <c r="I7" t="str">
        <f>IF($H7="","",INDEX($O$7:$O$19,MATCH($H7,$N$7:$N$19,0)))</f>
        <v>Not tracked — no dates yet</v>
      </c>
      <c r="J7" t="str">
        <f>IF('Dev Tracker (IT)'!R4="","",'Dev Tracker (IT)'!R4)</f>
        <v/>
      </c>
      <c r="K7" t="str">
        <f ca="1">IF('Dev Tracker (IT)'!S4="","",'Dev Tracker (IT)'!S4)</f>
        <v/>
      </c>
      <c r="N7">
        <v>0</v>
      </c>
      <c r="O7" t="s">
        <v>71</v>
      </c>
    </row>
    <row r="8" spans="1:15">
      <c r="A8">
        <f>IF($B8="","",COUNTA($B$7:$B8))</f>
        <v>2</v>
      </c>
      <c r="B8" t="str">
        <f>IF('Dev Tracker (IT)'!C5="","",'Dev Tracker (IT)'!C5)</f>
        <v>Vin Group</v>
      </c>
      <c r="C8" t="str">
        <f>IF('Dev Tracker (IT)'!B5="","",SUBSTITUTE('Dev Tracker (IT)'!B5,CHAR(10)," "))</f>
        <v>CRS</v>
      </c>
      <c r="D8" t="str">
        <f>IF('Dev Tracker (IT)'!J5="","",'Dev Tracker (IT)'!J5)</f>
        <v>Contact</v>
      </c>
      <c r="E8" t="str">
        <f>IF('Dev Tracker (IT)'!G5="","",IF(ISNUMBER(SEARCH("OHMY",'Dev Tracker (IT)'!G5)),IF(LEN('Dev Tracker (IT)'!G5)&gt;5,"OMH + Partner","OMH (in-house)"),"Partner"))</f>
        <v>OMH (in-house)</v>
      </c>
      <c r="F8" t="str">
        <f>IF('Dev Tracker (IT)'!D5="","",IF(ISNUMBER(SEARCH("OMH API",'Dev Tracker (IT)'!D5)),"They call our API","We build to their API"))</f>
        <v>We build to their API</v>
      </c>
      <c r="G8" t="str">
        <f>IF('Dev Tracker (IT)'!C5="","",IF('Dev Tracker (IT)'!E5="","Not set",'Dev Tracker (IT)'!E5))</f>
        <v>Not set</v>
      </c>
      <c r="H8">
        <f>IF('Dev Tracker (IT)'!N5="","",'Dev Tracker (IT)'!N5)</f>
        <v>0</v>
      </c>
      <c r="I8" t="str">
        <f>IF($H8="","",INDEX($O$7:$O$19,MATCH($H8,$N$7:$N$19,0)))</f>
        <v>Not tracked — no dates yet</v>
      </c>
      <c r="J8" t="str">
        <f>IF('Dev Tracker (IT)'!R5="","",'Dev Tracker (IT)'!R5)</f>
        <v/>
      </c>
      <c r="K8" t="str">
        <f ca="1">IF('Dev Tracker (IT)'!S5="","",'Dev Tracker (IT)'!S5)</f>
        <v/>
      </c>
      <c r="N8">
        <v>0.1</v>
      </c>
      <c r="O8" t="s">
        <v>72</v>
      </c>
    </row>
    <row r="9" spans="1:15">
      <c r="A9">
        <f>IF($B9="","",COUNTA($B$7:$B9))</f>
        <v>3</v>
      </c>
      <c r="B9" t="str">
        <f>IF('Dev Tracker (IT)'!C6="","",'Dev Tracker (IT)'!C6)</f>
        <v>Shiji</v>
      </c>
      <c r="C9" t="str">
        <f>IF('Dev Tracker (IT)'!B6="","",SUBSTITUTE('Dev Tracker (IT)'!B6,CHAR(10)," "))</f>
        <v>Switching System</v>
      </c>
      <c r="D9" t="str">
        <f>IF('Dev Tracker (IT)'!J6="","",'Dev Tracker (IT)'!J6)</f>
        <v>In Development</v>
      </c>
      <c r="E9" t="str">
        <f>IF('Dev Tracker (IT)'!G6="","",IF(ISNUMBER(SEARCH("OHMY",'Dev Tracker (IT)'!G6)),IF(LEN('Dev Tracker (IT)'!G6)&gt;5,"OMH + Partner","OMH (in-house)"),"Partner"))</f>
        <v>OMH + Partner</v>
      </c>
      <c r="F9" t="str">
        <f>IF('Dev Tracker (IT)'!D6="","",IF(ISNUMBER(SEARCH("OMH API",'Dev Tracker (IT)'!D6)),"They call our API","We build to their API"))</f>
        <v>We build to their API</v>
      </c>
      <c r="G9" t="str">
        <f>IF('Dev Tracker (IT)'!C6="","",IF('Dev Tracker (IT)'!E6="","Not set",'Dev Tracker (IT)'!E6))</f>
        <v>Not set</v>
      </c>
      <c r="H9">
        <f>IF('Dev Tracker (IT)'!N6="","",'Dev Tracker (IT)'!N6)</f>
        <v>0</v>
      </c>
      <c r="I9" t="str">
        <f>IF($H9="","",INDEX($O$7:$O$19,MATCH($H9,$N$7:$N$19,0)))</f>
        <v>Not tracked — no dates yet</v>
      </c>
      <c r="J9" t="str">
        <f>IF('Dev Tracker (IT)'!R6="","",'Dev Tracker (IT)'!R6)</f>
        <v/>
      </c>
      <c r="K9" t="str">
        <f ca="1">IF('Dev Tracker (IT)'!S6="","",'Dev Tracker (IT)'!S6)</f>
        <v/>
      </c>
      <c r="N9">
        <v>0.2</v>
      </c>
      <c r="O9" t="s">
        <v>73</v>
      </c>
    </row>
    <row r="10" spans="1:15">
      <c r="A10">
        <f>IF($B10="","",COUNTA($B$7:$B10))</f>
        <v>4</v>
      </c>
      <c r="B10" t="str">
        <f>IF('Dev Tracker (IT)'!C7="","",'Dev Tracker (IT)'!C7)</f>
        <v>TGX</v>
      </c>
      <c r="C10" t="str">
        <f>IF('Dev Tracker (IT)'!B7="","",SUBSTITUTE('Dev Tracker (IT)'!B7,CHAR(10)," "))</f>
        <v>Switching System</v>
      </c>
      <c r="D10" t="str">
        <f>IF('Dev Tracker (IT)'!J7="","",'Dev Tracker (IT)'!J7)</f>
        <v>NDA/Contract</v>
      </c>
      <c r="E10" t="str">
        <f>IF('Dev Tracker (IT)'!G7="","",IF(ISNUMBER(SEARCH("OHMY",'Dev Tracker (IT)'!G7)),IF(LEN('Dev Tracker (IT)'!G7)&gt;5,"OMH + Partner","OMH (in-house)"),"Partner"))</f>
        <v>OMH + Partner</v>
      </c>
      <c r="F10" t="str">
        <f>IF('Dev Tracker (IT)'!D7="","",IF(ISNUMBER(SEARCH("OMH API",'Dev Tracker (IT)'!D7)),"They call our API","We build to their API"))</f>
        <v>We build to their API</v>
      </c>
      <c r="G10" t="str">
        <f>IF('Dev Tracker (IT)'!C7="","",IF('Dev Tracker (IT)'!E7="","Not set",'Dev Tracker (IT)'!E7))</f>
        <v>Not set</v>
      </c>
      <c r="H10">
        <f>IF('Dev Tracker (IT)'!N7="","",'Dev Tracker (IT)'!N7)</f>
        <v>0</v>
      </c>
      <c r="I10" t="str">
        <f>IF($H10="","",INDEX($O$7:$O$19,MATCH($H10,$N$7:$N$19,0)))</f>
        <v>Not tracked — no dates yet</v>
      </c>
      <c r="J10" t="str">
        <f>IF('Dev Tracker (IT)'!R7="","",'Dev Tracker (IT)'!R7)</f>
        <v/>
      </c>
      <c r="K10" t="str">
        <f ca="1">IF('Dev Tracker (IT)'!S7="","",'Dev Tracker (IT)'!S7)</f>
        <v/>
      </c>
      <c r="N10">
        <v>0.3</v>
      </c>
      <c r="O10" t="s">
        <v>74</v>
      </c>
    </row>
    <row r="11" spans="1:15">
      <c r="A11">
        <f>IF($B11="","",COUNTA($B$7:$B11))</f>
        <v>5</v>
      </c>
      <c r="B11" t="str">
        <f>IF('Dev Tracker (IT)'!C8="","",'Dev Tracker (IT)'!C8)</f>
        <v>Juniper</v>
      </c>
      <c r="C11" t="str">
        <f>IF('Dev Tracker (IT)'!B8="","",SUBSTITUTE('Dev Tracker (IT)'!B8,CHAR(10)," "))</f>
        <v>Switching System</v>
      </c>
      <c r="D11" t="str">
        <f>IF('Dev Tracker (IT)'!J8="","",'Dev Tracker (IT)'!J8)</f>
        <v>Contact</v>
      </c>
      <c r="E11" t="str">
        <f>IF('Dev Tracker (IT)'!G8="","",IF(ISNUMBER(SEARCH("OHMY",'Dev Tracker (IT)'!G8)),IF(LEN('Dev Tracker (IT)'!G8)&gt;5,"OMH + Partner","OMH (in-house)"),"Partner"))</f>
        <v>Partner</v>
      </c>
      <c r="F11" t="str">
        <f>IF('Dev Tracker (IT)'!D8="","",IF(ISNUMBER(SEARCH("OMH API",'Dev Tracker (IT)'!D8)),"They call our API","We build to their API"))</f>
        <v>We build to their API</v>
      </c>
      <c r="G11" t="str">
        <f>IF('Dev Tracker (IT)'!C8="","",IF('Dev Tracker (IT)'!E8="","Not set",'Dev Tracker (IT)'!E8))</f>
        <v>Not set</v>
      </c>
      <c r="H11">
        <f>IF('Dev Tracker (IT)'!N8="","",'Dev Tracker (IT)'!N8)</f>
        <v>0</v>
      </c>
      <c r="I11" t="str">
        <f>IF($H11="","",INDEX($O$7:$O$19,MATCH($H11,$N$7:$N$19,0)))</f>
        <v>Not tracked — no dates yet</v>
      </c>
      <c r="J11" t="str">
        <f>IF('Dev Tracker (IT)'!R8="","",'Dev Tracker (IT)'!R8)</f>
        <v/>
      </c>
      <c r="K11" t="str">
        <f ca="1">IF('Dev Tracker (IT)'!S8="","",'Dev Tracker (IT)'!S8)</f>
        <v/>
      </c>
      <c r="N11">
        <v>0.4</v>
      </c>
      <c r="O11" t="s">
        <v>75</v>
      </c>
    </row>
    <row r="12" spans="1:15">
      <c r="A12">
        <f>IF($B12="","",COUNTA($B$7:$B12))</f>
        <v>6</v>
      </c>
      <c r="B12" t="str">
        <f>IF('Dev Tracker (IT)'!C9="","",'Dev Tracker (IT)'!C9)</f>
        <v>TAN</v>
      </c>
      <c r="C12" t="str">
        <f>IF('Dev Tracker (IT)'!B9="","",SUBSTITUTE('Dev Tracker (IT)'!B9,CHAR(10)," "))</f>
        <v>Switching System</v>
      </c>
      <c r="D12" t="str">
        <f>IF('Dev Tracker (IT)'!J9="","",'Dev Tracker (IT)'!J9)</f>
        <v>Contact</v>
      </c>
      <c r="E12" t="str">
        <f>IF('Dev Tracker (IT)'!G9="","",IF(ISNUMBER(SEARCH("OHMY",'Dev Tracker (IT)'!G9)),IF(LEN('Dev Tracker (IT)'!G9)&gt;5,"OMH + Partner","OMH (in-house)"),"Partner"))</f>
        <v>OMH (in-house)</v>
      </c>
      <c r="F12" t="str">
        <f>IF('Dev Tracker (IT)'!D9="","",IF(ISNUMBER(SEARCH("OMH API",'Dev Tracker (IT)'!D9)),"They call our API","We build to their API"))</f>
        <v>We build to their API</v>
      </c>
      <c r="G12" t="str">
        <f>IF('Dev Tracker (IT)'!C9="","",IF('Dev Tracker (IT)'!E9="","Not set",'Dev Tracker (IT)'!E9))</f>
        <v>Not set</v>
      </c>
      <c r="H12">
        <f>IF('Dev Tracker (IT)'!N9="","",'Dev Tracker (IT)'!N9)</f>
        <v>0</v>
      </c>
      <c r="I12" t="str">
        <f>IF($H12="","",INDEX($O$7:$O$19,MATCH($H12,$N$7:$N$19,0)))</f>
        <v>Not tracked — no dates yet</v>
      </c>
      <c r="J12" t="str">
        <f>IF('Dev Tracker (IT)'!R9="","",'Dev Tracker (IT)'!R9)</f>
        <v/>
      </c>
      <c r="K12" t="str">
        <f ca="1">IF('Dev Tracker (IT)'!S9="","",'Dev Tracker (IT)'!S9)</f>
        <v/>
      </c>
      <c r="N12">
        <v>0.45</v>
      </c>
      <c r="O12" t="s">
        <v>76</v>
      </c>
    </row>
    <row r="13" spans="1:15">
      <c r="A13">
        <f>IF($B13="","",COUNTA($B$7:$B13))</f>
        <v>7</v>
      </c>
      <c r="B13" t="str">
        <f>IF('Dev Tracker (IT)'!C10="","",'Dev Tracker (IT)'!C10)</f>
        <v>Derbysoft</v>
      </c>
      <c r="C13" t="str">
        <f>IF('Dev Tracker (IT)'!B10="","",SUBSTITUTE('Dev Tracker (IT)'!B10,CHAR(10)," "))</f>
        <v>Switching System</v>
      </c>
      <c r="D13" t="str">
        <f>IF('Dev Tracker (IT)'!J10="","",'Dev Tracker (IT)'!J10)</f>
        <v>Contact</v>
      </c>
      <c r="E13" t="str">
        <f>IF('Dev Tracker (IT)'!G10="","",IF(ISNUMBER(SEARCH("OHMY",'Dev Tracker (IT)'!G10)),IF(LEN('Dev Tracker (IT)'!G10)&gt;5,"OMH + Partner","OMH (in-house)"),"Partner"))</f>
        <v>OMH (in-house)</v>
      </c>
      <c r="F13" t="str">
        <f>IF('Dev Tracker (IT)'!D10="","",IF(ISNUMBER(SEARCH("OMH API",'Dev Tracker (IT)'!D10)),"They call our API","We build to their API"))</f>
        <v>We build to their API</v>
      </c>
      <c r="G13" t="str">
        <f>IF('Dev Tracker (IT)'!C10="","",IF('Dev Tracker (IT)'!E10="","Not set",'Dev Tracker (IT)'!E10))</f>
        <v>Not set</v>
      </c>
      <c r="H13">
        <f>IF('Dev Tracker (IT)'!N10="","",'Dev Tracker (IT)'!N10)</f>
        <v>0</v>
      </c>
      <c r="I13" t="str">
        <f>IF($H13="","",INDEX($O$7:$O$19,MATCH($H13,$N$7:$N$19,0)))</f>
        <v>Not tracked — no dates yet</v>
      </c>
      <c r="J13" t="str">
        <f>IF('Dev Tracker (IT)'!R10="","",'Dev Tracker (IT)'!R10)</f>
        <v/>
      </c>
      <c r="K13" t="str">
        <f ca="1">IF('Dev Tracker (IT)'!S10="","",'Dev Tracker (IT)'!S10)</f>
        <v/>
      </c>
      <c r="N13">
        <v>0.5</v>
      </c>
      <c r="O13" t="s">
        <v>77</v>
      </c>
    </row>
    <row r="14" spans="1:15">
      <c r="A14">
        <f>IF($B14="","",COUNTA($B$7:$B14))</f>
        <v>8</v>
      </c>
      <c r="B14" t="str">
        <f>IF('Dev Tracker (IT)'!C11="","",'Dev Tracker (IT)'!C11)</f>
        <v>Synxis</v>
      </c>
      <c r="C14" t="str">
        <f>IF('Dev Tracker (IT)'!B11="","",SUBSTITUTE('Dev Tracker (IT)'!B11,CHAR(10)," "))</f>
        <v>Switching System</v>
      </c>
      <c r="D14" t="str">
        <f>IF('Dev Tracker (IT)'!J11="","",'Dev Tracker (IT)'!J11)</f>
        <v>Contact</v>
      </c>
      <c r="E14" t="str">
        <f>IF('Dev Tracker (IT)'!G11="","",IF(ISNUMBER(SEARCH("OHMY",'Dev Tracker (IT)'!G11)),IF(LEN('Dev Tracker (IT)'!G11)&gt;5,"OMH + Partner","OMH (in-house)"),"Partner"))</f>
        <v>OMH (in-house)</v>
      </c>
      <c r="F14" t="str">
        <f>IF('Dev Tracker (IT)'!D11="","",IF(ISNUMBER(SEARCH("OMH API",'Dev Tracker (IT)'!D11)),"They call our API","We build to their API"))</f>
        <v>We build to their API</v>
      </c>
      <c r="G14" t="str">
        <f>IF('Dev Tracker (IT)'!C11="","",IF('Dev Tracker (IT)'!E11="","Not set",'Dev Tracker (IT)'!E11))</f>
        <v>Not set</v>
      </c>
      <c r="H14">
        <f>IF('Dev Tracker (IT)'!N11="","",'Dev Tracker (IT)'!N11)</f>
        <v>0</v>
      </c>
      <c r="I14" t="str">
        <f>IF($H14="","",INDEX($O$7:$O$19,MATCH($H14,$N$7:$N$19,0)))</f>
        <v>Not tracked — no dates yet</v>
      </c>
      <c r="J14" t="str">
        <f>IF('Dev Tracker (IT)'!R11="","",'Dev Tracker (IT)'!R11)</f>
        <v/>
      </c>
      <c r="K14" t="str">
        <f ca="1">IF('Dev Tracker (IT)'!S11="","",'Dev Tracker (IT)'!S11)</f>
        <v/>
      </c>
      <c r="N14">
        <v>0.6</v>
      </c>
      <c r="O14" t="s">
        <v>78</v>
      </c>
    </row>
    <row r="15" spans="1:15">
      <c r="A15">
        <f>IF($B15="","",COUNTA($B$7:$B15))</f>
        <v>9</v>
      </c>
      <c r="B15" t="str">
        <f>IF('Dev Tracker (IT)'!C12="","",'Dev Tracker (IT)'!C12)</f>
        <v>11infortec</v>
      </c>
      <c r="C15" t="str">
        <f>IF('Dev Tracker (IT)'!B12="","",SUBSTITUTE('Dev Tracker (IT)'!B12,CHAR(10)," "))</f>
        <v>Switching System</v>
      </c>
      <c r="D15" t="str">
        <f>IF('Dev Tracker (IT)'!J12="","",'Dev Tracker (IT)'!J12)</f>
        <v>Contact</v>
      </c>
      <c r="E15" t="str">
        <f>IF('Dev Tracker (IT)'!G12="","",IF(ISNUMBER(SEARCH("OHMY",'Dev Tracker (IT)'!G12)),IF(LEN('Dev Tracker (IT)'!G12)&gt;5,"OMH + Partner","OMH (in-house)"),"Partner"))</f>
        <v>OMH (in-house)</v>
      </c>
      <c r="F15" t="str">
        <f>IF('Dev Tracker (IT)'!D12="","",IF(ISNUMBER(SEARCH("OMH API",'Dev Tracker (IT)'!D12)),"They call our API","We build to their API"))</f>
        <v>We build to their API</v>
      </c>
      <c r="G15" t="str">
        <f>IF('Dev Tracker (IT)'!C12="","",IF('Dev Tracker (IT)'!E12="","Not set",'Dev Tracker (IT)'!E12))</f>
        <v>Not set</v>
      </c>
      <c r="H15">
        <f>IF('Dev Tracker (IT)'!N12="","",'Dev Tracker (IT)'!N12)</f>
        <v>0</v>
      </c>
      <c r="I15" t="str">
        <f>IF($H15="","",INDEX($O$7:$O$19,MATCH($H15,$N$7:$N$19,0)))</f>
        <v>Not tracked — no dates yet</v>
      </c>
      <c r="J15" t="str">
        <f>IF('Dev Tracker (IT)'!R12="","",'Dev Tracker (IT)'!R12)</f>
        <v/>
      </c>
      <c r="K15" t="str">
        <f ca="1">IF('Dev Tracker (IT)'!S12="","",'Dev Tracker (IT)'!S12)</f>
        <v/>
      </c>
      <c r="N15">
        <v>0.7</v>
      </c>
      <c r="O15" t="s">
        <v>79</v>
      </c>
    </row>
    <row r="16" spans="1:15">
      <c r="A16">
        <f>IF($B16="","",COUNTA($B$7:$B16))</f>
        <v>10</v>
      </c>
      <c r="B16" t="str">
        <f>IF('Dev Tracker (IT)'!C13="","",'Dev Tracker (IT)'!C13)</f>
        <v>MG Group (Room Deal)</v>
      </c>
      <c r="C16" t="str">
        <f>IF('Dev Tracker (IT)'!B13="","",SUBSTITUTE('Dev Tracker (IT)'!B13,CHAR(10)," "))</f>
        <v>Channel API</v>
      </c>
      <c r="D16" t="str">
        <f>IF('Dev Tracker (IT)'!J13="","",'Dev Tracker (IT)'!J13)</f>
        <v>Live</v>
      </c>
      <c r="E16" t="str">
        <f>IF('Dev Tracker (IT)'!G13="","",IF(ISNUMBER(SEARCH("OHMY",'Dev Tracker (IT)'!G13)),IF(LEN('Dev Tracker (IT)'!G13)&gt;5,"OMH + Partner","OMH (in-house)"),"Partner"))</f>
        <v>Partner</v>
      </c>
      <c r="F16" t="str">
        <f>IF('Dev Tracker (IT)'!D13="","",IF(ISNUMBER(SEARCH("OMH API",'Dev Tracker (IT)'!D13)),"They call our API","We build to their API"))</f>
        <v>They call our API</v>
      </c>
      <c r="G16" t="str">
        <f>IF('Dev Tracker (IT)'!C13="","",IF('Dev Tracker (IT)'!E13="","Not set",'Dev Tracker (IT)'!E13))</f>
        <v>Not set</v>
      </c>
      <c r="H16">
        <f>IF('Dev Tracker (IT)'!N13="","",'Dev Tracker (IT)'!N13)</f>
        <v>0</v>
      </c>
      <c r="I16" t="str">
        <f>IF($H16="","",INDEX($O$7:$O$19,MATCH($H16,$N$7:$N$19,0)))</f>
        <v>Not tracked — no dates yet</v>
      </c>
      <c r="J16" t="str">
        <f>IF('Dev Tracker (IT)'!R13="","",'Dev Tracker (IT)'!R13)</f>
        <v/>
      </c>
      <c r="K16" t="str">
        <f ca="1">IF('Dev Tracker (IT)'!S13="","",'Dev Tracker (IT)'!S13)</f>
        <v/>
      </c>
      <c r="N16">
        <v>0.75</v>
      </c>
      <c r="O16" t="s">
        <v>80</v>
      </c>
    </row>
    <row r="17" spans="1:15">
      <c r="A17">
        <f>IF($B17="","",COUNTA($B$7:$B17))</f>
        <v>11</v>
      </c>
      <c r="B17" t="str">
        <f>IF('Dev Tracker (IT)'!C14="","",'Dev Tracker (IT)'!C14)</f>
        <v>RTX (Rakuten)</v>
      </c>
      <c r="C17" t="str">
        <f>IF('Dev Tracker (IT)'!B14="","",SUBSTITUTE('Dev Tracker (IT)'!B14,CHAR(10)," "))</f>
        <v>Channel API</v>
      </c>
      <c r="D17" t="str">
        <f>IF('Dev Tracker (IT)'!J14="","",'Dev Tracker (IT)'!J14)</f>
        <v>Live</v>
      </c>
      <c r="E17" t="str">
        <f>IF('Dev Tracker (IT)'!G14="","",IF(ISNUMBER(SEARCH("OHMY",'Dev Tracker (IT)'!G14)),IF(LEN('Dev Tracker (IT)'!G14)&gt;5,"OMH + Partner","OMH (in-house)"),"Partner"))</f>
        <v>Partner</v>
      </c>
      <c r="F17" t="str">
        <f>IF('Dev Tracker (IT)'!D14="","",IF(ISNUMBER(SEARCH("OMH API",'Dev Tracker (IT)'!D14)),"They call our API","We build to their API"))</f>
        <v>They call our API</v>
      </c>
      <c r="G17" t="str">
        <f>IF('Dev Tracker (IT)'!C14="","",IF('Dev Tracker (IT)'!E14="","Not set",'Dev Tracker (IT)'!E14))</f>
        <v>Not set</v>
      </c>
      <c r="H17">
        <f>IF('Dev Tracker (IT)'!N14="","",'Dev Tracker (IT)'!N14)</f>
        <v>0</v>
      </c>
      <c r="I17" t="str">
        <f>IF($H17="","",INDEX($O$7:$O$19,MATCH($H17,$N$7:$N$19,0)))</f>
        <v>Not tracked — no dates yet</v>
      </c>
      <c r="J17" t="str">
        <f>IF('Dev Tracker (IT)'!R14="","",'Dev Tracker (IT)'!R14)</f>
        <v/>
      </c>
      <c r="K17" t="str">
        <f ca="1">IF('Dev Tracker (IT)'!S14="","",'Dev Tracker (IT)'!S14)</f>
        <v/>
      </c>
      <c r="N17">
        <v>0.8</v>
      </c>
      <c r="O17" t="s">
        <v>81</v>
      </c>
    </row>
    <row r="18" spans="1:15">
      <c r="A18">
        <f>IF($B18="","",COUNTA($B$7:$B18))</f>
        <v>12</v>
      </c>
      <c r="B18" t="str">
        <f>IF('Dev Tracker (IT)'!C15="","",'Dev Tracker (IT)'!C15)</f>
        <v>SS Booking</v>
      </c>
      <c r="C18" t="str">
        <f>IF('Dev Tracker (IT)'!B15="","",SUBSTITUTE('Dev Tracker (IT)'!B15,CHAR(10)," "))</f>
        <v>Channel API</v>
      </c>
      <c r="D18" t="str">
        <f>IF('Dev Tracker (IT)'!J15="","",'Dev Tracker (IT)'!J15)</f>
        <v>Live</v>
      </c>
      <c r="E18" t="str">
        <f>IF('Dev Tracker (IT)'!G15="","",IF(ISNUMBER(SEARCH("OHMY",'Dev Tracker (IT)'!G15)),IF(LEN('Dev Tracker (IT)'!G15)&gt;5,"OMH + Partner","OMH (in-house)"),"Partner"))</f>
        <v>Partner</v>
      </c>
      <c r="F18" t="str">
        <f>IF('Dev Tracker (IT)'!D15="","",IF(ISNUMBER(SEARCH("OMH API",'Dev Tracker (IT)'!D15)),"They call our API","We build to their API"))</f>
        <v>They call our API</v>
      </c>
      <c r="G18" t="str">
        <f>IF('Dev Tracker (IT)'!C15="","",IF('Dev Tracker (IT)'!E15="","Not set",'Dev Tracker (IT)'!E15))</f>
        <v>Not set</v>
      </c>
      <c r="H18">
        <f>IF('Dev Tracker (IT)'!N15="","",'Dev Tracker (IT)'!N15)</f>
        <v>0.6</v>
      </c>
      <c r="I18" t="str">
        <f>IF($H18="","",INDEX($O$7:$O$19,MATCH($H18,$N$7:$N$19,0)))</f>
        <v>7. Certification</v>
      </c>
      <c r="J18">
        <f>IF('Dev Tracker (IT)'!R15="","",'Dev Tracker (IT)'!R15)</f>
        <v>45985</v>
      </c>
      <c r="K18">
        <f ca="1">IF('Dev Tracker (IT)'!S15="","",'Dev Tracker (IT)'!S15)</f>
        <v>264</v>
      </c>
      <c r="N18">
        <v>0.9</v>
      </c>
      <c r="O18" t="s">
        <v>82</v>
      </c>
    </row>
    <row r="19" spans="1:15">
      <c r="A19">
        <f>IF($B19="","",COUNTA($B$7:$B19))</f>
        <v>13</v>
      </c>
      <c r="B19" t="str">
        <f>IF('Dev Tracker (IT)'!C16="","",'Dev Tracker (IT)'!C16)</f>
        <v>Linkstay</v>
      </c>
      <c r="C19" t="str">
        <f>IF('Dev Tracker (IT)'!B16="","",SUBSTITUTE('Dev Tracker (IT)'!B16,CHAR(10)," "))</f>
        <v>Channel API</v>
      </c>
      <c r="D19" t="str">
        <f>IF('Dev Tracker (IT)'!J16="","",'Dev Tracker (IT)'!J16)</f>
        <v>Live</v>
      </c>
      <c r="E19" t="str">
        <f>IF('Dev Tracker (IT)'!G16="","",IF(ISNUMBER(SEARCH("OHMY",'Dev Tracker (IT)'!G16)),IF(LEN('Dev Tracker (IT)'!G16)&gt;5,"OMH + Partner","OMH (in-house)"),"Partner"))</f>
        <v>Partner</v>
      </c>
      <c r="F19" t="str">
        <f>IF('Dev Tracker (IT)'!D16="","",IF(ISNUMBER(SEARCH("OMH API",'Dev Tracker (IT)'!D16)),"They call our API","We build to their API"))</f>
        <v>They call our API</v>
      </c>
      <c r="G19" t="str">
        <f>IF('Dev Tracker (IT)'!C16="","",IF('Dev Tracker (IT)'!E16="","Not set",'Dev Tracker (IT)'!E16))</f>
        <v>Not set</v>
      </c>
      <c r="H19">
        <f>IF('Dev Tracker (IT)'!N16="","",'Dev Tracker (IT)'!N16)</f>
        <v>0.7</v>
      </c>
      <c r="I19" t="str">
        <f>IF($H19="","",INDEX($O$7:$O$19,MATCH($H19,$N$7:$N$19,0)))</f>
        <v>8. Live test</v>
      </c>
      <c r="J19">
        <f>IF('Dev Tracker (IT)'!R16="","",'Dev Tracker (IT)'!R16)</f>
        <v>46149</v>
      </c>
      <c r="K19">
        <f ca="1">IF('Dev Tracker (IT)'!S16="","",'Dev Tracker (IT)'!S16)</f>
        <v>100</v>
      </c>
      <c r="N19">
        <v>1</v>
      </c>
      <c r="O19" t="s">
        <v>83</v>
      </c>
    </row>
    <row r="20" spans="1:15">
      <c r="A20">
        <f>IF($B20="","",COUNTA($B$7:$B20))</f>
        <v>14</v>
      </c>
      <c r="B20" t="str">
        <f>IF('Dev Tracker (IT)'!C17="","",'Dev Tracker (IT)'!C17)</f>
        <v>Hotelbank</v>
      </c>
      <c r="C20" t="str">
        <f>IF('Dev Tracker (IT)'!B17="","",SUBSTITUTE('Dev Tracker (IT)'!B17,CHAR(10)," "))</f>
        <v>Channel API</v>
      </c>
      <c r="D20" t="str">
        <f>IF('Dev Tracker (IT)'!J17="","",'Dev Tracker (IT)'!J17)</f>
        <v>Live</v>
      </c>
      <c r="E20" t="str">
        <f>IF('Dev Tracker (IT)'!G17="","",IF(ISNUMBER(SEARCH("OHMY",'Dev Tracker (IT)'!G17)),IF(LEN('Dev Tracker (IT)'!G17)&gt;5,"OMH + Partner","OMH (in-house)"),"Partner"))</f>
        <v>Partner</v>
      </c>
      <c r="F20" t="str">
        <f>IF('Dev Tracker (IT)'!D17="","",IF(ISNUMBER(SEARCH("OMH API",'Dev Tracker (IT)'!D17)),"They call our API","We build to their API"))</f>
        <v>They call our API</v>
      </c>
      <c r="G20" t="str">
        <f>IF('Dev Tracker (IT)'!C17="","",IF('Dev Tracker (IT)'!E17="","Not set",'Dev Tracker (IT)'!E17))</f>
        <v>Not set</v>
      </c>
      <c r="H20">
        <f>IF('Dev Tracker (IT)'!N17="","",'Dev Tracker (IT)'!N17)</f>
        <v>0.5</v>
      </c>
      <c r="I20" t="str">
        <f>IF($H20="","",INDEX($O$7:$O$19,MATCH($H20,$N$7:$N$19,0)))</f>
        <v>6. Dev started — SPEC &amp; DEV key</v>
      </c>
      <c r="J20">
        <f>IF('Dev Tracker (IT)'!R17="","",'Dev Tracker (IT)'!R17)</f>
        <v>45992</v>
      </c>
      <c r="K20">
        <f ca="1">IF('Dev Tracker (IT)'!S17="","",'Dev Tracker (IT)'!S17)</f>
        <v>257</v>
      </c>
    </row>
    <row r="21" spans="1:15">
      <c r="A21">
        <f>IF($B21="","",COUNTA($B$7:$B21))</f>
        <v>15</v>
      </c>
      <c r="B21" t="str">
        <f>IF('Dev Tracker (IT)'!C18="","",'Dev Tracker (IT)'!C18)</f>
        <v>Huamin</v>
      </c>
      <c r="C21" t="str">
        <f>IF('Dev Tracker (IT)'!B18="","",SUBSTITUTE('Dev Tracker (IT)'!B18,CHAR(10)," "))</f>
        <v>Channel API</v>
      </c>
      <c r="D21" t="str">
        <f>IF('Dev Tracker (IT)'!J18="","",'Dev Tracker (IT)'!J18)</f>
        <v>Live</v>
      </c>
      <c r="E21" t="str">
        <f>IF('Dev Tracker (IT)'!G18="","",IF(ISNUMBER(SEARCH("OHMY",'Dev Tracker (IT)'!G18)),IF(LEN('Dev Tracker (IT)'!G18)&gt;5,"OMH + Partner","OMH (in-house)"),"Partner"))</f>
        <v>Partner</v>
      </c>
      <c r="F21" t="str">
        <f>IF('Dev Tracker (IT)'!D18="","",IF(ISNUMBER(SEARCH("OMH API",'Dev Tracker (IT)'!D18)),"They call our API","We build to their API"))</f>
        <v>They call our API</v>
      </c>
      <c r="G21" t="str">
        <f>IF('Dev Tracker (IT)'!C18="","",IF('Dev Tracker (IT)'!E18="","Not set",'Dev Tracker (IT)'!E18))</f>
        <v>Not set</v>
      </c>
      <c r="H21">
        <f>IF('Dev Tracker (IT)'!N18="","",'Dev Tracker (IT)'!N18)</f>
        <v>0.5</v>
      </c>
      <c r="I21" t="str">
        <f>IF($H21="","",INDEX($O$7:$O$19,MATCH($H21,$N$7:$N$19,0)))</f>
        <v>6. Dev started — SPEC &amp; DEV key</v>
      </c>
      <c r="J21">
        <f>IF('Dev Tracker (IT)'!R18="","",'Dev Tracker (IT)'!R18)</f>
        <v>46013</v>
      </c>
      <c r="K21">
        <f ca="1">IF('Dev Tracker (IT)'!S18="","",'Dev Tracker (IT)'!S18)</f>
        <v>236</v>
      </c>
    </row>
    <row r="22" spans="1:15">
      <c r="A22">
        <f>IF($B22="","",COUNTA($B$7:$B22))</f>
        <v>16</v>
      </c>
      <c r="B22" t="str">
        <f>IF('Dev Tracker (IT)'!C19="","",'Dev Tracker (IT)'!C19)</f>
        <v>Bingtrip</v>
      </c>
      <c r="C22" t="str">
        <f>IF('Dev Tracker (IT)'!B19="","",SUBSTITUTE('Dev Tracker (IT)'!B19,CHAR(10)," "))</f>
        <v>Channel API</v>
      </c>
      <c r="D22" t="str">
        <f>IF('Dev Tracker (IT)'!J19="","",'Dev Tracker (IT)'!J19)</f>
        <v>Live</v>
      </c>
      <c r="E22" t="str">
        <f>IF('Dev Tracker (IT)'!G19="","",IF(ISNUMBER(SEARCH("OHMY",'Dev Tracker (IT)'!G19)),IF(LEN('Dev Tracker (IT)'!G19)&gt;5,"OMH + Partner","OMH (in-house)"),"Partner"))</f>
        <v>Partner</v>
      </c>
      <c r="F22" t="str">
        <f>IF('Dev Tracker (IT)'!D19="","",IF(ISNUMBER(SEARCH("OMH API",'Dev Tracker (IT)'!D19)),"They call our API","We build to their API"))</f>
        <v>They call our API</v>
      </c>
      <c r="G22" t="str">
        <f>IF('Dev Tracker (IT)'!C19="","",IF('Dev Tracker (IT)'!E19="","Not set",'Dev Tracker (IT)'!E19))</f>
        <v>Not set</v>
      </c>
      <c r="H22">
        <f>IF('Dev Tracker (IT)'!N19="","",'Dev Tracker (IT)'!N19)</f>
        <v>0.45</v>
      </c>
      <c r="I22" t="str">
        <f>IF($H22="","",INDEX($O$7:$O$19,MATCH($H22,$N$7:$N$19,0)))</f>
        <v>5. Dev start (planned)</v>
      </c>
      <c r="J22">
        <f>IF('Dev Tracker (IT)'!R19="","",'Dev Tracker (IT)'!R19)</f>
        <v>46054</v>
      </c>
      <c r="K22">
        <f ca="1">IF('Dev Tracker (IT)'!S19="","",'Dev Tracker (IT)'!S19)</f>
        <v>195</v>
      </c>
    </row>
    <row r="23" spans="1:15">
      <c r="A23">
        <f>IF($B23="","",COUNTA($B$7:$B23))</f>
        <v>17</v>
      </c>
      <c r="B23" t="str">
        <f>IF('Dev Tracker (IT)'!C20="","",'Dev Tracker (IT)'!C20)</f>
        <v>Klook</v>
      </c>
      <c r="C23" t="str">
        <f>IF('Dev Tracker (IT)'!B20="","",SUBSTITUTE('Dev Tracker (IT)'!B20,CHAR(10)," "))</f>
        <v>Channel API</v>
      </c>
      <c r="D23" t="str">
        <f>IF('Dev Tracker (IT)'!J20="","",'Dev Tracker (IT)'!J20)</f>
        <v>Testing</v>
      </c>
      <c r="E23" t="str">
        <f>IF('Dev Tracker (IT)'!G20="","",IF(ISNUMBER(SEARCH("OHMY",'Dev Tracker (IT)'!G20)),IF(LEN('Dev Tracker (IT)'!G20)&gt;5,"OMH + Partner","OMH (in-house)"),"Partner"))</f>
        <v>OMH (in-house)</v>
      </c>
      <c r="F23" t="str">
        <f>IF('Dev Tracker (IT)'!D20="","",IF(ISNUMBER(SEARCH("OMH API",'Dev Tracker (IT)'!D20)),"They call our API","We build to their API"))</f>
        <v>They call our API</v>
      </c>
      <c r="G23" t="str">
        <f>IF('Dev Tracker (IT)'!C20="","",IF('Dev Tracker (IT)'!E20="","Not set",'Dev Tracker (IT)'!E20))</f>
        <v>Not set</v>
      </c>
      <c r="H23">
        <f>IF('Dev Tracker (IT)'!N20="","",'Dev Tracker (IT)'!N20)</f>
        <v>0.5</v>
      </c>
      <c r="I23" t="str">
        <f>IF($H23="","",INDEX($O$7:$O$19,MATCH($H23,$N$7:$N$19,0)))</f>
        <v>6. Dev started — SPEC &amp; DEV key</v>
      </c>
      <c r="J23">
        <f>IF('Dev Tracker (IT)'!R20="","",'Dev Tracker (IT)'!R20)</f>
        <v>45962</v>
      </c>
      <c r="K23">
        <f ca="1">IF('Dev Tracker (IT)'!S20="","",'Dev Tracker (IT)'!S20)</f>
        <v>287</v>
      </c>
    </row>
    <row r="24" spans="1:15">
      <c r="A24">
        <f>IF($B24="","",COUNTA($B$7:$B24))</f>
        <v>18</v>
      </c>
      <c r="B24" t="str">
        <f>IF('Dev Tracker (IT)'!C21="","",'Dev Tracker (IT)'!C21)</f>
        <v>GGT (Go Global)</v>
      </c>
      <c r="C24" t="str">
        <f>IF('Dev Tracker (IT)'!B21="","",SUBSTITUTE('Dev Tracker (IT)'!B21,CHAR(10)," "))</f>
        <v>Channel API</v>
      </c>
      <c r="D24" t="str">
        <f>IF('Dev Tracker (IT)'!J21="","",'Dev Tracker (IT)'!J21)</f>
        <v>In Development</v>
      </c>
      <c r="E24" t="str">
        <f>IF('Dev Tracker (IT)'!G21="","",IF(ISNUMBER(SEARCH("OHMY",'Dev Tracker (IT)'!G21)),IF(LEN('Dev Tracker (IT)'!G21)&gt;5,"OMH + Partner","OMH (in-house)"),"Partner"))</f>
        <v>OMH (in-house)</v>
      </c>
      <c r="F24" t="str">
        <f>IF('Dev Tracker (IT)'!D21="","",IF(ISNUMBER(SEARCH("OMH API",'Dev Tracker (IT)'!D21)),"They call our API","We build to their API"))</f>
        <v>They call our API</v>
      </c>
      <c r="G24" t="str">
        <f>IF('Dev Tracker (IT)'!C21="","",IF('Dev Tracker (IT)'!E21="","Not set",'Dev Tracker (IT)'!E21))</f>
        <v>Not set</v>
      </c>
      <c r="H24">
        <f>IF('Dev Tracker (IT)'!N21="","",'Dev Tracker (IT)'!N21)</f>
        <v>0</v>
      </c>
      <c r="I24" t="str">
        <f>IF($H24="","",INDEX($O$7:$O$19,MATCH($H24,$N$7:$N$19,0)))</f>
        <v>Not tracked — no dates yet</v>
      </c>
      <c r="J24" t="str">
        <f>IF('Dev Tracker (IT)'!R21="","",'Dev Tracker (IT)'!R21)</f>
        <v/>
      </c>
      <c r="K24" t="str">
        <f ca="1">IF('Dev Tracker (IT)'!S21="","",'Dev Tracker (IT)'!S21)</f>
        <v/>
      </c>
    </row>
    <row r="25" spans="1:15">
      <c r="A25">
        <f>IF($B25="","",COUNTA($B$7:$B25))</f>
        <v>19</v>
      </c>
      <c r="B25" t="str">
        <f>IF('Dev Tracker (IT)'!C22="","",'Dev Tracker (IT)'!C22)</f>
        <v>KAKAO</v>
      </c>
      <c r="C25" t="str">
        <f>IF('Dev Tracker (IT)'!B22="","",SUBSTITUTE('Dev Tracker (IT)'!B22,CHAR(10)," "))</f>
        <v>Channel API</v>
      </c>
      <c r="D25" t="str">
        <f>IF('Dev Tracker (IT)'!J22="","",'Dev Tracker (IT)'!J22)</f>
        <v>Contact</v>
      </c>
      <c r="E25" t="str">
        <f>IF('Dev Tracker (IT)'!G22="","",IF(ISNUMBER(SEARCH("OHMY",'Dev Tracker (IT)'!G22)),IF(LEN('Dev Tracker (IT)'!G22)&gt;5,"OMH + Partner","OMH (in-house)"),"Partner"))</f>
        <v>OMH (in-house)</v>
      </c>
      <c r="F25" t="str">
        <f>IF('Dev Tracker (IT)'!D22="","",IF(ISNUMBER(SEARCH("OMH API",'Dev Tracker (IT)'!D22)),"They call our API","We build to their API"))</f>
        <v>They call our API</v>
      </c>
      <c r="G25" t="str">
        <f>IF('Dev Tracker (IT)'!C22="","",IF('Dev Tracker (IT)'!E22="","Not set",'Dev Tracker (IT)'!E22))</f>
        <v>Not set</v>
      </c>
      <c r="H25">
        <f>IF('Dev Tracker (IT)'!N22="","",'Dev Tracker (IT)'!N22)</f>
        <v>0</v>
      </c>
      <c r="I25" t="str">
        <f>IF($H25="","",INDEX($O$7:$O$19,MATCH($H25,$N$7:$N$19,0)))</f>
        <v>Not tracked — no dates yet</v>
      </c>
      <c r="J25" t="str">
        <f>IF('Dev Tracker (IT)'!R22="","",'Dev Tracker (IT)'!R22)</f>
        <v/>
      </c>
      <c r="K25" t="str">
        <f ca="1">IF('Dev Tracker (IT)'!S22="","",'Dev Tracker (IT)'!S22)</f>
        <v/>
      </c>
    </row>
    <row r="26" spans="1:15">
      <c r="A26">
        <f>IF($B26="","",COUNTA($B$7:$B26))</f>
        <v>20</v>
      </c>
      <c r="B26" t="str">
        <f>IF('Dev Tracker (IT)'!C23="","",'Dev Tracker (IT)'!C23)</f>
        <v>TBO</v>
      </c>
      <c r="C26" t="str">
        <f>IF('Dev Tracker (IT)'!B23="","",SUBSTITUTE('Dev Tracker (IT)'!B23,CHAR(10)," "))</f>
        <v>Channel API</v>
      </c>
      <c r="D26" t="str">
        <f>IF('Dev Tracker (IT)'!J23="","",'Dev Tracker (IT)'!J23)</f>
        <v>NDA/Contract</v>
      </c>
      <c r="E26" t="str">
        <f>IF('Dev Tracker (IT)'!G23="","",IF(ISNUMBER(SEARCH("OHMY",'Dev Tracker (IT)'!G23)),IF(LEN('Dev Tracker (IT)'!G23)&gt;5,"OMH + Partner","OMH (in-house)"),"Partner"))</f>
        <v>OMH (in-house)</v>
      </c>
      <c r="F26" t="str">
        <f>IF('Dev Tracker (IT)'!D23="","",IF(ISNUMBER(SEARCH("OMH API",'Dev Tracker (IT)'!D23)),"They call our API","We build to their API"))</f>
        <v>They call our API</v>
      </c>
      <c r="G26" t="str">
        <f>IF('Dev Tracker (IT)'!C23="","",IF('Dev Tracker (IT)'!E23="","Not set",'Dev Tracker (IT)'!E23))</f>
        <v>Not set</v>
      </c>
      <c r="H26">
        <f>IF('Dev Tracker (IT)'!N23="","",'Dev Tracker (IT)'!N23)</f>
        <v>0.1</v>
      </c>
      <c r="I26" t="str">
        <f>IF($H26="","",INDEX($O$7:$O$19,MATCH($H26,$N$7:$N$19,0)))</f>
        <v>1. Meeting / 1st contact</v>
      </c>
      <c r="J26">
        <f>IF('Dev Tracker (IT)'!R23="","",'Dev Tracker (IT)'!R23)</f>
        <v>45897</v>
      </c>
      <c r="K26">
        <f ca="1">IF('Dev Tracker (IT)'!S23="","",'Dev Tracker (IT)'!S23)</f>
        <v>352</v>
      </c>
    </row>
    <row r="27" spans="1:15">
      <c r="A27">
        <f>IF($B27="","",COUNTA($B$7:$B27))</f>
        <v>21</v>
      </c>
      <c r="B27" t="str">
        <f>IF('Dev Tracker (IT)'!C24="","",'Dev Tracker (IT)'!C24)</f>
        <v>RateHawk</v>
      </c>
      <c r="C27" t="str">
        <f>IF('Dev Tracker (IT)'!B24="","",SUBSTITUTE('Dev Tracker (IT)'!B24,CHAR(10)," "))</f>
        <v>Channel API</v>
      </c>
      <c r="D27" t="str">
        <f>IF('Dev Tracker (IT)'!J24="","",'Dev Tracker (IT)'!J24)</f>
        <v>NDA/Contract</v>
      </c>
      <c r="E27" t="str">
        <f>IF('Dev Tracker (IT)'!G24="","",IF(ISNUMBER(SEARCH("OHMY",'Dev Tracker (IT)'!G24)),IF(LEN('Dev Tracker (IT)'!G24)&gt;5,"OMH + Partner","OMH (in-house)"),"Partner"))</f>
        <v>OMH (in-house)</v>
      </c>
      <c r="F27" t="str">
        <f>IF('Dev Tracker (IT)'!D24="","",IF(ISNUMBER(SEARCH("OMH API",'Dev Tracker (IT)'!D24)),"They call our API","We build to their API"))</f>
        <v>They call our API</v>
      </c>
      <c r="G27" t="str">
        <f>IF('Dev Tracker (IT)'!C24="","",IF('Dev Tracker (IT)'!E24="","Not set",'Dev Tracker (IT)'!E24))</f>
        <v>Not set</v>
      </c>
      <c r="H27">
        <f>IF('Dev Tracker (IT)'!N24="","",'Dev Tracker (IT)'!N24)</f>
        <v>0.1</v>
      </c>
      <c r="I27" t="str">
        <f>IF($H27="","",INDEX($O$7:$O$19,MATCH($H27,$N$7:$N$19,0)))</f>
        <v>1. Meeting / 1st contact</v>
      </c>
      <c r="J27">
        <f>IF('Dev Tracker (IT)'!R24="","",'Dev Tracker (IT)'!R24)</f>
        <v>45924</v>
      </c>
      <c r="K27">
        <f ca="1">IF('Dev Tracker (IT)'!S24="","",'Dev Tracker (IT)'!S24)</f>
        <v>325</v>
      </c>
    </row>
    <row r="28" spans="1:15">
      <c r="A28">
        <f>IF($B28="","",COUNTA($B$7:$B28))</f>
        <v>22</v>
      </c>
      <c r="B28" t="str">
        <f>IF('Dev Tracker (IT)'!C25="","",'Dev Tracker (IT)'!C25)</f>
        <v>Luxury Tours</v>
      </c>
      <c r="C28" t="str">
        <f>IF('Dev Tracker (IT)'!B25="","",SUBSTITUTE('Dev Tracker (IT)'!B25,CHAR(10)," "))</f>
        <v>Channel API</v>
      </c>
      <c r="D28" t="str">
        <f>IF('Dev Tracker (IT)'!J25="","",'Dev Tracker (IT)'!J25)</f>
        <v>NDA/Contract</v>
      </c>
      <c r="E28" t="str">
        <f>IF('Dev Tracker (IT)'!G25="","",IF(ISNUMBER(SEARCH("OHMY",'Dev Tracker (IT)'!G25)),IF(LEN('Dev Tracker (IT)'!G25)&gt;5,"OMH + Partner","OMH (in-house)"),"Partner"))</f>
        <v>OMH (in-house)</v>
      </c>
      <c r="F28" t="str">
        <f>IF('Dev Tracker (IT)'!D25="","",IF(ISNUMBER(SEARCH("OMH API",'Dev Tracker (IT)'!D25)),"They call our API","We build to their API"))</f>
        <v>They call our API</v>
      </c>
      <c r="G28" t="str">
        <f>IF('Dev Tracker (IT)'!C25="","",IF('Dev Tracker (IT)'!E25="","Not set",'Dev Tracker (IT)'!E25))</f>
        <v>Not set</v>
      </c>
      <c r="H28">
        <f>IF('Dev Tracker (IT)'!N25="","",'Dev Tracker (IT)'!N25)</f>
        <v>0</v>
      </c>
      <c r="I28" t="str">
        <f>IF($H28="","",INDEX($O$7:$O$19,MATCH($H28,$N$7:$N$19,0)))</f>
        <v>Not tracked — no dates yet</v>
      </c>
      <c r="J28" t="str">
        <f>IF('Dev Tracker (IT)'!R25="","",'Dev Tracker (IT)'!R25)</f>
        <v/>
      </c>
      <c r="K28" t="str">
        <f ca="1">IF('Dev Tracker (IT)'!S25="","",'Dev Tracker (IT)'!S25)</f>
        <v/>
      </c>
    </row>
    <row r="29" spans="1:15">
      <c r="A29">
        <f>IF($B29="","",COUNTA($B$7:$B29))</f>
        <v>23</v>
      </c>
      <c r="B29" t="str">
        <f>IF('Dev Tracker (IT)'!C26="","",'Dev Tracker (IT)'!C26)</f>
        <v>Travelata</v>
      </c>
      <c r="C29" t="str">
        <f>IF('Dev Tracker (IT)'!B26="","",SUBSTITUTE('Dev Tracker (IT)'!B26,CHAR(10)," "))</f>
        <v>Channel API</v>
      </c>
      <c r="D29" t="str">
        <f>IF('Dev Tracker (IT)'!J26="","",'Dev Tracker (IT)'!J26)</f>
        <v>NDA/Contract</v>
      </c>
      <c r="E29" t="str">
        <f>IF('Dev Tracker (IT)'!G26="","",IF(ISNUMBER(SEARCH("OHMY",'Dev Tracker (IT)'!G26)),IF(LEN('Dev Tracker (IT)'!G26)&gt;5,"OMH + Partner","OMH (in-house)"),"Partner"))</f>
        <v>Partner</v>
      </c>
      <c r="F29" t="str">
        <f>IF('Dev Tracker (IT)'!D26="","",IF(ISNUMBER(SEARCH("OMH API",'Dev Tracker (IT)'!D26)),"They call our API","We build to their API"))</f>
        <v>They call our API</v>
      </c>
      <c r="G29" t="str">
        <f>IF('Dev Tracker (IT)'!C26="","",IF('Dev Tracker (IT)'!E26="","Not set",'Dev Tracker (IT)'!E26))</f>
        <v>Not set</v>
      </c>
      <c r="H29">
        <f>IF('Dev Tracker (IT)'!N26="","",'Dev Tracker (IT)'!N26)</f>
        <v>0</v>
      </c>
      <c r="I29" t="str">
        <f>IF($H29="","",INDEX($O$7:$O$19,MATCH($H29,$N$7:$N$19,0)))</f>
        <v>Not tracked — no dates yet</v>
      </c>
      <c r="J29" t="str">
        <f>IF('Dev Tracker (IT)'!R26="","",'Dev Tracker (IT)'!R26)</f>
        <v/>
      </c>
      <c r="K29" t="str">
        <f ca="1">IF('Dev Tracker (IT)'!S26="","",'Dev Tracker (IT)'!S26)</f>
        <v/>
      </c>
    </row>
    <row r="30" spans="1:15">
      <c r="A30">
        <f>IF($B30="","",COUNTA($B$7:$B30))</f>
        <v>24</v>
      </c>
      <c r="B30" t="str">
        <f>IF('Dev Tracker (IT)'!C27="","",'Dev Tracker (IT)'!C27)</f>
        <v>Roomforless</v>
      </c>
      <c r="C30" t="str">
        <f>IF('Dev Tracker (IT)'!B27="","",SUBSTITUTE('Dev Tracker (IT)'!B27,CHAR(10)," "))</f>
        <v>Channel API</v>
      </c>
      <c r="D30" t="str">
        <f>IF('Dev Tracker (IT)'!J27="","",'Dev Tracker (IT)'!J27)</f>
        <v>NDA/Contract</v>
      </c>
      <c r="E30" t="str">
        <f>IF('Dev Tracker (IT)'!G27="","",IF(ISNUMBER(SEARCH("OHMY",'Dev Tracker (IT)'!G27)),IF(LEN('Dev Tracker (IT)'!G27)&gt;5,"OMH + Partner","OMH (in-house)"),"Partner"))</f>
        <v>OMH (in-house)</v>
      </c>
      <c r="F30" t="str">
        <f>IF('Dev Tracker (IT)'!D27="","",IF(ISNUMBER(SEARCH("OMH API",'Dev Tracker (IT)'!D27)),"They call our API","We build to their API"))</f>
        <v>They call our API</v>
      </c>
      <c r="G30" t="str">
        <f>IF('Dev Tracker (IT)'!C27="","",IF('Dev Tracker (IT)'!E27="","Not set",'Dev Tracker (IT)'!E27))</f>
        <v>Not set</v>
      </c>
      <c r="H30">
        <f>IF('Dev Tracker (IT)'!N27="","",'Dev Tracker (IT)'!N27)</f>
        <v>0</v>
      </c>
      <c r="I30" t="str">
        <f>IF($H30="","",INDEX($O$7:$O$19,MATCH($H30,$N$7:$N$19,0)))</f>
        <v>Not tracked — no dates yet</v>
      </c>
      <c r="J30" t="str">
        <f>IF('Dev Tracker (IT)'!R27="","",'Dev Tracker (IT)'!R27)</f>
        <v/>
      </c>
      <c r="K30" t="str">
        <f ca="1">IF('Dev Tracker (IT)'!S27="","",'Dev Tracker (IT)'!S27)</f>
        <v/>
      </c>
    </row>
    <row r="31" spans="1:15">
      <c r="A31">
        <f>IF($B31="","",COUNTA($B$7:$B31))</f>
        <v>25</v>
      </c>
      <c r="B31" t="str">
        <f>IF('Dev Tracker (IT)'!C28="","",'Dev Tracker (IT)'!C28)</f>
        <v>myGO</v>
      </c>
      <c r="C31" t="str">
        <f>IF('Dev Tracker (IT)'!B28="","",SUBSTITUTE('Dev Tracker (IT)'!B28,CHAR(10)," "))</f>
        <v>Channel API</v>
      </c>
      <c r="D31" t="str">
        <f>IF('Dev Tracker (IT)'!J28="","",'Dev Tracker (IT)'!J28)</f>
        <v>NDA/Contract</v>
      </c>
      <c r="E31" t="str">
        <f>IF('Dev Tracker (IT)'!G28="","",IF(ISNUMBER(SEARCH("OHMY",'Dev Tracker (IT)'!G28)),IF(LEN('Dev Tracker (IT)'!G28)&gt;5,"OMH + Partner","OMH (in-house)"),"Partner"))</f>
        <v>OMH (in-house)</v>
      </c>
      <c r="F31" t="str">
        <f>IF('Dev Tracker (IT)'!D28="","",IF(ISNUMBER(SEARCH("OMH API",'Dev Tracker (IT)'!D28)),"They call our API","We build to their API"))</f>
        <v>They call our API</v>
      </c>
      <c r="G31" t="str">
        <f>IF('Dev Tracker (IT)'!C28="","",IF('Dev Tracker (IT)'!E28="","Not set",'Dev Tracker (IT)'!E28))</f>
        <v>Not set</v>
      </c>
      <c r="H31">
        <f>IF('Dev Tracker (IT)'!N28="","",'Dev Tracker (IT)'!N28)</f>
        <v>0</v>
      </c>
      <c r="I31" t="str">
        <f>IF($H31="","",INDEX($O$7:$O$19,MATCH($H31,$N$7:$N$19,0)))</f>
        <v>Not tracked — no dates yet</v>
      </c>
      <c r="J31" t="str">
        <f>IF('Dev Tracker (IT)'!R28="","",'Dev Tracker (IT)'!R28)</f>
        <v/>
      </c>
      <c r="K31" t="str">
        <f ca="1">IF('Dev Tracker (IT)'!S28="","",'Dev Tracker (IT)'!S28)</f>
        <v/>
      </c>
    </row>
    <row r="32" spans="1:15">
      <c r="A32">
        <f>IF($B32="","",COUNTA($B$7:$B32))</f>
        <v>26</v>
      </c>
      <c r="B32" t="str">
        <f>IF('Dev Tracker (IT)'!C29="","",'Dev Tracker (IT)'!C29)</f>
        <v>Bronevik</v>
      </c>
      <c r="C32" t="str">
        <f>IF('Dev Tracker (IT)'!B29="","",SUBSTITUTE('Dev Tracker (IT)'!B29,CHAR(10)," "))</f>
        <v>Channel API</v>
      </c>
      <c r="D32" t="str">
        <f>IF('Dev Tracker (IT)'!J29="","",'Dev Tracker (IT)'!J29)</f>
        <v>NDA/Contract</v>
      </c>
      <c r="E32" t="str">
        <f>IF('Dev Tracker (IT)'!G29="","",IF(ISNUMBER(SEARCH("OHMY",'Dev Tracker (IT)'!G29)),IF(LEN('Dev Tracker (IT)'!G29)&gt;5,"OMH + Partner","OMH (in-house)"),"Partner"))</f>
        <v>OMH (in-house)</v>
      </c>
      <c r="F32" t="str">
        <f>IF('Dev Tracker (IT)'!D29="","",IF(ISNUMBER(SEARCH("OMH API",'Dev Tracker (IT)'!D29)),"They call our API","We build to their API"))</f>
        <v>They call our API</v>
      </c>
      <c r="G32" t="str">
        <f>IF('Dev Tracker (IT)'!C29="","",IF('Dev Tracker (IT)'!E29="","Not set",'Dev Tracker (IT)'!E29))</f>
        <v>Not set</v>
      </c>
      <c r="H32">
        <f>IF('Dev Tracker (IT)'!N29="","",'Dev Tracker (IT)'!N29)</f>
        <v>0</v>
      </c>
      <c r="I32" t="str">
        <f>IF($H32="","",INDEX($O$7:$O$19,MATCH($H32,$N$7:$N$19,0)))</f>
        <v>Not tracked — no dates yet</v>
      </c>
      <c r="J32" t="str">
        <f>IF('Dev Tracker (IT)'!R29="","",'Dev Tracker (IT)'!R29)</f>
        <v/>
      </c>
      <c r="K32" t="str">
        <f ca="1">IF('Dev Tracker (IT)'!S29="","",'Dev Tracker (IT)'!S29)</f>
        <v/>
      </c>
    </row>
    <row r="33" spans="1:11">
      <c r="A33">
        <f>IF($B33="","",COUNTA($B$7:$B33))</f>
        <v>27</v>
      </c>
      <c r="B33" t="str">
        <f>IF('Dev Tracker (IT)'!C30="","",'Dev Tracker (IT)'!C30)</f>
        <v>Within Earth</v>
      </c>
      <c r="C33" t="str">
        <f>IF('Dev Tracker (IT)'!B30="","",SUBSTITUTE('Dev Tracker (IT)'!B30,CHAR(10)," "))</f>
        <v>Channel API</v>
      </c>
      <c r="D33" t="str">
        <f>IF('Dev Tracker (IT)'!J30="","",'Dev Tracker (IT)'!J30)</f>
        <v>NDA/Contract</v>
      </c>
      <c r="E33" t="str">
        <f>IF('Dev Tracker (IT)'!G30="","",IF(ISNUMBER(SEARCH("OHMY",'Dev Tracker (IT)'!G30)),IF(LEN('Dev Tracker (IT)'!G30)&gt;5,"OMH + Partner","OMH (in-house)"),"Partner"))</f>
        <v>OMH (in-house)</v>
      </c>
      <c r="F33" t="str">
        <f>IF('Dev Tracker (IT)'!D30="","",IF(ISNUMBER(SEARCH("OMH API",'Dev Tracker (IT)'!D30)),"They call our API","We build to their API"))</f>
        <v>They call our API</v>
      </c>
      <c r="G33" t="str">
        <f>IF('Dev Tracker (IT)'!C30="","",IF('Dev Tracker (IT)'!E30="","Not set",'Dev Tracker (IT)'!E30))</f>
        <v>Not set</v>
      </c>
      <c r="H33">
        <f>IF('Dev Tracker (IT)'!N30="","",'Dev Tracker (IT)'!N30)</f>
        <v>0.2</v>
      </c>
      <c r="I33" t="str">
        <f>IF($H33="","",INDEX($O$7:$O$19,MATCH($H33,$N$7:$N$19,0)))</f>
        <v>2. NDA signed</v>
      </c>
      <c r="J33">
        <f>IF('Dev Tracker (IT)'!R30="","",'Dev Tracker (IT)'!R30)</f>
        <v>45964</v>
      </c>
      <c r="K33">
        <f ca="1">IF('Dev Tracker (IT)'!S30="","",'Dev Tracker (IT)'!S30)</f>
        <v>285</v>
      </c>
    </row>
    <row r="34" spans="1:11">
      <c r="A34">
        <f>IF($B34="","",COUNTA($B$7:$B34))</f>
        <v>28</v>
      </c>
      <c r="B34" t="str">
        <f>IF('Dev Tracker (IT)'!C31="","",'Dev Tracker (IT)'!C31)</f>
        <v>Pax2night</v>
      </c>
      <c r="C34" t="str">
        <f>IF('Dev Tracker (IT)'!B31="","",SUBSTITUTE('Dev Tracker (IT)'!B31,CHAR(10)," "))</f>
        <v>Channel API</v>
      </c>
      <c r="D34" t="str">
        <f>IF('Dev Tracker (IT)'!J31="","",'Dev Tracker (IT)'!J31)</f>
        <v>NDA/Contract</v>
      </c>
      <c r="E34" t="str">
        <f>IF('Dev Tracker (IT)'!G31="","",IF(ISNUMBER(SEARCH("OHMY",'Dev Tracker (IT)'!G31)),IF(LEN('Dev Tracker (IT)'!G31)&gt;5,"OMH + Partner","OMH (in-house)"),"Partner"))</f>
        <v>OMH (in-house)</v>
      </c>
      <c r="F34" t="str">
        <f>IF('Dev Tracker (IT)'!D31="","",IF(ISNUMBER(SEARCH("OMH API",'Dev Tracker (IT)'!D31)),"They call our API","We build to their API"))</f>
        <v>They call our API</v>
      </c>
      <c r="G34" t="str">
        <f>IF('Dev Tracker (IT)'!C31="","",IF('Dev Tracker (IT)'!E31="","Not set",'Dev Tracker (IT)'!E31))</f>
        <v>Not set</v>
      </c>
      <c r="H34">
        <f>IF('Dev Tracker (IT)'!N31="","",'Dev Tracker (IT)'!N31)</f>
        <v>0.1</v>
      </c>
      <c r="I34" t="str">
        <f>IF($H34="","",INDEX($O$7:$O$19,MATCH($H34,$N$7:$N$19,0)))</f>
        <v>1. Meeting / 1st contact</v>
      </c>
      <c r="J34">
        <f>IF('Dev Tracker (IT)'!R31="","",'Dev Tracker (IT)'!R31)</f>
        <v>45953</v>
      </c>
      <c r="K34">
        <f ca="1">IF('Dev Tracker (IT)'!S31="","",'Dev Tracker (IT)'!S31)</f>
        <v>296</v>
      </c>
    </row>
    <row r="35" spans="1:11">
      <c r="A35">
        <f>IF($B35="","",COUNTA($B$7:$B35))</f>
        <v>29</v>
      </c>
      <c r="B35" t="str">
        <f>IF('Dev Tracker (IT)'!C32="","",'Dev Tracker (IT)'!C32)</f>
        <v>OTTILA</v>
      </c>
      <c r="C35" t="str">
        <f>IF('Dev Tracker (IT)'!B32="","",SUBSTITUTE('Dev Tracker (IT)'!B32,CHAR(10)," "))</f>
        <v>Channel API</v>
      </c>
      <c r="D35" t="str">
        <f>IF('Dev Tracker (IT)'!J32="","",'Dev Tracker (IT)'!J32)</f>
        <v>NDA/Contract</v>
      </c>
      <c r="E35" t="str">
        <f>IF('Dev Tracker (IT)'!G32="","",IF(ISNUMBER(SEARCH("OHMY",'Dev Tracker (IT)'!G32)),IF(LEN('Dev Tracker (IT)'!G32)&gt;5,"OMH + Partner","OMH (in-house)"),"Partner"))</f>
        <v>Partner</v>
      </c>
      <c r="F35" t="str">
        <f>IF('Dev Tracker (IT)'!D32="","",IF(ISNUMBER(SEARCH("OMH API",'Dev Tracker (IT)'!D32)),"They call our API","We build to their API"))</f>
        <v>They call our API</v>
      </c>
      <c r="G35" t="str">
        <f>IF('Dev Tracker (IT)'!C32="","",IF('Dev Tracker (IT)'!E32="","Not set",'Dev Tracker (IT)'!E32))</f>
        <v>Not set</v>
      </c>
      <c r="H35">
        <f>IF('Dev Tracker (IT)'!N32="","",'Dev Tracker (IT)'!N32)</f>
        <v>0.1</v>
      </c>
      <c r="I35" t="str">
        <f>IF($H35="","",INDEX($O$7:$O$19,MATCH($H35,$N$7:$N$19,0)))</f>
        <v>1. Meeting / 1st contact</v>
      </c>
      <c r="J35">
        <f>IF('Dev Tracker (IT)'!R32="","",'Dev Tracker (IT)'!R32)</f>
        <v>45945</v>
      </c>
      <c r="K35">
        <f ca="1">IF('Dev Tracker (IT)'!S32="","",'Dev Tracker (IT)'!S32)</f>
        <v>304</v>
      </c>
    </row>
    <row r="36" spans="1:11">
      <c r="A36">
        <f>IF($B36="","",COUNTA($B$7:$B36))</f>
        <v>30</v>
      </c>
      <c r="B36" t="str">
        <f>IF('Dev Tracker (IT)'!C33="","",'Dev Tracker (IT)'!C33)</f>
        <v>Happy Travel</v>
      </c>
      <c r="C36" t="str">
        <f>IF('Dev Tracker (IT)'!B33="","",SUBSTITUTE('Dev Tracker (IT)'!B33,CHAR(10)," "))</f>
        <v>Channel API</v>
      </c>
      <c r="D36" t="str">
        <f>IF('Dev Tracker (IT)'!J33="","",'Dev Tracker (IT)'!J33)</f>
        <v>NDA/Contract</v>
      </c>
      <c r="E36" t="str">
        <f>IF('Dev Tracker (IT)'!G33="","",IF(ISNUMBER(SEARCH("OHMY",'Dev Tracker (IT)'!G33)),IF(LEN('Dev Tracker (IT)'!G33)&gt;5,"OMH + Partner","OMH (in-house)"),"Partner"))</f>
        <v>OMH (in-house)</v>
      </c>
      <c r="F36" t="str">
        <f>IF('Dev Tracker (IT)'!D33="","",IF(ISNUMBER(SEARCH("OMH API",'Dev Tracker (IT)'!D33)),"They call our API","We build to their API"))</f>
        <v>They call our API</v>
      </c>
      <c r="G36" t="str">
        <f>IF('Dev Tracker (IT)'!C33="","",IF('Dev Tracker (IT)'!E33="","Not set",'Dev Tracker (IT)'!E33))</f>
        <v>Not set</v>
      </c>
      <c r="H36">
        <f>IF('Dev Tracker (IT)'!N33="","",'Dev Tracker (IT)'!N33)</f>
        <v>0</v>
      </c>
      <c r="I36" t="str">
        <f>IF($H36="","",INDEX($O$7:$O$19,MATCH($H36,$N$7:$N$19,0)))</f>
        <v>Not tracked — no dates yet</v>
      </c>
      <c r="J36" t="str">
        <f>IF('Dev Tracker (IT)'!R33="","",'Dev Tracker (IT)'!R33)</f>
        <v/>
      </c>
      <c r="K36" t="str">
        <f ca="1">IF('Dev Tracker (IT)'!S33="","",'Dev Tracker (IT)'!S33)</f>
        <v/>
      </c>
    </row>
    <row r="37" spans="1:11">
      <c r="A37">
        <f>IF($B37="","",COUNTA($B$7:$B37))</f>
        <v>31</v>
      </c>
      <c r="B37" t="str">
        <f>IF('Dev Tracker (IT)'!C34="","",'Dev Tracker (IT)'!C34)</f>
        <v>bizplay</v>
      </c>
      <c r="C37" t="str">
        <f>IF('Dev Tracker (IT)'!B34="","",SUBSTITUTE('Dev Tracker (IT)'!B34,CHAR(10)," "))</f>
        <v>Channel API</v>
      </c>
      <c r="D37" t="str">
        <f>IF('Dev Tracker (IT)'!J34="","",'Dev Tracker (IT)'!J34)</f>
        <v>Contact</v>
      </c>
      <c r="E37" t="str">
        <f>IF('Dev Tracker (IT)'!G34="","",IF(ISNUMBER(SEARCH("OHMY",'Dev Tracker (IT)'!G34)),IF(LEN('Dev Tracker (IT)'!G34)&gt;5,"OMH + Partner","OMH (in-house)"),"Partner"))</f>
        <v>Partner</v>
      </c>
      <c r="F37" t="str">
        <f>IF('Dev Tracker (IT)'!D34="","",IF(ISNUMBER(SEARCH("OMH API",'Dev Tracker (IT)'!D34)),"They call our API","We build to their API"))</f>
        <v>They call our API</v>
      </c>
      <c r="G37" t="str">
        <f>IF('Dev Tracker (IT)'!C34="","",IF('Dev Tracker (IT)'!E34="","Not set",'Dev Tracker (IT)'!E34))</f>
        <v>Not set</v>
      </c>
      <c r="H37">
        <f>IF('Dev Tracker (IT)'!N34="","",'Dev Tracker (IT)'!N34)</f>
        <v>0</v>
      </c>
      <c r="I37" t="str">
        <f>IF($H37="","",INDEX($O$7:$O$19,MATCH($H37,$N$7:$N$19,0)))</f>
        <v>Not tracked — no dates yet</v>
      </c>
      <c r="J37" t="str">
        <f>IF('Dev Tracker (IT)'!R34="","",'Dev Tracker (IT)'!R34)</f>
        <v/>
      </c>
      <c r="K37" t="str">
        <f ca="1">IF('Dev Tracker (IT)'!S34="","",'Dev Tracker (IT)'!S34)</f>
        <v/>
      </c>
    </row>
    <row r="38" spans="1:11">
      <c r="A38">
        <f>IF($B38="","",COUNTA($B$7:$B38))</f>
        <v>32</v>
      </c>
      <c r="B38" t="str">
        <f>IF('Dev Tracker (IT)'!C35="","",'Dev Tracker (IT)'!C35)</f>
        <v>HBX</v>
      </c>
      <c r="C38" t="str">
        <f>IF('Dev Tracker (IT)'!B35="","",SUBSTITUTE('Dev Tracker (IT)'!B35,CHAR(10)," "))</f>
        <v>Channel API</v>
      </c>
      <c r="D38" t="str">
        <f>IF('Dev Tracker (IT)'!J35="","",'Dev Tracker (IT)'!J35)</f>
        <v>Contact</v>
      </c>
      <c r="E38" t="str">
        <f>IF('Dev Tracker (IT)'!G35="","",IF(ISNUMBER(SEARCH("OHMY",'Dev Tracker (IT)'!G35)),IF(LEN('Dev Tracker (IT)'!G35)&gt;5,"OMH + Partner","OMH (in-house)"),"Partner"))</f>
        <v>OMH (in-house)</v>
      </c>
      <c r="F38" t="str">
        <f>IF('Dev Tracker (IT)'!D35="","",IF(ISNUMBER(SEARCH("OMH API",'Dev Tracker (IT)'!D35)),"They call our API","We build to their API"))</f>
        <v>They call our API</v>
      </c>
      <c r="G38" t="str">
        <f>IF('Dev Tracker (IT)'!C35="","",IF('Dev Tracker (IT)'!E35="","Not set",'Dev Tracker (IT)'!E35))</f>
        <v>Not set</v>
      </c>
      <c r="H38">
        <f>IF('Dev Tracker (IT)'!N35="","",'Dev Tracker (IT)'!N35)</f>
        <v>0</v>
      </c>
      <c r="I38" t="str">
        <f>IF($H38="","",INDEX($O$7:$O$19,MATCH($H38,$N$7:$N$19,0)))</f>
        <v>Not tracked — no dates yet</v>
      </c>
      <c r="J38" t="str">
        <f>IF('Dev Tracker (IT)'!R35="","",'Dev Tracker (IT)'!R35)</f>
        <v/>
      </c>
      <c r="K38" t="str">
        <f ca="1">IF('Dev Tracker (IT)'!S35="","",'Dev Tracker (IT)'!S35)</f>
        <v/>
      </c>
    </row>
    <row r="39" spans="1:11">
      <c r="A39">
        <f>IF($B39="","",COUNTA($B$7:$B39))</f>
        <v>33</v>
      </c>
      <c r="B39" t="str">
        <f>IF('Dev Tracker (IT)'!C36="","",'Dev Tracker (IT)'!C36)</f>
        <v>Webbeds</v>
      </c>
      <c r="C39" t="str">
        <f>IF('Dev Tracker (IT)'!B36="","",SUBSTITUTE('Dev Tracker (IT)'!B36,CHAR(10)," "))</f>
        <v>Channel API</v>
      </c>
      <c r="D39" t="str">
        <f>IF('Dev Tracker (IT)'!J36="","",'Dev Tracker (IT)'!J36)</f>
        <v>Contact</v>
      </c>
      <c r="E39" t="str">
        <f>IF('Dev Tracker (IT)'!G36="","",IF(ISNUMBER(SEARCH("OHMY",'Dev Tracker (IT)'!G36)),IF(LEN('Dev Tracker (IT)'!G36)&gt;5,"OMH + Partner","OMH (in-house)"),"Partner"))</f>
        <v>OMH (in-house)</v>
      </c>
      <c r="F39" t="str">
        <f>IF('Dev Tracker (IT)'!D36="","",IF(ISNUMBER(SEARCH("OMH API",'Dev Tracker (IT)'!D36)),"They call our API","We build to their API"))</f>
        <v>They call our API</v>
      </c>
      <c r="G39" t="str">
        <f>IF('Dev Tracker (IT)'!C36="","",IF('Dev Tracker (IT)'!E36="","Not set",'Dev Tracker (IT)'!E36))</f>
        <v>Not set</v>
      </c>
      <c r="H39">
        <f>IF('Dev Tracker (IT)'!N36="","",'Dev Tracker (IT)'!N36)</f>
        <v>0</v>
      </c>
      <c r="I39" t="str">
        <f>IF($H39="","",INDEX($O$7:$O$19,MATCH($H39,$N$7:$N$19,0)))</f>
        <v>Not tracked — no dates yet</v>
      </c>
      <c r="J39" t="str">
        <f>IF('Dev Tracker (IT)'!R36="","",'Dev Tracker (IT)'!R36)</f>
        <v/>
      </c>
      <c r="K39" t="str">
        <f ca="1">IF('Dev Tracker (IT)'!S36="","",'Dev Tracker (IT)'!S36)</f>
        <v/>
      </c>
    </row>
    <row r="40" spans="1:11">
      <c r="A40">
        <f>IF($B40="","",COUNTA($B$7:$B40))</f>
        <v>34</v>
      </c>
      <c r="B40" t="str">
        <f>IF('Dev Tracker (IT)'!C37="","",'Dev Tracker (IT)'!C37)</f>
        <v>Lion Travel</v>
      </c>
      <c r="C40" t="str">
        <f>IF('Dev Tracker (IT)'!B37="","",SUBSTITUTE('Dev Tracker (IT)'!B37,CHAR(10)," "))</f>
        <v>Channel API</v>
      </c>
      <c r="D40" t="str">
        <f>IF('Dev Tracker (IT)'!J37="","",'Dev Tracker (IT)'!J37)</f>
        <v>NDA/Contract</v>
      </c>
      <c r="E40" t="str">
        <f>IF('Dev Tracker (IT)'!G37="","",IF(ISNUMBER(SEARCH("OHMY",'Dev Tracker (IT)'!G37)),IF(LEN('Dev Tracker (IT)'!G37)&gt;5,"OMH + Partner","OMH (in-house)"),"Partner"))</f>
        <v>Partner</v>
      </c>
      <c r="F40" t="str">
        <f>IF('Dev Tracker (IT)'!D37="","",IF(ISNUMBER(SEARCH("OMH API",'Dev Tracker (IT)'!D37)),"They call our API","We build to their API"))</f>
        <v>They call our API</v>
      </c>
      <c r="G40" t="str">
        <f>IF('Dev Tracker (IT)'!C37="","",IF('Dev Tracker (IT)'!E37="","Not set",'Dev Tracker (IT)'!E37))</f>
        <v>Not set</v>
      </c>
      <c r="H40">
        <f>IF('Dev Tracker (IT)'!N37="","",'Dev Tracker (IT)'!N37)</f>
        <v>0.2</v>
      </c>
      <c r="I40" t="str">
        <f>IF($H40="","",INDEX($O$7:$O$19,MATCH($H40,$N$7:$N$19,0)))</f>
        <v>2. NDA signed</v>
      </c>
      <c r="J40">
        <f>IF('Dev Tracker (IT)'!R37="","",'Dev Tracker (IT)'!R37)</f>
        <v>45912</v>
      </c>
      <c r="K40">
        <f ca="1">IF('Dev Tracker (IT)'!S37="","",'Dev Tracker (IT)'!S37)</f>
        <v>337</v>
      </c>
    </row>
    <row r="41" spans="1:11">
      <c r="A41">
        <f>IF($B41="","",COUNTA($B$7:$B41))</f>
        <v>35</v>
      </c>
      <c r="B41" t="str">
        <f>IF('Dev Tracker (IT)'!C38="","",'Dev Tracker (IT)'!C38)</f>
        <v>Star Travel</v>
      </c>
      <c r="C41" t="str">
        <f>IF('Dev Tracker (IT)'!B38="","",SUBSTITUTE('Dev Tracker (IT)'!B38,CHAR(10)," "))</f>
        <v>Channel API</v>
      </c>
      <c r="D41" t="str">
        <f>IF('Dev Tracker (IT)'!J38="","",'Dev Tracker (IT)'!J38)</f>
        <v>NDA/Contract</v>
      </c>
      <c r="E41" t="str">
        <f>IF('Dev Tracker (IT)'!G38="","",IF(ISNUMBER(SEARCH("OHMY",'Dev Tracker (IT)'!G38)),IF(LEN('Dev Tracker (IT)'!G38)&gt;5,"OMH + Partner","OMH (in-house)"),"Partner"))</f>
        <v>Partner</v>
      </c>
      <c r="F41" t="str">
        <f>IF('Dev Tracker (IT)'!D38="","",IF(ISNUMBER(SEARCH("OMH API",'Dev Tracker (IT)'!D38)),"They call our API","We build to their API"))</f>
        <v>They call our API</v>
      </c>
      <c r="G41" t="str">
        <f>IF('Dev Tracker (IT)'!C38="","",IF('Dev Tracker (IT)'!E38="","Not set",'Dev Tracker (IT)'!E38))</f>
        <v>Not set</v>
      </c>
      <c r="H41">
        <f>IF('Dev Tracker (IT)'!N38="","",'Dev Tracker (IT)'!N38)</f>
        <v>0.45</v>
      </c>
      <c r="I41" t="str">
        <f>IF($H41="","",INDEX($O$7:$O$19,MATCH($H41,$N$7:$N$19,0)))</f>
        <v>5. Dev start (planned)</v>
      </c>
      <c r="J41">
        <f>IF('Dev Tracker (IT)'!R38="","",'Dev Tracker (IT)'!R38)</f>
        <v>45992</v>
      </c>
      <c r="K41">
        <f ca="1">IF('Dev Tracker (IT)'!S38="","",'Dev Tracker (IT)'!S38)</f>
        <v>257</v>
      </c>
    </row>
    <row r="42" spans="1:11">
      <c r="A42">
        <f>IF($B42="","",COUNTA($B$7:$B42))</f>
        <v>36</v>
      </c>
      <c r="B42" t="str">
        <f>IF('Dev Tracker (IT)'!C39="","",'Dev Tracker (IT)'!C39)</f>
        <v>Cola Tour</v>
      </c>
      <c r="C42" t="str">
        <f>IF('Dev Tracker (IT)'!B39="","",SUBSTITUTE('Dev Tracker (IT)'!B39,CHAR(10)," "))</f>
        <v>Channel API</v>
      </c>
      <c r="D42" t="str">
        <f>IF('Dev Tracker (IT)'!J39="","",'Dev Tracker (IT)'!J39)</f>
        <v>In Development</v>
      </c>
      <c r="E42" t="str">
        <f>IF('Dev Tracker (IT)'!G39="","",IF(ISNUMBER(SEARCH("OHMY",'Dev Tracker (IT)'!G39)),IF(LEN('Dev Tracker (IT)'!G39)&gt;5,"OMH + Partner","OMH (in-house)"),"Partner"))</f>
        <v>Partner</v>
      </c>
      <c r="F42" t="str">
        <f>IF('Dev Tracker (IT)'!D39="","",IF(ISNUMBER(SEARCH("OMH API",'Dev Tracker (IT)'!D39)),"They call our API","We build to their API"))</f>
        <v>They call our API</v>
      </c>
      <c r="G42" t="str">
        <f>IF('Dev Tracker (IT)'!C39="","",IF('Dev Tracker (IT)'!E39="","Not set",'Dev Tracker (IT)'!E39))</f>
        <v>Not set</v>
      </c>
      <c r="H42">
        <f>IF('Dev Tracker (IT)'!N39="","",'Dev Tracker (IT)'!N39)</f>
        <v>0.1</v>
      </c>
      <c r="I42" t="str">
        <f>IF($H42="","",INDEX($O$7:$O$19,MATCH($H42,$N$7:$N$19,0)))</f>
        <v>1. Meeting / 1st contact</v>
      </c>
      <c r="J42">
        <f>IF('Dev Tracker (IT)'!R39="","",'Dev Tracker (IT)'!R39)</f>
        <v>45875</v>
      </c>
      <c r="K42">
        <f ca="1">IF('Dev Tracker (IT)'!S39="","",'Dev Tracker (IT)'!S39)</f>
        <v>374</v>
      </c>
    </row>
    <row r="43" spans="1:11">
      <c r="A43">
        <f>IF($B43="","",COUNTA($B$7:$B43))</f>
        <v>37</v>
      </c>
      <c r="B43" t="str">
        <f>IF('Dev Tracker (IT)'!C40="","",'Dev Tracker (IT)'!C40)</f>
        <v>Tungnam</v>
      </c>
      <c r="C43" t="str">
        <f>IF('Dev Tracker (IT)'!B40="","",SUBSTITUTE('Dev Tracker (IT)'!B40,CHAR(10)," "))</f>
        <v>Channel API</v>
      </c>
      <c r="D43" t="str">
        <f>IF('Dev Tracker (IT)'!J40="","",'Dev Tracker (IT)'!J40)</f>
        <v>Contact</v>
      </c>
      <c r="E43" t="str">
        <f>IF('Dev Tracker (IT)'!G40="","",IF(ISNUMBER(SEARCH("OHMY",'Dev Tracker (IT)'!G40)),IF(LEN('Dev Tracker (IT)'!G40)&gt;5,"OMH + Partner","OMH (in-house)"),"Partner"))</f>
        <v>Partner</v>
      </c>
      <c r="F43" t="str">
        <f>IF('Dev Tracker (IT)'!D40="","",IF(ISNUMBER(SEARCH("OMH API",'Dev Tracker (IT)'!D40)),"They call our API","We build to their API"))</f>
        <v>They call our API</v>
      </c>
      <c r="G43" t="str">
        <f>IF('Dev Tracker (IT)'!C40="","",IF('Dev Tracker (IT)'!E40="","Not set",'Dev Tracker (IT)'!E40))</f>
        <v>Not set</v>
      </c>
      <c r="H43">
        <f>IF('Dev Tracker (IT)'!N40="","",'Dev Tracker (IT)'!N40)</f>
        <v>0</v>
      </c>
      <c r="I43" t="str">
        <f>IF($H43="","",INDEX($O$7:$O$19,MATCH($H43,$N$7:$N$19,0)))</f>
        <v>Not tracked — no dates yet</v>
      </c>
      <c r="J43" t="str">
        <f>IF('Dev Tracker (IT)'!R40="","",'Dev Tracker (IT)'!R40)</f>
        <v/>
      </c>
      <c r="K43" t="str">
        <f ca="1">IF('Dev Tracker (IT)'!S40="","",'Dev Tracker (IT)'!S40)</f>
        <v/>
      </c>
    </row>
    <row r="44" spans="1:11">
      <c r="A44">
        <f>IF($B44="","",COUNTA($B$7:$B44))</f>
        <v>38</v>
      </c>
      <c r="B44" t="str">
        <f>IF('Dev Tracker (IT)'!C41="","",'Dev Tracker (IT)'!C41)</f>
        <v>Uone</v>
      </c>
      <c r="C44" t="str">
        <f>IF('Dev Tracker (IT)'!B41="","",SUBSTITUTE('Dev Tracker (IT)'!B41,CHAR(10)," "))</f>
        <v>Channel API</v>
      </c>
      <c r="D44" t="str">
        <f>IF('Dev Tracker (IT)'!J41="","",'Dev Tracker (IT)'!J41)</f>
        <v>Contact</v>
      </c>
      <c r="E44" t="str">
        <f>IF('Dev Tracker (IT)'!G41="","",IF(ISNUMBER(SEARCH("OHMY",'Dev Tracker (IT)'!G41)),IF(LEN('Dev Tracker (IT)'!G41)&gt;5,"OMH + Partner","OMH (in-house)"),"Partner"))</f>
        <v>Partner</v>
      </c>
      <c r="F44" t="str">
        <f>IF('Dev Tracker (IT)'!D41="","",IF(ISNUMBER(SEARCH("OMH API",'Dev Tracker (IT)'!D41)),"They call our API","We build to their API"))</f>
        <v>They call our API</v>
      </c>
      <c r="G44" t="str">
        <f>IF('Dev Tracker (IT)'!C41="","",IF('Dev Tracker (IT)'!E41="","Not set",'Dev Tracker (IT)'!E41))</f>
        <v>Not set</v>
      </c>
      <c r="H44">
        <f>IF('Dev Tracker (IT)'!N41="","",'Dev Tracker (IT)'!N41)</f>
        <v>0.2</v>
      </c>
      <c r="I44" t="str">
        <f>IF($H44="","",INDEX($O$7:$O$19,MATCH($H44,$N$7:$N$19,0)))</f>
        <v>2. NDA signed</v>
      </c>
      <c r="J44">
        <f>IF('Dev Tracker (IT)'!R41="","",'Dev Tracker (IT)'!R41)</f>
        <v>45908</v>
      </c>
      <c r="K44">
        <f ca="1">IF('Dev Tracker (IT)'!S41="","",'Dev Tracker (IT)'!S41)</f>
        <v>341</v>
      </c>
    </row>
    <row r="45" spans="1:11">
      <c r="A45">
        <f>IF($B45="","",COUNTA($B$7:$B45))</f>
        <v>39</v>
      </c>
      <c r="B45" t="str">
        <f>IF('Dev Tracker (IT)'!C42="","",'Dev Tracker (IT)'!C42)</f>
        <v>MUTOUR</v>
      </c>
      <c r="C45" t="str">
        <f>IF('Dev Tracker (IT)'!B42="","",SUBSTITUTE('Dev Tracker (IT)'!B42,CHAR(10)," "))</f>
        <v>Channel API</v>
      </c>
      <c r="D45" t="str">
        <f>IF('Dev Tracker (IT)'!J42="","",'Dev Tracker (IT)'!J42)</f>
        <v>Contact</v>
      </c>
      <c r="E45" t="str">
        <f>IF('Dev Tracker (IT)'!G42="","",IF(ISNUMBER(SEARCH("OHMY",'Dev Tracker (IT)'!G42)),IF(LEN('Dev Tracker (IT)'!G42)&gt;5,"OMH + Partner","OMH (in-house)"),"Partner"))</f>
        <v>Partner</v>
      </c>
      <c r="F45" t="str">
        <f>IF('Dev Tracker (IT)'!D42="","",IF(ISNUMBER(SEARCH("OMH API",'Dev Tracker (IT)'!D42)),"They call our API","We build to their API"))</f>
        <v>They call our API</v>
      </c>
      <c r="G45" t="str">
        <f>IF('Dev Tracker (IT)'!C42="","",IF('Dev Tracker (IT)'!E42="","Not set",'Dev Tracker (IT)'!E42))</f>
        <v>Not set</v>
      </c>
      <c r="H45">
        <f>IF('Dev Tracker (IT)'!N42="","",'Dev Tracker (IT)'!N42)</f>
        <v>0</v>
      </c>
      <c r="I45" t="str">
        <f>IF($H45="","",INDEX($O$7:$O$19,MATCH($H45,$N$7:$N$19,0)))</f>
        <v>Not tracked — no dates yet</v>
      </c>
      <c r="J45" t="str">
        <f>IF('Dev Tracker (IT)'!R42="","",'Dev Tracker (IT)'!R42)</f>
        <v/>
      </c>
      <c r="K45" t="str">
        <f ca="1">IF('Dev Tracker (IT)'!S42="","",'Dev Tracker (IT)'!S42)</f>
        <v/>
      </c>
    </row>
    <row r="46" spans="1:11">
      <c r="A46">
        <f>IF($B46="","",COUNTA($B$7:$B46))</f>
        <v>40</v>
      </c>
      <c r="B46" t="str">
        <f>IF('Dev Tracker (IT)'!C43="","",'Dev Tracker (IT)'!C43)</f>
        <v>Amerilink</v>
      </c>
      <c r="C46" t="str">
        <f>IF('Dev Tracker (IT)'!B43="","",SUBSTITUTE('Dev Tracker (IT)'!B43,CHAR(10)," "))</f>
        <v>Channel API</v>
      </c>
      <c r="D46" t="str">
        <f>IF('Dev Tracker (IT)'!J43="","",'Dev Tracker (IT)'!J43)</f>
        <v>Contact</v>
      </c>
      <c r="E46" t="str">
        <f>IF('Dev Tracker (IT)'!G43="","",IF(ISNUMBER(SEARCH("OHMY",'Dev Tracker (IT)'!G43)),IF(LEN('Dev Tracker (IT)'!G43)&gt;5,"OMH + Partner","OMH (in-house)"),"Partner"))</f>
        <v>Partner</v>
      </c>
      <c r="F46" t="str">
        <f>IF('Dev Tracker (IT)'!D43="","",IF(ISNUMBER(SEARCH("OMH API",'Dev Tracker (IT)'!D43)),"They call our API","We build to their API"))</f>
        <v>They call our API</v>
      </c>
      <c r="G46" t="str">
        <f>IF('Dev Tracker (IT)'!C43="","",IF('Dev Tracker (IT)'!E43="","Not set",'Dev Tracker (IT)'!E43))</f>
        <v>Not set</v>
      </c>
      <c r="H46">
        <f>IF('Dev Tracker (IT)'!N43="","",'Dev Tracker (IT)'!N43)</f>
        <v>0.2</v>
      </c>
      <c r="I46" t="str">
        <f>IF($H46="","",INDEX($O$7:$O$19,MATCH($H46,$N$7:$N$19,0)))</f>
        <v>2. NDA signed</v>
      </c>
      <c r="J46">
        <f>IF('Dev Tracker (IT)'!R43="","",'Dev Tracker (IT)'!R43)</f>
        <v>45957</v>
      </c>
      <c r="K46">
        <f ca="1">IF('Dev Tracker (IT)'!S43="","",'Dev Tracker (IT)'!S43)</f>
        <v>292</v>
      </c>
    </row>
    <row r="47" spans="1:11">
      <c r="A47">
        <f>IF($B47="","",COUNTA($B$7:$B47))</f>
        <v>41</v>
      </c>
      <c r="B47" t="str">
        <f>IF('Dev Tracker (IT)'!C44="","",'Dev Tracker (IT)'!C44)</f>
        <v>Chudu24</v>
      </c>
      <c r="C47" t="str">
        <f>IF('Dev Tracker (IT)'!B44="","",SUBSTITUTE('Dev Tracker (IT)'!B44,CHAR(10)," "))</f>
        <v>Channel API</v>
      </c>
      <c r="D47" t="str">
        <f>IF('Dev Tracker (IT)'!J44="","",'Dev Tracker (IT)'!J44)</f>
        <v>Contact</v>
      </c>
      <c r="E47" t="str">
        <f>IF('Dev Tracker (IT)'!G44="","",IF(ISNUMBER(SEARCH("OHMY",'Dev Tracker (IT)'!G44)),IF(LEN('Dev Tracker (IT)'!G44)&gt;5,"OMH + Partner","OMH (in-house)"),"Partner"))</f>
        <v>Partner</v>
      </c>
      <c r="F47" t="str">
        <f>IF('Dev Tracker (IT)'!D44="","",IF(ISNUMBER(SEARCH("OMH API",'Dev Tracker (IT)'!D44)),"They call our API","We build to their API"))</f>
        <v>They call our API</v>
      </c>
      <c r="G47" t="str">
        <f>IF('Dev Tracker (IT)'!C44="","",IF('Dev Tracker (IT)'!E44="","Not set",'Dev Tracker (IT)'!E44))</f>
        <v>Not set</v>
      </c>
      <c r="H47">
        <f>IF('Dev Tracker (IT)'!N44="","",'Dev Tracker (IT)'!N44)</f>
        <v>0.3</v>
      </c>
      <c r="I47" t="str">
        <f>IF($H47="","",INDEX($O$7:$O$19,MATCH($H47,$N$7:$N$19,0)))</f>
        <v>3. Contract signed</v>
      </c>
      <c r="J47">
        <f>IF('Dev Tracker (IT)'!R44="","",'Dev Tracker (IT)'!R44)</f>
        <v>46001</v>
      </c>
      <c r="K47">
        <f ca="1">IF('Dev Tracker (IT)'!S44="","",'Dev Tracker (IT)'!S44)</f>
        <v>248</v>
      </c>
    </row>
    <row r="48" spans="1:11">
      <c r="A48">
        <f>IF($B48="","",COUNTA($B$7:$B48))</f>
        <v>42</v>
      </c>
      <c r="B48" t="str">
        <f>IF('Dev Tracker (IT)'!C45="","",'Dev Tracker (IT)'!C45)</f>
        <v>Prime Travel</v>
      </c>
      <c r="C48" t="str">
        <f>IF('Dev Tracker (IT)'!B45="","",SUBSTITUTE('Dev Tracker (IT)'!B45,CHAR(10)," "))</f>
        <v>Channel API</v>
      </c>
      <c r="D48" t="str">
        <f>IF('Dev Tracker (IT)'!J45="","",'Dev Tracker (IT)'!J45)</f>
        <v>Contact</v>
      </c>
      <c r="E48" t="str">
        <f>IF('Dev Tracker (IT)'!G45="","",IF(ISNUMBER(SEARCH("OHMY",'Dev Tracker (IT)'!G45)),IF(LEN('Dev Tracker (IT)'!G45)&gt;5,"OMH + Partner","OMH (in-house)"),"Partner"))</f>
        <v>Partner</v>
      </c>
      <c r="F48" t="str">
        <f>IF('Dev Tracker (IT)'!D45="","",IF(ISNUMBER(SEARCH("OMH API",'Dev Tracker (IT)'!D45)),"They call our API","We build to their API"))</f>
        <v>They call our API</v>
      </c>
      <c r="G48" t="str">
        <f>IF('Dev Tracker (IT)'!C45="","",IF('Dev Tracker (IT)'!E45="","Not set",'Dev Tracker (IT)'!E45))</f>
        <v>Not set</v>
      </c>
      <c r="H48">
        <f>IF('Dev Tracker (IT)'!N45="","",'Dev Tracker (IT)'!N45)</f>
        <v>0</v>
      </c>
      <c r="I48" t="str">
        <f>IF($H48="","",INDEX($O$7:$O$19,MATCH($H48,$N$7:$N$19,0)))</f>
        <v>Not tracked — no dates yet</v>
      </c>
      <c r="J48" t="str">
        <f>IF('Dev Tracker (IT)'!R45="","",'Dev Tracker (IT)'!R45)</f>
        <v/>
      </c>
      <c r="K48" t="str">
        <f ca="1">IF('Dev Tracker (IT)'!S45="","",'Dev Tracker (IT)'!S45)</f>
        <v/>
      </c>
    </row>
    <row r="49" spans="1:11">
      <c r="A49">
        <f>IF($B49="","",COUNTA($B$7:$B49))</f>
        <v>43</v>
      </c>
      <c r="B49" t="str">
        <f>IF('Dev Tracker (IT)'!C46="","",'Dev Tracker (IT)'!C46)</f>
        <v>TIO</v>
      </c>
      <c r="C49" t="str">
        <f>IF('Dev Tracker (IT)'!B46="","",SUBSTITUTE('Dev Tracker (IT)'!B46,CHAR(10)," "))</f>
        <v>Channel API</v>
      </c>
      <c r="D49" t="str">
        <f>IF('Dev Tracker (IT)'!J46="","",'Dev Tracker (IT)'!J46)</f>
        <v>Contact</v>
      </c>
      <c r="E49" t="str">
        <f>IF('Dev Tracker (IT)'!G46="","",IF(ISNUMBER(SEARCH("OHMY",'Dev Tracker (IT)'!G46)),IF(LEN('Dev Tracker (IT)'!G46)&gt;5,"OMH + Partner","OMH (in-house)"),"Partner"))</f>
        <v>Partner</v>
      </c>
      <c r="F49" t="str">
        <f>IF('Dev Tracker (IT)'!D46="","",IF(ISNUMBER(SEARCH("OMH API",'Dev Tracker (IT)'!D46)),"They call our API","We build to their API"))</f>
        <v>They call our API</v>
      </c>
      <c r="G49" t="str">
        <f>IF('Dev Tracker (IT)'!C46="","",IF('Dev Tracker (IT)'!E46="","Not set",'Dev Tracker (IT)'!E46))</f>
        <v>Not set</v>
      </c>
      <c r="H49">
        <f>IF('Dev Tracker (IT)'!N46="","",'Dev Tracker (IT)'!N46)</f>
        <v>0</v>
      </c>
      <c r="I49" t="str">
        <f>IF($H49="","",INDEX($O$7:$O$19,MATCH($H49,$N$7:$N$19,0)))</f>
        <v>Not tracked — no dates yet</v>
      </c>
      <c r="J49" t="str">
        <f>IF('Dev Tracker (IT)'!R46="","",'Dev Tracker (IT)'!R46)</f>
        <v/>
      </c>
      <c r="K49" t="str">
        <f ca="1">IF('Dev Tracker (IT)'!S46="","",'Dev Tracker (IT)'!S46)</f>
        <v/>
      </c>
    </row>
    <row r="50" spans="1:11">
      <c r="A50">
        <f>IF($B50="","",COUNTA($B$7:$B50))</f>
        <v>44</v>
      </c>
      <c r="B50" t="str">
        <f>IF('Dev Tracker (IT)'!C47="","",'Dev Tracker (IT)'!C47)</f>
        <v>Staylah</v>
      </c>
      <c r="C50" t="str">
        <f>IF('Dev Tracker (IT)'!B47="","",SUBSTITUTE('Dev Tracker (IT)'!B47,CHAR(10)," "))</f>
        <v>Channel API</v>
      </c>
      <c r="D50" t="str">
        <f>IF('Dev Tracker (IT)'!J47="","",'Dev Tracker (IT)'!J47)</f>
        <v>Contact</v>
      </c>
      <c r="E50" t="str">
        <f>IF('Dev Tracker (IT)'!G47="","",IF(ISNUMBER(SEARCH("OHMY",'Dev Tracker (IT)'!G47)),IF(LEN('Dev Tracker (IT)'!G47)&gt;5,"OMH + Partner","OMH (in-house)"),"Partner"))</f>
        <v>Partner</v>
      </c>
      <c r="F50" t="str">
        <f>IF('Dev Tracker (IT)'!D47="","",IF(ISNUMBER(SEARCH("OMH API",'Dev Tracker (IT)'!D47)),"They call our API","We build to their API"))</f>
        <v>They call our API</v>
      </c>
      <c r="G50" t="str">
        <f>IF('Dev Tracker (IT)'!C47="","",IF('Dev Tracker (IT)'!E47="","Not set",'Dev Tracker (IT)'!E47))</f>
        <v>Not set</v>
      </c>
      <c r="H50">
        <f>IF('Dev Tracker (IT)'!N47="","",'Dev Tracker (IT)'!N47)</f>
        <v>0.1</v>
      </c>
      <c r="I50" t="str">
        <f>IF($H50="","",INDEX($O$7:$O$19,MATCH($H50,$N$7:$N$19,0)))</f>
        <v>1. Meeting / 1st contact</v>
      </c>
      <c r="J50">
        <f>IF('Dev Tracker (IT)'!R47="","",'Dev Tracker (IT)'!R47)</f>
        <v>45964</v>
      </c>
      <c r="K50">
        <f ca="1">IF('Dev Tracker (IT)'!S47="","",'Dev Tracker (IT)'!S47)</f>
        <v>285</v>
      </c>
    </row>
    <row r="51" spans="1:11">
      <c r="A51">
        <f>IF($B51="","",COUNTA($B$7:$B51))</f>
        <v>45</v>
      </c>
      <c r="B51" t="str">
        <f>IF('Dev Tracker (IT)'!C48="","",'Dev Tracker (IT)'!C48)</f>
        <v>EZ Travel</v>
      </c>
      <c r="C51" t="str">
        <f>IF('Dev Tracker (IT)'!B48="","",SUBSTITUTE('Dev Tracker (IT)'!B48,CHAR(10)," "))</f>
        <v>Channel API</v>
      </c>
      <c r="D51" t="str">
        <f>IF('Dev Tracker (IT)'!J48="","",'Dev Tracker (IT)'!J48)</f>
        <v>Contact</v>
      </c>
      <c r="E51" t="str">
        <f>IF('Dev Tracker (IT)'!G48="","",IF(ISNUMBER(SEARCH("OHMY",'Dev Tracker (IT)'!G48)),IF(LEN('Dev Tracker (IT)'!G48)&gt;5,"OMH + Partner","OMH (in-house)"),"Partner"))</f>
        <v>Partner</v>
      </c>
      <c r="F51" t="str">
        <f>IF('Dev Tracker (IT)'!D48="","",IF(ISNUMBER(SEARCH("OMH API",'Dev Tracker (IT)'!D48)),"They call our API","We build to their API"))</f>
        <v>They call our API</v>
      </c>
      <c r="G51" t="str">
        <f>IF('Dev Tracker (IT)'!C48="","",IF('Dev Tracker (IT)'!E48="","Not set",'Dev Tracker (IT)'!E48))</f>
        <v>Not set</v>
      </c>
      <c r="H51">
        <f>IF('Dev Tracker (IT)'!N48="","",'Dev Tracker (IT)'!N48)</f>
        <v>0.1</v>
      </c>
      <c r="I51" t="str">
        <f>IF($H51="","",INDEX($O$7:$O$19,MATCH($H51,$N$7:$N$19,0)))</f>
        <v>1. Meeting / 1st contact</v>
      </c>
      <c r="J51">
        <f>IF('Dev Tracker (IT)'!R48="","",'Dev Tracker (IT)'!R48)</f>
        <v>45860</v>
      </c>
      <c r="K51">
        <f ca="1">IF('Dev Tracker (IT)'!S48="","",'Dev Tracker (IT)'!S48)</f>
        <v>389</v>
      </c>
    </row>
    <row r="52" spans="1:11">
      <c r="A52">
        <f>IF($B52="","",COUNTA($B$7:$B52))</f>
        <v>46</v>
      </c>
      <c r="B52" t="str">
        <f>IF('Dev Tracker (IT)'!C49="","",'Dev Tracker (IT)'!C49)</f>
        <v>Fangcang</v>
      </c>
      <c r="C52" t="str">
        <f>IF('Dev Tracker (IT)'!B49="","",SUBSTITUTE('Dev Tracker (IT)'!B49,CHAR(10)," "))</f>
        <v>Channel API</v>
      </c>
      <c r="D52" t="str">
        <f>IF('Dev Tracker (IT)'!J49="","",'Dev Tracker (IT)'!J49)</f>
        <v>In Development</v>
      </c>
      <c r="E52" t="str">
        <f>IF('Dev Tracker (IT)'!G49="","",IF(ISNUMBER(SEARCH("OHMY",'Dev Tracker (IT)'!G49)),IF(LEN('Dev Tracker (IT)'!G49)&gt;5,"OMH + Partner","OMH (in-house)"),"Partner"))</f>
        <v>Partner</v>
      </c>
      <c r="F52" t="str">
        <f>IF('Dev Tracker (IT)'!D49="","",IF(ISNUMBER(SEARCH("OMH API",'Dev Tracker (IT)'!D49)),"They call our API","We build to their API"))</f>
        <v>They call our API</v>
      </c>
      <c r="G52" t="str">
        <f>IF('Dev Tracker (IT)'!C49="","",IF('Dev Tracker (IT)'!E49="","Not set",'Dev Tracker (IT)'!E49))</f>
        <v>Not set</v>
      </c>
      <c r="H52">
        <f>IF('Dev Tracker (IT)'!N49="","",'Dev Tracker (IT)'!N49)</f>
        <v>0.1</v>
      </c>
      <c r="I52" t="str">
        <f>IF($H52="","",INDEX($O$7:$O$19,MATCH($H52,$N$7:$N$19,0)))</f>
        <v>1. Meeting / 1st contact</v>
      </c>
      <c r="J52">
        <f>IF('Dev Tracker (IT)'!R49="","",'Dev Tracker (IT)'!R49)</f>
        <v>45986</v>
      </c>
      <c r="K52">
        <f ca="1">IF('Dev Tracker (IT)'!S49="","",'Dev Tracker (IT)'!S49)</f>
        <v>263</v>
      </c>
    </row>
    <row r="53" spans="1:11">
      <c r="A53">
        <f>IF($B53="","",COUNTA($B$7:$B53))</f>
        <v>47</v>
      </c>
      <c r="B53" t="str">
        <f>IF('Dev Tracker (IT)'!C50="","",'Dev Tracker (IT)'!C50)</f>
        <v>Meiya</v>
      </c>
      <c r="C53" t="str">
        <f>IF('Dev Tracker (IT)'!B50="","",SUBSTITUTE('Dev Tracker (IT)'!B50,CHAR(10)," "))</f>
        <v>Channel API</v>
      </c>
      <c r="D53" t="str">
        <f>IF('Dev Tracker (IT)'!J50="","",'Dev Tracker (IT)'!J50)</f>
        <v>NDA/Contract</v>
      </c>
      <c r="E53" t="str">
        <f>IF('Dev Tracker (IT)'!G50="","",IF(ISNUMBER(SEARCH("OHMY",'Dev Tracker (IT)'!G50)),IF(LEN('Dev Tracker (IT)'!G50)&gt;5,"OMH + Partner","OMH (in-house)"),"Partner"))</f>
        <v>Partner</v>
      </c>
      <c r="F53" t="str">
        <f>IF('Dev Tracker (IT)'!D50="","",IF(ISNUMBER(SEARCH("OMH API",'Dev Tracker (IT)'!D50)),"They call our API","We build to their API"))</f>
        <v>They call our API</v>
      </c>
      <c r="G53" t="str">
        <f>IF('Dev Tracker (IT)'!C50="","",IF('Dev Tracker (IT)'!E50="","Not set",'Dev Tracker (IT)'!E50))</f>
        <v>Not set</v>
      </c>
      <c r="H53">
        <f>IF('Dev Tracker (IT)'!N50="","",'Dev Tracker (IT)'!N50)</f>
        <v>0.1</v>
      </c>
      <c r="I53" t="str">
        <f>IF($H53="","",INDEX($O$7:$O$19,MATCH($H53,$N$7:$N$19,0)))</f>
        <v>1. Meeting / 1st contact</v>
      </c>
      <c r="J53">
        <f>IF('Dev Tracker (IT)'!R50="","",'Dev Tracker (IT)'!R50)</f>
        <v>45986</v>
      </c>
      <c r="K53">
        <f ca="1">IF('Dev Tracker (IT)'!S50="","",'Dev Tracker (IT)'!S50)</f>
        <v>263</v>
      </c>
    </row>
    <row r="54" spans="1:11">
      <c r="A54">
        <f>IF($B54="","",COUNTA($B$7:$B54))</f>
        <v>48</v>
      </c>
      <c r="B54" t="str">
        <f>IF('Dev Tracker (IT)'!C51="","",'Dev Tracker (IT)'!C51)</f>
        <v>JL Tour</v>
      </c>
      <c r="C54" t="str">
        <f>IF('Dev Tracker (IT)'!B51="","",SUBSTITUTE('Dev Tracker (IT)'!B51,CHAR(10)," "))</f>
        <v>Channel API</v>
      </c>
      <c r="D54" t="str">
        <f>IF('Dev Tracker (IT)'!J51="","",'Dev Tracker (IT)'!J51)</f>
        <v>In Development</v>
      </c>
      <c r="E54" t="str">
        <f>IF('Dev Tracker (IT)'!G51="","",IF(ISNUMBER(SEARCH("OHMY",'Dev Tracker (IT)'!G51)),IF(LEN('Dev Tracker (IT)'!G51)&gt;5,"OMH + Partner","OMH (in-house)"),"Partner"))</f>
        <v>Partner</v>
      </c>
      <c r="F54" t="str">
        <f>IF('Dev Tracker (IT)'!D51="","",IF(ISNUMBER(SEARCH("OMH API",'Dev Tracker (IT)'!D51)),"They call our API","We build to their API"))</f>
        <v>They call our API</v>
      </c>
      <c r="G54" t="str">
        <f>IF('Dev Tracker (IT)'!C51="","",IF('Dev Tracker (IT)'!E51="","Not set",'Dev Tracker (IT)'!E51))</f>
        <v>Not set</v>
      </c>
      <c r="H54">
        <f>IF('Dev Tracker (IT)'!N51="","",'Dev Tracker (IT)'!N51)</f>
        <v>0</v>
      </c>
      <c r="I54" t="str">
        <f>IF($H54="","",INDEX($O$7:$O$19,MATCH($H54,$N$7:$N$19,0)))</f>
        <v>Not tracked — no dates yet</v>
      </c>
      <c r="J54" t="str">
        <f>IF('Dev Tracker (IT)'!R51="","",'Dev Tracker (IT)'!R51)</f>
        <v/>
      </c>
      <c r="K54" t="str">
        <f ca="1">IF('Dev Tracker (IT)'!S51="","",'Dev Tracker (IT)'!S51)</f>
        <v/>
      </c>
    </row>
    <row r="55" spans="1:11">
      <c r="A55">
        <f>IF($B55="","",COUNTA($B$7:$B55))</f>
        <v>49</v>
      </c>
      <c r="B55" t="str">
        <f>IF('Dev Tracker (IT)'!C52="","",'Dev Tracker (IT)'!C52)</f>
        <v>Leisure To You</v>
      </c>
      <c r="C55" t="str">
        <f>IF('Dev Tracker (IT)'!B52="","",SUBSTITUTE('Dev Tracker (IT)'!B52,CHAR(10)," "))</f>
        <v>Channel API</v>
      </c>
      <c r="D55" t="str">
        <f>IF('Dev Tracker (IT)'!J52="","",'Dev Tracker (IT)'!J52)</f>
        <v>NDA/Contract</v>
      </c>
      <c r="E55" t="str">
        <f>IF('Dev Tracker (IT)'!G52="","",IF(ISNUMBER(SEARCH("OHMY",'Dev Tracker (IT)'!G52)),IF(LEN('Dev Tracker (IT)'!G52)&gt;5,"OMH + Partner","OMH (in-house)"),"Partner"))</f>
        <v>Partner</v>
      </c>
      <c r="F55" t="str">
        <f>IF('Dev Tracker (IT)'!D52="","",IF(ISNUMBER(SEARCH("OMH API",'Dev Tracker (IT)'!D52)),"They call our API","We build to their API"))</f>
        <v>They call our API</v>
      </c>
      <c r="G55" t="str">
        <f>IF('Dev Tracker (IT)'!C52="","",IF('Dev Tracker (IT)'!E52="","Not set",'Dev Tracker (IT)'!E52))</f>
        <v>Not set</v>
      </c>
      <c r="H55">
        <f>IF('Dev Tracker (IT)'!N52="","",'Dev Tracker (IT)'!N52)</f>
        <v>0</v>
      </c>
      <c r="I55" t="str">
        <f>IF($H55="","",INDEX($O$7:$O$19,MATCH($H55,$N$7:$N$19,0)))</f>
        <v>Not tracked — no dates yet</v>
      </c>
      <c r="J55" t="str">
        <f>IF('Dev Tracker (IT)'!R52="","",'Dev Tracker (IT)'!R52)</f>
        <v/>
      </c>
      <c r="K55" t="str">
        <f ca="1">IF('Dev Tracker (IT)'!S52="","",'Dev Tracker (IT)'!S52)</f>
        <v/>
      </c>
    </row>
    <row r="56" spans="1:11">
      <c r="A56">
        <f>IF($B56="","",COUNTA($B$7:$B56))</f>
        <v>50</v>
      </c>
      <c r="B56" t="str">
        <f>IF('Dev Tracker (IT)'!C53="","",'Dev Tracker (IT)'!C53)</f>
        <v>Qian Tao</v>
      </c>
      <c r="C56" t="str">
        <f>IF('Dev Tracker (IT)'!B53="","",SUBSTITUTE('Dev Tracker (IT)'!B53,CHAR(10)," "))</f>
        <v>Channel API</v>
      </c>
      <c r="D56" t="str">
        <f>IF('Dev Tracker (IT)'!J53="","",'Dev Tracker (IT)'!J53)</f>
        <v>NDA/Contract</v>
      </c>
      <c r="E56" t="str">
        <f>IF('Dev Tracker (IT)'!G53="","",IF(ISNUMBER(SEARCH("OHMY",'Dev Tracker (IT)'!G53)),IF(LEN('Dev Tracker (IT)'!G53)&gt;5,"OMH + Partner","OMH (in-house)"),"Partner"))</f>
        <v>Partner</v>
      </c>
      <c r="F56" t="str">
        <f>IF('Dev Tracker (IT)'!D53="","",IF(ISNUMBER(SEARCH("OMH API",'Dev Tracker (IT)'!D53)),"They call our API","We build to their API"))</f>
        <v>They call our API</v>
      </c>
      <c r="G56" t="str">
        <f>IF('Dev Tracker (IT)'!C53="","",IF('Dev Tracker (IT)'!E53="","Not set",'Dev Tracker (IT)'!E53))</f>
        <v>Not set</v>
      </c>
      <c r="H56">
        <f>IF('Dev Tracker (IT)'!N53="","",'Dev Tracker (IT)'!N53)</f>
        <v>0.1</v>
      </c>
      <c r="I56" t="str">
        <f>IF($H56="","",INDEX($O$7:$O$19,MATCH($H56,$N$7:$N$19,0)))</f>
        <v>1. Meeting / 1st contact</v>
      </c>
      <c r="J56">
        <f>IF('Dev Tracker (IT)'!R53="","",'Dev Tracker (IT)'!R53)</f>
        <v>45820</v>
      </c>
      <c r="K56">
        <f ca="1">IF('Dev Tracker (IT)'!S53="","",'Dev Tracker (IT)'!S53)</f>
        <v>429</v>
      </c>
    </row>
    <row r="57" spans="1:11">
      <c r="A57">
        <f>IF($B57="","",COUNTA($B$7:$B57))</f>
        <v>51</v>
      </c>
      <c r="B57" t="str">
        <f>IF('Dev Tracker (IT)'!C54="","",'Dev Tracker (IT)'!C54)</f>
        <v>MakeMyTrip</v>
      </c>
      <c r="C57" t="str">
        <f>IF('Dev Tracker (IT)'!B54="","",SUBSTITUTE('Dev Tracker (IT)'!B54,CHAR(10)," "))</f>
        <v>Channel API</v>
      </c>
      <c r="D57" t="str">
        <f>IF('Dev Tracker (IT)'!J54="","",'Dev Tracker (IT)'!J54)</f>
        <v>NDA/Contract</v>
      </c>
      <c r="E57" t="str">
        <f>IF('Dev Tracker (IT)'!G54="","",IF(ISNUMBER(SEARCH("OHMY",'Dev Tracker (IT)'!G54)),IF(LEN('Dev Tracker (IT)'!G54)&gt;5,"OMH + Partner","OMH (in-house)"),"Partner"))</f>
        <v>Partner</v>
      </c>
      <c r="F57" t="str">
        <f>IF('Dev Tracker (IT)'!D54="","",IF(ISNUMBER(SEARCH("OMH API",'Dev Tracker (IT)'!D54)),"They call our API","We build to their API"))</f>
        <v>They call our API</v>
      </c>
      <c r="G57" t="str">
        <f>IF('Dev Tracker (IT)'!C54="","",IF('Dev Tracker (IT)'!E54="","Not set",'Dev Tracker (IT)'!E54))</f>
        <v>Not set</v>
      </c>
      <c r="H57">
        <f>IF('Dev Tracker (IT)'!N54="","",'Dev Tracker (IT)'!N54)</f>
        <v>0.1</v>
      </c>
      <c r="I57" t="str">
        <f>IF($H57="","",INDEX($O$7:$O$19,MATCH($H57,$N$7:$N$19,0)))</f>
        <v>1. Meeting / 1st contact</v>
      </c>
      <c r="J57">
        <f>IF('Dev Tracker (IT)'!R54="","",'Dev Tracker (IT)'!R54)</f>
        <v>45993</v>
      </c>
      <c r="K57">
        <f ca="1">IF('Dev Tracker (IT)'!S54="","",'Dev Tracker (IT)'!S54)</f>
        <v>256</v>
      </c>
    </row>
    <row r="58" spans="1:11">
      <c r="A58">
        <f>IF($B58="","",COUNTA($B$7:$B58))</f>
        <v>52</v>
      </c>
      <c r="B58" t="str">
        <f>IF('Dev Tracker (IT)'!C55="","",'Dev Tracker (IT)'!C55)</f>
        <v>Vietravel</v>
      </c>
      <c r="C58" t="str">
        <f>IF('Dev Tracker (IT)'!B55="","",SUBSTITUTE('Dev Tracker (IT)'!B55,CHAR(10)," "))</f>
        <v>Channel API</v>
      </c>
      <c r="D58" t="str">
        <f>IF('Dev Tracker (IT)'!J55="","",'Dev Tracker (IT)'!J55)</f>
        <v>NDA/Contract</v>
      </c>
      <c r="E58" t="str">
        <f>IF('Dev Tracker (IT)'!G55="","",IF(ISNUMBER(SEARCH("OHMY",'Dev Tracker (IT)'!G55)),IF(LEN('Dev Tracker (IT)'!G55)&gt;5,"OMH + Partner","OMH (in-house)"),"Partner"))</f>
        <v>Partner</v>
      </c>
      <c r="F58" t="str">
        <f>IF('Dev Tracker (IT)'!D55="","",IF(ISNUMBER(SEARCH("OMH API",'Dev Tracker (IT)'!D55)),"They call our API","We build to their API"))</f>
        <v>They call our API</v>
      </c>
      <c r="G58" t="str">
        <f>IF('Dev Tracker (IT)'!C55="","",IF('Dev Tracker (IT)'!E55="","Not set",'Dev Tracker (IT)'!E55))</f>
        <v>Not set</v>
      </c>
      <c r="H58">
        <f>IF('Dev Tracker (IT)'!N55="","",'Dev Tracker (IT)'!N55)</f>
        <v>0.1</v>
      </c>
      <c r="I58" t="str">
        <f>IF($H58="","",INDEX($O$7:$O$19,MATCH($H58,$N$7:$N$19,0)))</f>
        <v>1. Meeting / 1st contact</v>
      </c>
      <c r="J58">
        <f>IF('Dev Tracker (IT)'!R55="","",'Dev Tracker (IT)'!R55)</f>
        <v>45995</v>
      </c>
      <c r="K58">
        <f ca="1">IF('Dev Tracker (IT)'!S55="","",'Dev Tracker (IT)'!S55)</f>
        <v>254</v>
      </c>
    </row>
    <row r="59" spans="1:11">
      <c r="A59">
        <f>IF($B59="","",COUNTA($B$7:$B59))</f>
        <v>53</v>
      </c>
      <c r="B59" t="str">
        <f>IF('Dev Tracker (IT)'!C56="","",'Dev Tracker (IT)'!C56)</f>
        <v>Mafengwo</v>
      </c>
      <c r="C59" t="str">
        <f>IF('Dev Tracker (IT)'!B56="","",SUBSTITUTE('Dev Tracker (IT)'!B56,CHAR(10)," "))</f>
        <v>Channel API</v>
      </c>
      <c r="D59" t="str">
        <f>IF('Dev Tracker (IT)'!J56="","",'Dev Tracker (IT)'!J56)</f>
        <v>NDA/Contract</v>
      </c>
      <c r="E59" t="str">
        <f>IF('Dev Tracker (IT)'!G56="","",IF(ISNUMBER(SEARCH("OHMY",'Dev Tracker (IT)'!G56)),IF(LEN('Dev Tracker (IT)'!G56)&gt;5,"OMH + Partner","OMH (in-house)"),"Partner"))</f>
        <v>Partner</v>
      </c>
      <c r="F59" t="str">
        <f>IF('Dev Tracker (IT)'!D56="","",IF(ISNUMBER(SEARCH("OMH API",'Dev Tracker (IT)'!D56)),"They call our API","We build to their API"))</f>
        <v>They call our API</v>
      </c>
      <c r="G59" t="str">
        <f>IF('Dev Tracker (IT)'!C56="","",IF('Dev Tracker (IT)'!E56="","Not set",'Dev Tracker (IT)'!E56))</f>
        <v>Not set</v>
      </c>
      <c r="H59">
        <f>IF('Dev Tracker (IT)'!N56="","",'Dev Tracker (IT)'!N56)</f>
        <v>0</v>
      </c>
      <c r="I59" t="str">
        <f>IF($H59="","",INDEX($O$7:$O$19,MATCH($H59,$N$7:$N$19,0)))</f>
        <v>Not tracked — no dates yet</v>
      </c>
      <c r="J59" t="str">
        <f>IF('Dev Tracker (IT)'!R56="","",'Dev Tracker (IT)'!R56)</f>
        <v/>
      </c>
      <c r="K59" t="str">
        <f ca="1">IF('Dev Tracker (IT)'!S56="","",'Dev Tracker (IT)'!S56)</f>
        <v/>
      </c>
    </row>
    <row r="60" spans="1:11">
      <c r="A60">
        <f>IF($B60="","",COUNTA($B$7:$B60))</f>
        <v>54</v>
      </c>
      <c r="B60" t="str">
        <f>IF('Dev Tracker (IT)'!C57="","",'Dev Tracker (IT)'!C57)</f>
        <v>Chai Yi Lc -Yihao</v>
      </c>
      <c r="C60" t="str">
        <f>IF('Dev Tracker (IT)'!B57="","",SUBSTITUTE('Dev Tracker (IT)'!B57,CHAR(10)," "))</f>
        <v>Channel API</v>
      </c>
      <c r="D60" t="str">
        <f>IF('Dev Tracker (IT)'!J57="","",'Dev Tracker (IT)'!J57)</f>
        <v>NDA/Contract</v>
      </c>
      <c r="E60" t="str">
        <f>IF('Dev Tracker (IT)'!G57="","",IF(ISNUMBER(SEARCH("OHMY",'Dev Tracker (IT)'!G57)),IF(LEN('Dev Tracker (IT)'!G57)&gt;5,"OMH + Partner","OMH (in-house)"),"Partner"))</f>
        <v>Partner</v>
      </c>
      <c r="F60" t="str">
        <f>IF('Dev Tracker (IT)'!D57="","",IF(ISNUMBER(SEARCH("OMH API",'Dev Tracker (IT)'!D57)),"They call our API","We build to their API"))</f>
        <v>They call our API</v>
      </c>
      <c r="G60" t="str">
        <f>IF('Dev Tracker (IT)'!C57="","",IF('Dev Tracker (IT)'!E57="","Not set",'Dev Tracker (IT)'!E57))</f>
        <v>Not set</v>
      </c>
      <c r="H60">
        <f>IF('Dev Tracker (IT)'!N57="","",'Dev Tracker (IT)'!N57)</f>
        <v>0</v>
      </c>
      <c r="I60" t="str">
        <f>IF($H60="","",INDEX($O$7:$O$19,MATCH($H60,$N$7:$N$19,0)))</f>
        <v>Not tracked — no dates yet</v>
      </c>
      <c r="J60" t="str">
        <f>IF('Dev Tracker (IT)'!R57="","",'Dev Tracker (IT)'!R57)</f>
        <v/>
      </c>
      <c r="K60" t="str">
        <f ca="1">IF('Dev Tracker (IT)'!S57="","",'Dev Tracker (IT)'!S57)</f>
        <v/>
      </c>
    </row>
    <row r="61" spans="1:11">
      <c r="A61">
        <f>IF($B61="","",COUNTA($B$7:$B61))</f>
        <v>55</v>
      </c>
      <c r="B61" t="str">
        <f>IF('Dev Tracker (IT)'!C58="","",'Dev Tracker (IT)'!C58)</f>
        <v>Fenbeitong</v>
      </c>
      <c r="C61" t="str">
        <f>IF('Dev Tracker (IT)'!B58="","",SUBSTITUTE('Dev Tracker (IT)'!B58,CHAR(10)," "))</f>
        <v>Channel API</v>
      </c>
      <c r="D61" t="str">
        <f>IF('Dev Tracker (IT)'!J58="","",'Dev Tracker (IT)'!J58)</f>
        <v>NDA/Contract</v>
      </c>
      <c r="E61" t="str">
        <f>IF('Dev Tracker (IT)'!G58="","",IF(ISNUMBER(SEARCH("OHMY",'Dev Tracker (IT)'!G58)),IF(LEN('Dev Tracker (IT)'!G58)&gt;5,"OMH + Partner","OMH (in-house)"),"Partner"))</f>
        <v>Partner</v>
      </c>
      <c r="F61" t="str">
        <f>IF('Dev Tracker (IT)'!D58="","",IF(ISNUMBER(SEARCH("OMH API",'Dev Tracker (IT)'!D58)),"They call our API","We build to their API"))</f>
        <v>They call our API</v>
      </c>
      <c r="G61" t="str">
        <f>IF('Dev Tracker (IT)'!C58="","",IF('Dev Tracker (IT)'!E58="","Not set",'Dev Tracker (IT)'!E58))</f>
        <v>Not set</v>
      </c>
      <c r="H61">
        <f>IF('Dev Tracker (IT)'!N58="","",'Dev Tracker (IT)'!N58)</f>
        <v>0.1</v>
      </c>
      <c r="I61" t="str">
        <f>IF($H61="","",INDEX($O$7:$O$19,MATCH($H61,$N$7:$N$19,0)))</f>
        <v>1. Meeting / 1st contact</v>
      </c>
      <c r="J61">
        <f>IF('Dev Tracker (IT)'!R58="","",'Dev Tracker (IT)'!R58)</f>
        <v>45893</v>
      </c>
      <c r="K61">
        <f ca="1">IF('Dev Tracker (IT)'!S58="","",'Dev Tracker (IT)'!S58)</f>
        <v>356</v>
      </c>
    </row>
    <row r="62" spans="1:11">
      <c r="A62">
        <f>IF($B62="","",COUNTA($B$7:$B62))</f>
        <v>56</v>
      </c>
      <c r="B62" t="str">
        <f>IF('Dev Tracker (IT)'!C59="","",'Dev Tracker (IT)'!C59)</f>
        <v>Hibeds</v>
      </c>
      <c r="C62" t="str">
        <f>IF('Dev Tracker (IT)'!B59="","",SUBSTITUTE('Dev Tracker (IT)'!B59,CHAR(10)," "))</f>
        <v>Channel API</v>
      </c>
      <c r="D62" t="str">
        <f>IF('Dev Tracker (IT)'!J59="","",'Dev Tracker (IT)'!J59)</f>
        <v>NDA/Contract</v>
      </c>
      <c r="E62" t="str">
        <f>IF('Dev Tracker (IT)'!G59="","",IF(ISNUMBER(SEARCH("OHMY",'Dev Tracker (IT)'!G59)),IF(LEN('Dev Tracker (IT)'!G59)&gt;5,"OMH + Partner","OMH (in-house)"),"Partner"))</f>
        <v>Partner</v>
      </c>
      <c r="F62" t="str">
        <f>IF('Dev Tracker (IT)'!D59="","",IF(ISNUMBER(SEARCH("OMH API",'Dev Tracker (IT)'!D59)),"They call our API","We build to their API"))</f>
        <v>They call our API</v>
      </c>
      <c r="G62" t="str">
        <f>IF('Dev Tracker (IT)'!C59="","",IF('Dev Tracker (IT)'!E59="","Not set",'Dev Tracker (IT)'!E59))</f>
        <v>Not set</v>
      </c>
      <c r="H62">
        <f>IF('Dev Tracker (IT)'!N59="","",'Dev Tracker (IT)'!N59)</f>
        <v>0</v>
      </c>
      <c r="I62" t="str">
        <f>IF($H62="","",INDEX($O$7:$O$19,MATCH($H62,$N$7:$N$19,0)))</f>
        <v>Not tracked — no dates yet</v>
      </c>
      <c r="J62" t="str">
        <f>IF('Dev Tracker (IT)'!R59="","",'Dev Tracker (IT)'!R59)</f>
        <v/>
      </c>
      <c r="K62" t="str">
        <f ca="1">IF('Dev Tracker (IT)'!S59="","",'Dev Tracker (IT)'!S59)</f>
        <v/>
      </c>
    </row>
    <row r="63" spans="1:11">
      <c r="A63">
        <f>IF($B63="","",COUNTA($B$7:$B63))</f>
        <v>57</v>
      </c>
      <c r="B63" t="str">
        <f>IF('Dev Tracker (IT)'!C60="","",'Dev Tracker (IT)'!C60)</f>
        <v>Momo</v>
      </c>
      <c r="C63" t="str">
        <f>IF('Dev Tracker (IT)'!B60="","",SUBSTITUTE('Dev Tracker (IT)'!B60,CHAR(10)," "))</f>
        <v>Channel API</v>
      </c>
      <c r="D63" t="str">
        <f>IF('Dev Tracker (IT)'!J60="","",'Dev Tracker (IT)'!J60)</f>
        <v>NDA/Contract</v>
      </c>
      <c r="E63" t="str">
        <f>IF('Dev Tracker (IT)'!G60="","",IF(ISNUMBER(SEARCH("OHMY",'Dev Tracker (IT)'!G60)),IF(LEN('Dev Tracker (IT)'!G60)&gt;5,"OMH + Partner","OMH (in-house)"),"Partner"))</f>
        <v>Partner</v>
      </c>
      <c r="F63" t="str">
        <f>IF('Dev Tracker (IT)'!D60="","",IF(ISNUMBER(SEARCH("OMH API",'Dev Tracker (IT)'!D60)),"They call our API","We build to their API"))</f>
        <v>They call our API</v>
      </c>
      <c r="G63" t="str">
        <f>IF('Dev Tracker (IT)'!C60="","",IF('Dev Tracker (IT)'!E60="","Not set",'Dev Tracker (IT)'!E60))</f>
        <v>Not set</v>
      </c>
      <c r="H63">
        <f>IF('Dev Tracker (IT)'!N60="","",'Dev Tracker (IT)'!N60)</f>
        <v>0.5</v>
      </c>
      <c r="I63" t="str">
        <f>IF($H63="","",INDEX($O$7:$O$19,MATCH($H63,$N$7:$N$19,0)))</f>
        <v>6. Dev started — SPEC &amp; DEV key</v>
      </c>
      <c r="J63">
        <f>IF('Dev Tracker (IT)'!R60="","",'Dev Tracker (IT)'!R60)</f>
        <v>46223</v>
      </c>
      <c r="K63">
        <f ca="1">IF('Dev Tracker (IT)'!S60="","",'Dev Tracker (IT)'!S60)</f>
        <v>26</v>
      </c>
    </row>
    <row r="64" spans="1:11">
      <c r="A64">
        <f>IF($B64="","",COUNTA($B$7:$B64))</f>
        <v>58</v>
      </c>
      <c r="B64" t="str">
        <f>IF('Dev Tracker (IT)'!C61="","",'Dev Tracker (IT)'!C61)</f>
        <v>Wingspulse</v>
      </c>
      <c r="C64" t="str">
        <f>IF('Dev Tracker (IT)'!B61="","",SUBSTITUTE('Dev Tracker (IT)'!B61,CHAR(10)," "))</f>
        <v>Channel API</v>
      </c>
      <c r="D64" t="str">
        <f>IF('Dev Tracker (IT)'!J61="","",'Dev Tracker (IT)'!J61)</f>
        <v>NDA/Contract</v>
      </c>
      <c r="E64" t="str">
        <f>IF('Dev Tracker (IT)'!G61="","",IF(ISNUMBER(SEARCH("OHMY",'Dev Tracker (IT)'!G61)),IF(LEN('Dev Tracker (IT)'!G61)&gt;5,"OMH + Partner","OMH (in-house)"),"Partner"))</f>
        <v>Partner</v>
      </c>
      <c r="F64" t="str">
        <f>IF('Dev Tracker (IT)'!D61="","",IF(ISNUMBER(SEARCH("OMH API",'Dev Tracker (IT)'!D61)),"They call our API","We build to their API"))</f>
        <v>They call our API</v>
      </c>
      <c r="G64" t="str">
        <f>IF('Dev Tracker (IT)'!C61="","",IF('Dev Tracker (IT)'!E61="","Not set",'Dev Tracker (IT)'!E61))</f>
        <v>Not set</v>
      </c>
      <c r="H64">
        <f>IF('Dev Tracker (IT)'!N61="","",'Dev Tracker (IT)'!N61)</f>
        <v>0</v>
      </c>
      <c r="I64" t="str">
        <f>IF($H64="","",INDEX($O$7:$O$19,MATCH($H64,$N$7:$N$19,0)))</f>
        <v>Not tracked — no dates yet</v>
      </c>
      <c r="J64" t="str">
        <f>IF('Dev Tracker (IT)'!R61="","",'Dev Tracker (IT)'!R61)</f>
        <v/>
      </c>
      <c r="K64" t="str">
        <f ca="1">IF('Dev Tracker (IT)'!S61="","",'Dev Tracker (IT)'!S61)</f>
        <v/>
      </c>
    </row>
    <row r="65" spans="1:11">
      <c r="A65">
        <f>IF($B65="","",COUNTA($B$7:$B65))</f>
        <v>59</v>
      </c>
      <c r="B65" t="str">
        <f>IF('Dev Tracker (IT)'!C62="","",'Dev Tracker (IT)'!C62)</f>
        <v>Huamao</v>
      </c>
      <c r="C65" t="str">
        <f>IF('Dev Tracker (IT)'!B62="","",SUBSTITUTE('Dev Tracker (IT)'!B62,CHAR(10)," "))</f>
        <v>Channel API</v>
      </c>
      <c r="D65" t="str">
        <f>IF('Dev Tracker (IT)'!J62="","",'Dev Tracker (IT)'!J62)</f>
        <v>NDA/Contract</v>
      </c>
      <c r="E65" t="str">
        <f>IF('Dev Tracker (IT)'!G62="","",IF(ISNUMBER(SEARCH("OHMY",'Dev Tracker (IT)'!G62)),IF(LEN('Dev Tracker (IT)'!G62)&gt;5,"OMH + Partner","OMH (in-house)"),"Partner"))</f>
        <v>Partner</v>
      </c>
      <c r="F65" t="str">
        <f>IF('Dev Tracker (IT)'!D62="","",IF(ISNUMBER(SEARCH("OMH API",'Dev Tracker (IT)'!D62)),"They call our API","We build to their API"))</f>
        <v>They call our API</v>
      </c>
      <c r="G65" t="str">
        <f>IF('Dev Tracker (IT)'!C62="","",IF('Dev Tracker (IT)'!E62="","Not set",'Dev Tracker (IT)'!E62))</f>
        <v>Not set</v>
      </c>
      <c r="H65">
        <f>IF('Dev Tracker (IT)'!N62="","",'Dev Tracker (IT)'!N62)</f>
        <v>0</v>
      </c>
      <c r="I65" t="str">
        <f>IF($H65="","",INDEX($O$7:$O$19,MATCH($H65,$N$7:$N$19,0)))</f>
        <v>Not tracked — no dates yet</v>
      </c>
      <c r="J65" t="str">
        <f>IF('Dev Tracker (IT)'!R62="","",'Dev Tracker (IT)'!R62)</f>
        <v/>
      </c>
      <c r="K65" t="str">
        <f ca="1">IF('Dev Tracker (IT)'!S62="","",'Dev Tracker (IT)'!S62)</f>
        <v/>
      </c>
    </row>
    <row r="66" spans="1:11">
      <c r="A66">
        <f>IF($B66="","",COUNTA($B$7:$B66))</f>
        <v>60</v>
      </c>
      <c r="B66" t="str">
        <f>IF('Dev Tracker (IT)'!C63="","",'Dev Tracker (IT)'!C63)</f>
        <v>Linkall travel</v>
      </c>
      <c r="C66" t="str">
        <f>IF('Dev Tracker (IT)'!B63="","",SUBSTITUTE('Dev Tracker (IT)'!B63,CHAR(10)," "))</f>
        <v>Channel API</v>
      </c>
      <c r="D66" t="str">
        <f>IF('Dev Tracker (IT)'!J63="","",'Dev Tracker (IT)'!J63)</f>
        <v>NDA/Contract</v>
      </c>
      <c r="E66" t="str">
        <f>IF('Dev Tracker (IT)'!G63="","",IF(ISNUMBER(SEARCH("OHMY",'Dev Tracker (IT)'!G63)),IF(LEN('Dev Tracker (IT)'!G63)&gt;5,"OMH + Partner","OMH (in-house)"),"Partner"))</f>
        <v>Partner</v>
      </c>
      <c r="F66" t="str">
        <f>IF('Dev Tracker (IT)'!D63="","",IF(ISNUMBER(SEARCH("OMH API",'Dev Tracker (IT)'!D63)),"They call our API","We build to their API"))</f>
        <v>They call our API</v>
      </c>
      <c r="G66" t="str">
        <f>IF('Dev Tracker (IT)'!C63="","",IF('Dev Tracker (IT)'!E63="","Not set",'Dev Tracker (IT)'!E63))</f>
        <v>Not set</v>
      </c>
      <c r="H66">
        <f>IF('Dev Tracker (IT)'!N63="","",'Dev Tracker (IT)'!N63)</f>
        <v>0.1</v>
      </c>
      <c r="I66" t="str">
        <f>IF($H66="","",INDEX($O$7:$O$19,MATCH($H66,$N$7:$N$19,0)))</f>
        <v>1. Meeting / 1st contact</v>
      </c>
      <c r="J66">
        <f>IF('Dev Tracker (IT)'!R63="","",'Dev Tracker (IT)'!R63)</f>
        <v>45986</v>
      </c>
      <c r="K66">
        <f ca="1">IF('Dev Tracker (IT)'!S63="","",'Dev Tracker (IT)'!S63)</f>
        <v>263</v>
      </c>
    </row>
    <row r="67" spans="1:11">
      <c r="A67">
        <f>IF($B67="","",COUNTA($B$7:$B67))</f>
        <v>61</v>
      </c>
      <c r="B67" t="str">
        <f>IF('Dev Tracker (IT)'!C64="","",'Dev Tracker (IT)'!C64)</f>
        <v>SUZHOU YILV SUNSHINE TRAVEL AGENCY CO.,LTD</v>
      </c>
      <c r="C67" t="str">
        <f>IF('Dev Tracker (IT)'!B64="","",SUBSTITUTE('Dev Tracker (IT)'!B64,CHAR(10)," "))</f>
        <v>Channel API</v>
      </c>
      <c r="D67" t="str">
        <f>IF('Dev Tracker (IT)'!J64="","",'Dev Tracker (IT)'!J64)</f>
        <v>NDA/Contract</v>
      </c>
      <c r="E67" t="str">
        <f>IF('Dev Tracker (IT)'!G64="","",IF(ISNUMBER(SEARCH("OHMY",'Dev Tracker (IT)'!G64)),IF(LEN('Dev Tracker (IT)'!G64)&gt;5,"OMH + Partner","OMH (in-house)"),"Partner"))</f>
        <v>Partner</v>
      </c>
      <c r="F67" t="str">
        <f>IF('Dev Tracker (IT)'!D64="","",IF(ISNUMBER(SEARCH("OMH API",'Dev Tracker (IT)'!D64)),"They call our API","We build to their API"))</f>
        <v>They call our API</v>
      </c>
      <c r="G67" t="str">
        <f>IF('Dev Tracker (IT)'!C64="","",IF('Dev Tracker (IT)'!E64="","Not set",'Dev Tracker (IT)'!E64))</f>
        <v>Not set</v>
      </c>
      <c r="H67">
        <f>IF('Dev Tracker (IT)'!N64="","",'Dev Tracker (IT)'!N64)</f>
        <v>0</v>
      </c>
      <c r="I67" t="str">
        <f>IF($H67="","",INDEX($O$7:$O$19,MATCH($H67,$N$7:$N$19,0)))</f>
        <v>Not tracked — no dates yet</v>
      </c>
      <c r="J67" t="str">
        <f>IF('Dev Tracker (IT)'!R64="","",'Dev Tracker (IT)'!R64)</f>
        <v/>
      </c>
      <c r="K67" t="str">
        <f ca="1">IF('Dev Tracker (IT)'!S64="","",'Dev Tracker (IT)'!S64)</f>
        <v/>
      </c>
    </row>
    <row r="68" spans="1:11">
      <c r="A68">
        <f>IF($B68="","",COUNTA($B$7:$B68))</f>
        <v>62</v>
      </c>
      <c r="B68" t="str">
        <f>IF('Dev Tracker (IT)'!C65="","",'Dev Tracker (IT)'!C65)</f>
        <v>Ziru (TMC)</v>
      </c>
      <c r="C68" t="str">
        <f>IF('Dev Tracker (IT)'!B65="","",SUBSTITUTE('Dev Tracker (IT)'!B65,CHAR(10)," "))</f>
        <v>Channel API</v>
      </c>
      <c r="D68" t="str">
        <f>IF('Dev Tracker (IT)'!J65="","",'Dev Tracker (IT)'!J65)</f>
        <v>NDA/Contract</v>
      </c>
      <c r="E68" t="str">
        <f>IF('Dev Tracker (IT)'!G65="","",IF(ISNUMBER(SEARCH("OHMY",'Dev Tracker (IT)'!G65)),IF(LEN('Dev Tracker (IT)'!G65)&gt;5,"OMH + Partner","OMH (in-house)"),"Partner"))</f>
        <v>Partner</v>
      </c>
      <c r="F68" t="str">
        <f>IF('Dev Tracker (IT)'!D65="","",IF(ISNUMBER(SEARCH("OMH API",'Dev Tracker (IT)'!D65)),"They call our API","We build to their API"))</f>
        <v>They call our API</v>
      </c>
      <c r="G68" t="str">
        <f>IF('Dev Tracker (IT)'!C65="","",IF('Dev Tracker (IT)'!E65="","Not set",'Dev Tracker (IT)'!E65))</f>
        <v>Not set</v>
      </c>
      <c r="H68">
        <f>IF('Dev Tracker (IT)'!N65="","",'Dev Tracker (IT)'!N65)</f>
        <v>0</v>
      </c>
      <c r="I68" t="str">
        <f>IF($H68="","",INDEX($O$7:$O$19,MATCH($H68,$N$7:$N$19,0)))</f>
        <v>Not tracked — no dates yet</v>
      </c>
      <c r="J68" t="str">
        <f>IF('Dev Tracker (IT)'!R65="","",'Dev Tracker (IT)'!R65)</f>
        <v/>
      </c>
      <c r="K68" t="str">
        <f ca="1">IF('Dev Tracker (IT)'!S65="","",'Dev Tracker (IT)'!S65)</f>
        <v/>
      </c>
    </row>
    <row r="69" spans="1:11">
      <c r="A69">
        <f>IF($B69="","",COUNTA($B$7:$B69))</f>
        <v>63</v>
      </c>
      <c r="B69" t="str">
        <f>IF('Dev Tracker (IT)'!C66="","",'Dev Tracker (IT)'!C66)</f>
        <v>Didi TMC</v>
      </c>
      <c r="C69" t="str">
        <f>IF('Dev Tracker (IT)'!B66="","",SUBSTITUTE('Dev Tracker (IT)'!B66,CHAR(10)," "))</f>
        <v>Channel API</v>
      </c>
      <c r="D69" t="str">
        <f>IF('Dev Tracker (IT)'!J66="","",'Dev Tracker (IT)'!J66)</f>
        <v>NDA/Contract</v>
      </c>
      <c r="E69" t="str">
        <f>IF('Dev Tracker (IT)'!G66="","",IF(ISNUMBER(SEARCH("OHMY",'Dev Tracker (IT)'!G66)),IF(LEN('Dev Tracker (IT)'!G66)&gt;5,"OMH + Partner","OMH (in-house)"),"Partner"))</f>
        <v>Partner</v>
      </c>
      <c r="F69" t="str">
        <f>IF('Dev Tracker (IT)'!D66="","",IF(ISNUMBER(SEARCH("OMH API",'Dev Tracker (IT)'!D66)),"They call our API","We build to their API"))</f>
        <v>They call our API</v>
      </c>
      <c r="G69" t="str">
        <f>IF('Dev Tracker (IT)'!C66="","",IF('Dev Tracker (IT)'!E66="","Not set",'Dev Tracker (IT)'!E66))</f>
        <v>Not set</v>
      </c>
      <c r="H69">
        <f>IF('Dev Tracker (IT)'!N66="","",'Dev Tracker (IT)'!N66)</f>
        <v>0</v>
      </c>
      <c r="I69" t="str">
        <f>IF($H69="","",INDEX($O$7:$O$19,MATCH($H69,$N$7:$N$19,0)))</f>
        <v>Not tracked — no dates yet</v>
      </c>
      <c r="J69" t="str">
        <f>IF('Dev Tracker (IT)'!R66="","",'Dev Tracker (IT)'!R66)</f>
        <v/>
      </c>
      <c r="K69" t="str">
        <f ca="1">IF('Dev Tracker (IT)'!S66="","",'Dev Tracker (IT)'!S66)</f>
        <v/>
      </c>
    </row>
    <row r="70" spans="1:11">
      <c r="A70">
        <f>IF($B70="","",COUNTA($B$7:$B70))</f>
        <v>64</v>
      </c>
      <c r="B70" t="str">
        <f>IF('Dev Tracker (IT)'!C67="","",'Dev Tracker (IT)'!C67)</f>
        <v>RTX (Rakuten)</v>
      </c>
      <c r="C70" t="str">
        <f>IF('Dev Tracker (IT)'!B67="","",SUBSTITUTE('Dev Tracker (IT)'!B67,CHAR(10)," "))</f>
        <v>3rd Party Hotel</v>
      </c>
      <c r="D70" t="str">
        <f>IF('Dev Tracker (IT)'!J67="","",'Dev Tracker (IT)'!J67)</f>
        <v>Live</v>
      </c>
      <c r="E70" t="str">
        <f>IF('Dev Tracker (IT)'!G67="","",IF(ISNUMBER(SEARCH("OHMY",'Dev Tracker (IT)'!G67)),IF(LEN('Dev Tracker (IT)'!G67)&gt;5,"OMH + Partner","OMH (in-house)"),"Partner"))</f>
        <v>OMH (in-house)</v>
      </c>
      <c r="F70" t="str">
        <f>IF('Dev Tracker (IT)'!D67="","",IF(ISNUMBER(SEARCH("OMH API",'Dev Tracker (IT)'!D67)),"They call our API","We build to their API"))</f>
        <v>We build to their API</v>
      </c>
      <c r="G70" t="str">
        <f>IF('Dev Tracker (IT)'!C67="","",IF('Dev Tracker (IT)'!E67="","Not set",'Dev Tracker (IT)'!E67))</f>
        <v>Not set</v>
      </c>
      <c r="H70">
        <f>IF('Dev Tracker (IT)'!N67="","",'Dev Tracker (IT)'!N67)</f>
        <v>0</v>
      </c>
      <c r="I70" t="str">
        <f>IF($H70="","",INDEX($O$7:$O$19,MATCH($H70,$N$7:$N$19,0)))</f>
        <v>Not tracked — no dates yet</v>
      </c>
      <c r="J70" t="str">
        <f>IF('Dev Tracker (IT)'!R67="","",'Dev Tracker (IT)'!R67)</f>
        <v/>
      </c>
      <c r="K70" t="str">
        <f ca="1">IF('Dev Tracker (IT)'!S67="","",'Dev Tracker (IT)'!S67)</f>
        <v/>
      </c>
    </row>
    <row r="71" spans="1:11">
      <c r="A71">
        <f>IF($B71="","",COUNTA($B$7:$B71))</f>
        <v>65</v>
      </c>
      <c r="B71" t="str">
        <f>IF('Dev Tracker (IT)'!C68="","",'Dev Tracker (IT)'!C68)</f>
        <v>TBO</v>
      </c>
      <c r="C71" t="str">
        <f>IF('Dev Tracker (IT)'!B68="","",SUBSTITUTE('Dev Tracker (IT)'!B68,CHAR(10)," "))</f>
        <v>3rd Party Hotel</v>
      </c>
      <c r="D71" t="str">
        <f>IF('Dev Tracker (IT)'!J68="","",'Dev Tracker (IT)'!J68)</f>
        <v>NDA/Contract</v>
      </c>
      <c r="E71" t="str">
        <f>IF('Dev Tracker (IT)'!G68="","",IF(ISNUMBER(SEARCH("OHMY",'Dev Tracker (IT)'!G68)),IF(LEN('Dev Tracker (IT)'!G68)&gt;5,"OMH + Partner","OMH (in-house)"),"Partner"))</f>
        <v>OMH (in-house)</v>
      </c>
      <c r="F71" t="str">
        <f>IF('Dev Tracker (IT)'!D68="","",IF(ISNUMBER(SEARCH("OMH API",'Dev Tracker (IT)'!D68)),"They call our API","We build to their API"))</f>
        <v>We build to their API</v>
      </c>
      <c r="G71" t="str">
        <f>IF('Dev Tracker (IT)'!C68="","",IF('Dev Tracker (IT)'!E68="","Not set",'Dev Tracker (IT)'!E68))</f>
        <v>Not set</v>
      </c>
      <c r="H71">
        <f>IF('Dev Tracker (IT)'!N68="","",'Dev Tracker (IT)'!N68)</f>
        <v>0.1</v>
      </c>
      <c r="I71" t="str">
        <f>IF($H71="","",INDEX($O$7:$O$19,MATCH($H71,$N$7:$N$19,0)))</f>
        <v>1. Meeting / 1st contact</v>
      </c>
      <c r="J71">
        <f>IF('Dev Tracker (IT)'!R68="","",'Dev Tracker (IT)'!R68)</f>
        <v>45897</v>
      </c>
      <c r="K71">
        <f ca="1">IF('Dev Tracker (IT)'!S68="","",'Dev Tracker (IT)'!S68)</f>
        <v>352</v>
      </c>
    </row>
    <row r="72" spans="1:11">
      <c r="A72">
        <f>IF($B72="","",COUNTA($B$7:$B72))</f>
        <v>66</v>
      </c>
      <c r="B72" t="str">
        <f>IF('Dev Tracker (IT)'!C69="","",'Dev Tracker (IT)'!C69)</f>
        <v>Rate Hawk</v>
      </c>
      <c r="C72" t="str">
        <f>IF('Dev Tracker (IT)'!B69="","",SUBSTITUTE('Dev Tracker (IT)'!B69,CHAR(10)," "))</f>
        <v>3rd Party Hotel</v>
      </c>
      <c r="D72" t="str">
        <f>IF('Dev Tracker (IT)'!J69="","",'Dev Tracker (IT)'!J69)</f>
        <v>Contact</v>
      </c>
      <c r="E72" t="str">
        <f>IF('Dev Tracker (IT)'!G69="","",IF(ISNUMBER(SEARCH("OHMY",'Dev Tracker (IT)'!G69)),IF(LEN('Dev Tracker (IT)'!G69)&gt;5,"OMH + Partner","OMH (in-house)"),"Partner"))</f>
        <v>OMH (in-house)</v>
      </c>
      <c r="F72" t="str">
        <f>IF('Dev Tracker (IT)'!D69="","",IF(ISNUMBER(SEARCH("OMH API",'Dev Tracker (IT)'!D69)),"They call our API","We build to their API"))</f>
        <v>We build to their API</v>
      </c>
      <c r="G72" t="str">
        <f>IF('Dev Tracker (IT)'!C69="","",IF('Dev Tracker (IT)'!E69="","Not set",'Dev Tracker (IT)'!E69))</f>
        <v>Not set</v>
      </c>
      <c r="H72">
        <f>IF('Dev Tracker (IT)'!N69="","",'Dev Tracker (IT)'!N69)</f>
        <v>0.1</v>
      </c>
      <c r="I72" t="str">
        <f>IF($H72="","",INDEX($O$7:$O$19,MATCH($H72,$N$7:$N$19,0)))</f>
        <v>1. Meeting / 1st contact</v>
      </c>
      <c r="J72">
        <f>IF('Dev Tracker (IT)'!R69="","",'Dev Tracker (IT)'!R69)</f>
        <v>45924</v>
      </c>
      <c r="K72">
        <f ca="1">IF('Dev Tracker (IT)'!S69="","",'Dev Tracker (IT)'!S69)</f>
        <v>325</v>
      </c>
    </row>
    <row r="73" spans="1:11">
      <c r="A73">
        <f>IF($B73="","",COUNTA($B$7:$B73))</f>
        <v>67</v>
      </c>
      <c r="B73" t="str">
        <f>IF('Dev Tracker (IT)'!C70="","",'Dev Tracker (IT)'!C70)</f>
        <v>Restel Hotels</v>
      </c>
      <c r="C73" t="str">
        <f>IF('Dev Tracker (IT)'!B70="","",SUBSTITUTE('Dev Tracker (IT)'!B70,CHAR(10)," "))</f>
        <v>3rd Party Hotel</v>
      </c>
      <c r="D73" t="str">
        <f>IF('Dev Tracker (IT)'!J70="","",'Dev Tracker (IT)'!J70)</f>
        <v>NDA/Contract</v>
      </c>
      <c r="E73" t="str">
        <f>IF('Dev Tracker (IT)'!G70="","",IF(ISNUMBER(SEARCH("OHMY",'Dev Tracker (IT)'!G70)),IF(LEN('Dev Tracker (IT)'!G70)&gt;5,"OMH + Partner","OMH (in-house)"),"Partner"))</f>
        <v>OMH (in-house)</v>
      </c>
      <c r="F73" t="str">
        <f>IF('Dev Tracker (IT)'!D70="","",IF(ISNUMBER(SEARCH("OMH API",'Dev Tracker (IT)'!D70)),"They call our API","We build to their API"))</f>
        <v>We build to their API</v>
      </c>
      <c r="G73" t="str">
        <f>IF('Dev Tracker (IT)'!C70="","",IF('Dev Tracker (IT)'!E70="","Not set",'Dev Tracker (IT)'!E70))</f>
        <v>Not set</v>
      </c>
      <c r="H73">
        <f>IF('Dev Tracker (IT)'!N70="","",'Dev Tracker (IT)'!N70)</f>
        <v>0</v>
      </c>
      <c r="I73" t="str">
        <f>IF($H73="","",INDEX($O$7:$O$19,MATCH($H73,$N$7:$N$19,0)))</f>
        <v>Not tracked — no dates yet</v>
      </c>
      <c r="J73" t="str">
        <f>IF('Dev Tracker (IT)'!R70="","",'Dev Tracker (IT)'!R70)</f>
        <v/>
      </c>
      <c r="K73" t="str">
        <f ca="1">IF('Dev Tracker (IT)'!S70="","",'Dev Tracker (IT)'!S70)</f>
        <v/>
      </c>
    </row>
    <row r="74" spans="1:11">
      <c r="A74">
        <f>IF($B74="","",COUNTA($B$7:$B74))</f>
        <v>68</v>
      </c>
      <c r="B74" t="str">
        <f>IF('Dev Tracker (IT)'!C71="","",'Dev Tracker (IT)'!C71)</f>
        <v>Prime Travel</v>
      </c>
      <c r="C74" t="str">
        <f>IF('Dev Tracker (IT)'!B71="","",SUBSTITUTE('Dev Tracker (IT)'!B71,CHAR(10)," "))</f>
        <v>3rd Party Hotel</v>
      </c>
      <c r="D74" t="str">
        <f>IF('Dev Tracker (IT)'!J71="","",'Dev Tracker (IT)'!J71)</f>
        <v>Contact</v>
      </c>
      <c r="E74" t="str">
        <f>IF('Dev Tracker (IT)'!G71="","",IF(ISNUMBER(SEARCH("OHMY",'Dev Tracker (IT)'!G71)),IF(LEN('Dev Tracker (IT)'!G71)&gt;5,"OMH + Partner","OMH (in-house)"),"Partner"))</f>
        <v>Partner</v>
      </c>
      <c r="F74" t="str">
        <f>IF('Dev Tracker (IT)'!D71="","",IF(ISNUMBER(SEARCH("OMH API",'Dev Tracker (IT)'!D71)),"They call our API","We build to their API"))</f>
        <v>We build to their API</v>
      </c>
      <c r="G74" t="str">
        <f>IF('Dev Tracker (IT)'!C71="","",IF('Dev Tracker (IT)'!E71="","Not set",'Dev Tracker (IT)'!E71))</f>
        <v>Not set</v>
      </c>
      <c r="H74">
        <f>IF('Dev Tracker (IT)'!N71="","",'Dev Tracker (IT)'!N71)</f>
        <v>0</v>
      </c>
      <c r="I74" t="str">
        <f>IF($H74="","",INDEX($O$7:$O$19,MATCH($H74,$N$7:$N$19,0)))</f>
        <v>Not tracked — no dates yet</v>
      </c>
      <c r="J74" t="str">
        <f>IF('Dev Tracker (IT)'!R71="","",'Dev Tracker (IT)'!R71)</f>
        <v/>
      </c>
      <c r="K74" t="str">
        <f ca="1">IF('Dev Tracker (IT)'!S71="","",'Dev Tracker (IT)'!S71)</f>
        <v/>
      </c>
    </row>
    <row r="75" spans="1:11">
      <c r="A75">
        <f>IF($B75="","",COUNTA($B$7:$B75))</f>
        <v>69</v>
      </c>
      <c r="B75" t="str">
        <f>IF('Dev Tracker (IT)'!C72="","",'Dev Tracker (IT)'!C72)</f>
        <v>MG Group</v>
      </c>
      <c r="C75" t="str">
        <f>IF('Dev Tracker (IT)'!B72="","",SUBSTITUTE('Dev Tracker (IT)'!B72,CHAR(10)," "))</f>
        <v>3rd Party Hotel</v>
      </c>
      <c r="D75" t="str">
        <f>IF('Dev Tracker (IT)'!J72="","",'Dev Tracker (IT)'!J72)</f>
        <v>NDA/Contract</v>
      </c>
      <c r="E75" t="str">
        <f>IF('Dev Tracker (IT)'!G72="","",IF(ISNUMBER(SEARCH("OHMY",'Dev Tracker (IT)'!G72)),IF(LEN('Dev Tracker (IT)'!G72)&gt;5,"OMH + Partner","OMH (in-house)"),"Partner"))</f>
        <v>Partner</v>
      </c>
      <c r="F75" t="str">
        <f>IF('Dev Tracker (IT)'!D72="","",IF(ISNUMBER(SEARCH("OMH API",'Dev Tracker (IT)'!D72)),"They call our API","We build to their API"))</f>
        <v>We build to their API</v>
      </c>
      <c r="G75" t="str">
        <f>IF('Dev Tracker (IT)'!C72="","",IF('Dev Tracker (IT)'!E72="","Not set",'Dev Tracker (IT)'!E72))</f>
        <v>Not set</v>
      </c>
      <c r="H75">
        <f>IF('Dev Tracker (IT)'!N72="","",'Dev Tracker (IT)'!N72)</f>
        <v>0</v>
      </c>
      <c r="I75" t="str">
        <f>IF($H75="","",INDEX($O$7:$O$19,MATCH($H75,$N$7:$N$19,0)))</f>
        <v>Not tracked — no dates yet</v>
      </c>
      <c r="J75" t="str">
        <f>IF('Dev Tracker (IT)'!R72="","",'Dev Tracker (IT)'!R72)</f>
        <v/>
      </c>
      <c r="K75" t="str">
        <f ca="1">IF('Dev Tracker (IT)'!S72="","",'Dev Tracker (IT)'!S72)</f>
        <v/>
      </c>
    </row>
    <row r="76" spans="1:11">
      <c r="A76">
        <f>IF($B76="","",COUNTA($B$7:$B76))</f>
        <v>70</v>
      </c>
      <c r="B76" t="str">
        <f>IF('Dev Tracker (IT)'!C73="","",'Dev Tracker (IT)'!C73)</f>
        <v>Welcomebeds</v>
      </c>
      <c r="C76" t="str">
        <f>IF('Dev Tracker (IT)'!B73="","",SUBSTITUTE('Dev Tracker (IT)'!B73,CHAR(10)," "))</f>
        <v>3rd Party Hotel</v>
      </c>
      <c r="D76" t="str">
        <f>IF('Dev Tracker (IT)'!J73="","",'Dev Tracker (IT)'!J73)</f>
        <v>Contact</v>
      </c>
      <c r="E76" t="str">
        <f>IF('Dev Tracker (IT)'!G73="","",IF(ISNUMBER(SEARCH("OHMY",'Dev Tracker (IT)'!G73)),IF(LEN('Dev Tracker (IT)'!G73)&gt;5,"OMH + Partner","OMH (in-house)"),"Partner"))</f>
        <v>Partner</v>
      </c>
      <c r="F76" t="str">
        <f>IF('Dev Tracker (IT)'!D73="","",IF(ISNUMBER(SEARCH("OMH API",'Dev Tracker (IT)'!D73)),"They call our API","We build to their API"))</f>
        <v>We build to their API</v>
      </c>
      <c r="G76" t="str">
        <f>IF('Dev Tracker (IT)'!C73="","",IF('Dev Tracker (IT)'!E73="","Not set",'Dev Tracker (IT)'!E73))</f>
        <v>Not set</v>
      </c>
      <c r="H76">
        <f>IF('Dev Tracker (IT)'!N73="","",'Dev Tracker (IT)'!N73)</f>
        <v>0</v>
      </c>
      <c r="I76" t="str">
        <f>IF($H76="","",INDEX($O$7:$O$19,MATCH($H76,$N$7:$N$19,0)))</f>
        <v>Not tracked — no dates yet</v>
      </c>
      <c r="J76" t="str">
        <f>IF('Dev Tracker (IT)'!R73="","",'Dev Tracker (IT)'!R73)</f>
        <v/>
      </c>
      <c r="K76" t="str">
        <f ca="1">IF('Dev Tracker (IT)'!S73="","",'Dev Tracker (IT)'!S73)</f>
        <v/>
      </c>
    </row>
    <row r="77" spans="1:11">
      <c r="A77">
        <f>IF($B77="","",COUNTA($B$7:$B77))</f>
        <v>71</v>
      </c>
      <c r="B77" t="str">
        <f>IF('Dev Tracker (IT)'!C74="","",'Dev Tracker (IT)'!C74)</f>
        <v>G2 Travel</v>
      </c>
      <c r="C77" t="str">
        <f>IF('Dev Tracker (IT)'!B74="","",SUBSTITUTE('Dev Tracker (IT)'!B74,CHAR(10)," "))</f>
        <v>3rd Party Hotel</v>
      </c>
      <c r="D77" t="str">
        <f>IF('Dev Tracker (IT)'!J74="","",'Dev Tracker (IT)'!J74)</f>
        <v>NDA/Contract</v>
      </c>
      <c r="E77" t="str">
        <f>IF('Dev Tracker (IT)'!G74="","",IF(ISNUMBER(SEARCH("OHMY",'Dev Tracker (IT)'!G74)),IF(LEN('Dev Tracker (IT)'!G74)&gt;5,"OMH + Partner","OMH (in-house)"),"Partner"))</f>
        <v>OMH (in-house)</v>
      </c>
      <c r="F77" t="str">
        <f>IF('Dev Tracker (IT)'!D74="","",IF(ISNUMBER(SEARCH("OMH API",'Dev Tracker (IT)'!D74)),"They call our API","We build to their API"))</f>
        <v>We build to their API</v>
      </c>
      <c r="G77" t="str">
        <f>IF('Dev Tracker (IT)'!C74="","",IF('Dev Tracker (IT)'!E74="","Not set",'Dev Tracker (IT)'!E74))</f>
        <v>Not set</v>
      </c>
      <c r="H77">
        <f>IF('Dev Tracker (IT)'!N74="","",'Dev Tracker (IT)'!N74)</f>
        <v>0</v>
      </c>
      <c r="I77" t="str">
        <f>IF($H77="","",INDEX($O$7:$O$19,MATCH($H77,$N$7:$N$19,0)))</f>
        <v>Not tracked — no dates yet</v>
      </c>
      <c r="J77" t="str">
        <f>IF('Dev Tracker (IT)'!R74="","",'Dev Tracker (IT)'!R74)</f>
        <v/>
      </c>
      <c r="K77" t="str">
        <f ca="1">IF('Dev Tracker (IT)'!S74="","",'Dev Tracker (IT)'!S74)</f>
        <v/>
      </c>
    </row>
    <row r="78" spans="1:11">
      <c r="A78">
        <f>IF($B78="","",COUNTA($B$7:$B78))</f>
        <v>72</v>
      </c>
      <c r="B78" t="str">
        <f>IF('Dev Tracker (IT)'!C75="","",'Dev Tracker (IT)'!C75)</f>
        <v>Go Global</v>
      </c>
      <c r="C78" t="str">
        <f>IF('Dev Tracker (IT)'!B75="","",SUBSTITUTE('Dev Tracker (IT)'!B75,CHAR(10)," "))</f>
        <v>3rd Party Hotel</v>
      </c>
      <c r="D78" t="str">
        <f>IF('Dev Tracker (IT)'!J75="","",'Dev Tracker (IT)'!J75)</f>
        <v>NDA/Contract</v>
      </c>
      <c r="E78" t="str">
        <f>IF('Dev Tracker (IT)'!G75="","",IF(ISNUMBER(SEARCH("OHMY",'Dev Tracker (IT)'!G75)),IF(LEN('Dev Tracker (IT)'!G75)&gt;5,"OMH + Partner","OMH (in-house)"),"Partner"))</f>
        <v>OMH (in-house)</v>
      </c>
      <c r="F78" t="str">
        <f>IF('Dev Tracker (IT)'!D75="","",IF(ISNUMBER(SEARCH("OMH API",'Dev Tracker (IT)'!D75)),"They call our API","We build to their API"))</f>
        <v>We build to their API</v>
      </c>
      <c r="G78" t="str">
        <f>IF('Dev Tracker (IT)'!C75="","",IF('Dev Tracker (IT)'!E75="","Not set",'Dev Tracker (IT)'!E75))</f>
        <v>Not set</v>
      </c>
      <c r="H78">
        <f>IF('Dev Tracker (IT)'!N75="","",'Dev Tracker (IT)'!N75)</f>
        <v>0</v>
      </c>
      <c r="I78" t="str">
        <f>IF($H78="","",INDEX($O$7:$O$19,MATCH($H78,$N$7:$N$19,0)))</f>
        <v>Not tracked — no dates yet</v>
      </c>
      <c r="J78" t="str">
        <f>IF('Dev Tracker (IT)'!R75="","",'Dev Tracker (IT)'!R75)</f>
        <v/>
      </c>
      <c r="K78" t="str">
        <f ca="1">IF('Dev Tracker (IT)'!S75="","",'Dev Tracker (IT)'!S75)</f>
        <v/>
      </c>
    </row>
    <row r="79" spans="1:11">
      <c r="A79">
        <f>IF($B79="","",COUNTA($B$7:$B79))</f>
        <v>73</v>
      </c>
      <c r="B79" t="str">
        <f>IF('Dev Tracker (IT)'!C76="","",'Dev Tracker (IT)'!C76)</f>
        <v>Miki</v>
      </c>
      <c r="C79" t="str">
        <f>IF('Dev Tracker (IT)'!B76="","",SUBSTITUTE('Dev Tracker (IT)'!B76,CHAR(10)," "))</f>
        <v>3rd Party Hotel</v>
      </c>
      <c r="D79" t="str">
        <f>IF('Dev Tracker (IT)'!J76="","",'Dev Tracker (IT)'!J76)</f>
        <v>Contact</v>
      </c>
      <c r="E79" t="str">
        <f>IF('Dev Tracker (IT)'!G76="","",IF(ISNUMBER(SEARCH("OHMY",'Dev Tracker (IT)'!G76)),IF(LEN('Dev Tracker (IT)'!G76)&gt;5,"OMH + Partner","OMH (in-house)"),"Partner"))</f>
        <v>OMH (in-house)</v>
      </c>
      <c r="F79" t="str">
        <f>IF('Dev Tracker (IT)'!D76="","",IF(ISNUMBER(SEARCH("OMH API",'Dev Tracker (IT)'!D76)),"They call our API","We build to their API"))</f>
        <v>We build to their API</v>
      </c>
      <c r="G79" t="str">
        <f>IF('Dev Tracker (IT)'!C76="","",IF('Dev Tracker (IT)'!E76="","Not set",'Dev Tracker (IT)'!E76))</f>
        <v>Not set</v>
      </c>
      <c r="H79">
        <f>IF('Dev Tracker (IT)'!N76="","",'Dev Tracker (IT)'!N76)</f>
        <v>0</v>
      </c>
      <c r="I79" t="str">
        <f>IF($H79="","",INDEX($O$7:$O$19,MATCH($H79,$N$7:$N$19,0)))</f>
        <v>Not tracked — no dates yet</v>
      </c>
      <c r="J79" t="str">
        <f>IF('Dev Tracker (IT)'!R76="","",'Dev Tracker (IT)'!R76)</f>
        <v/>
      </c>
      <c r="K79" t="str">
        <f ca="1">IF('Dev Tracker (IT)'!S76="","",'Dev Tracker (IT)'!S76)</f>
        <v/>
      </c>
    </row>
    <row r="80" spans="1:11">
      <c r="A80">
        <f>IF($B80="","",COUNTA($B$7:$B80))</f>
        <v>74</v>
      </c>
      <c r="B80" t="str">
        <f>IF('Dev Tracker (IT)'!C77="","",'Dev Tracker (IT)'!C77)</f>
        <v>Accomy</v>
      </c>
      <c r="C80" t="str">
        <f>IF('Dev Tracker (IT)'!B77="","",SUBSTITUTE('Dev Tracker (IT)'!B77,CHAR(10)," "))</f>
        <v>3rd Party Hotel</v>
      </c>
      <c r="D80" t="str">
        <f>IF('Dev Tracker (IT)'!J77="","",'Dev Tracker (IT)'!J77)</f>
        <v>Contact</v>
      </c>
      <c r="E80" t="str">
        <f>IF('Dev Tracker (IT)'!G77="","",IF(ISNUMBER(SEARCH("OHMY",'Dev Tracker (IT)'!G77)),IF(LEN('Dev Tracker (IT)'!G77)&gt;5,"OMH + Partner","OMH (in-house)"),"Partner"))</f>
        <v>OMH (in-house)</v>
      </c>
      <c r="F80" t="str">
        <f>IF('Dev Tracker (IT)'!D77="","",IF(ISNUMBER(SEARCH("OMH API",'Dev Tracker (IT)'!D77)),"They call our API","We build to their API"))</f>
        <v>We build to their API</v>
      </c>
      <c r="G80" t="str">
        <f>IF('Dev Tracker (IT)'!C77="","",IF('Dev Tracker (IT)'!E77="","Not set",'Dev Tracker (IT)'!E77))</f>
        <v>Not set</v>
      </c>
      <c r="H80">
        <f>IF('Dev Tracker (IT)'!N77="","",'Dev Tracker (IT)'!N77)</f>
        <v>0.1</v>
      </c>
      <c r="I80" t="str">
        <f>IF($H80="","",INDEX($O$7:$O$19,MATCH($H80,$N$7:$N$19,0)))</f>
        <v>1. Meeting / 1st contact</v>
      </c>
      <c r="J80">
        <f>IF('Dev Tracker (IT)'!R77="","",'Dev Tracker (IT)'!R77)</f>
        <v>45912</v>
      </c>
      <c r="K80">
        <f ca="1">IF('Dev Tracker (IT)'!S77="","",'Dev Tracker (IT)'!S77)</f>
        <v>337</v>
      </c>
    </row>
    <row r="81" spans="1:11">
      <c r="A81">
        <f>IF($B81="","",COUNTA($B$7:$B81))</f>
        <v>75</v>
      </c>
      <c r="B81" t="str">
        <f>IF('Dev Tracker (IT)'!C78="","",'Dev Tracker (IT)'!C78)</f>
        <v>ABC Travel</v>
      </c>
      <c r="C81" t="str">
        <f>IF('Dev Tracker (IT)'!B78="","",SUBSTITUTE('Dev Tracker (IT)'!B78,CHAR(10)," "))</f>
        <v>3rd Party Hotel</v>
      </c>
      <c r="D81" t="str">
        <f>IF('Dev Tracker (IT)'!J78="","",'Dev Tracker (IT)'!J78)</f>
        <v>Contact</v>
      </c>
      <c r="E81" t="str">
        <f>IF('Dev Tracker (IT)'!G78="","",IF(ISNUMBER(SEARCH("OHMY",'Dev Tracker (IT)'!G78)),IF(LEN('Dev Tracker (IT)'!G78)&gt;5,"OMH + Partner","OMH (in-house)"),"Partner"))</f>
        <v>OMH (in-house)</v>
      </c>
      <c r="F81" t="str">
        <f>IF('Dev Tracker (IT)'!D78="","",IF(ISNUMBER(SEARCH("OMH API",'Dev Tracker (IT)'!D78)),"They call our API","We build to their API"))</f>
        <v>We build to their API</v>
      </c>
      <c r="G81" t="str">
        <f>IF('Dev Tracker (IT)'!C78="","",IF('Dev Tracker (IT)'!E78="","Not set",'Dev Tracker (IT)'!E78))</f>
        <v>Not set</v>
      </c>
      <c r="H81">
        <f>IF('Dev Tracker (IT)'!N78="","",'Dev Tracker (IT)'!N78)</f>
        <v>0</v>
      </c>
      <c r="I81" t="str">
        <f>IF($H81="","",INDEX($O$7:$O$19,MATCH($H81,$N$7:$N$19,0)))</f>
        <v>Not tracked — no dates yet</v>
      </c>
      <c r="J81" t="str">
        <f>IF('Dev Tracker (IT)'!R78="","",'Dev Tracker (IT)'!R78)</f>
        <v/>
      </c>
      <c r="K81" t="str">
        <f ca="1">IF('Dev Tracker (IT)'!S78="","",'Dev Tracker (IT)'!S78)</f>
        <v/>
      </c>
    </row>
    <row r="82" spans="1:11">
      <c r="A82">
        <f>IF($B82="","",COUNTA($B$7:$B82))</f>
        <v>76</v>
      </c>
      <c r="B82" t="str">
        <f>IF('Dev Tracker (IT)'!C79="","",'Dev Tracker (IT)'!C79)</f>
        <v>Tiket.com</v>
      </c>
      <c r="C82" t="str">
        <f>IF('Dev Tracker (IT)'!B79="","",SUBSTITUTE('Dev Tracker (IT)'!B79,CHAR(10)," "))</f>
        <v>3rd Party Hotel</v>
      </c>
      <c r="D82" t="str">
        <f>IF('Dev Tracker (IT)'!J79="","",'Dev Tracker (IT)'!J79)</f>
        <v>NDA/Contract</v>
      </c>
      <c r="E82" t="str">
        <f>IF('Dev Tracker (IT)'!G79="","",IF(ISNUMBER(SEARCH("OHMY",'Dev Tracker (IT)'!G79)),IF(LEN('Dev Tracker (IT)'!G79)&gt;5,"OMH + Partner","OMH (in-house)"),"Partner"))</f>
        <v>OMH (in-house)</v>
      </c>
      <c r="F82" t="str">
        <f>IF('Dev Tracker (IT)'!D79="","",IF(ISNUMBER(SEARCH("OMH API",'Dev Tracker (IT)'!D79)),"They call our API","We build to their API"))</f>
        <v>We build to their API</v>
      </c>
      <c r="G82" t="str">
        <f>IF('Dev Tracker (IT)'!C79="","",IF('Dev Tracker (IT)'!E79="","Not set",'Dev Tracker (IT)'!E79))</f>
        <v>Not set</v>
      </c>
      <c r="H82">
        <f>IF('Dev Tracker (IT)'!N79="","",'Dev Tracker (IT)'!N79)</f>
        <v>0.1</v>
      </c>
      <c r="I82" t="str">
        <f>IF($H82="","",INDEX($O$7:$O$19,MATCH($H82,$N$7:$N$19,0)))</f>
        <v>1. Meeting / 1st contact</v>
      </c>
      <c r="J82">
        <f>IF('Dev Tracker (IT)'!R79="","",'Dev Tracker (IT)'!R79)</f>
        <v>45946</v>
      </c>
      <c r="K82">
        <f ca="1">IF('Dev Tracker (IT)'!S79="","",'Dev Tracker (IT)'!S79)</f>
        <v>303</v>
      </c>
    </row>
    <row r="83" spans="1:11">
      <c r="A83">
        <f>IF($B83="","",COUNTA($B$7:$B83))</f>
        <v>77</v>
      </c>
      <c r="B83" t="str">
        <f>IF('Dev Tracker (IT)'!C80="","",'Dev Tracker (IT)'!C80)</f>
        <v>JTR</v>
      </c>
      <c r="C83" t="str">
        <f>IF('Dev Tracker (IT)'!B80="","",SUBSTITUTE('Dev Tracker (IT)'!B80,CHAR(10)," "))</f>
        <v>3rd Party Activity</v>
      </c>
      <c r="D83" t="str">
        <f>IF('Dev Tracker (IT)'!J80="","",'Dev Tracker (IT)'!J80)</f>
        <v>In Development</v>
      </c>
      <c r="E83" t="str">
        <f>IF('Dev Tracker (IT)'!G80="","",IF(ISNUMBER(SEARCH("OHMY",'Dev Tracker (IT)'!G80)),IF(LEN('Dev Tracker (IT)'!G80)&gt;5,"OMH + Partner","OMH (in-house)"),"Partner"))</f>
        <v>OMH (in-house)</v>
      </c>
      <c r="F83" t="str">
        <f>IF('Dev Tracker (IT)'!D80="","",IF(ISNUMBER(SEARCH("OMH API",'Dev Tracker (IT)'!D80)),"They call our API","We build to their API"))</f>
        <v>We build to their API</v>
      </c>
      <c r="G83" t="str">
        <f>IF('Dev Tracker (IT)'!C80="","",IF('Dev Tracker (IT)'!E80="","Not set",'Dev Tracker (IT)'!E80))</f>
        <v>Not set</v>
      </c>
      <c r="H83">
        <f>IF('Dev Tracker (IT)'!N80="","",'Dev Tracker (IT)'!N80)</f>
        <v>0</v>
      </c>
      <c r="I83" t="str">
        <f>IF($H83="","",INDEX($O$7:$O$19,MATCH($H83,$N$7:$N$19,0)))</f>
        <v>Not tracked — no dates yet</v>
      </c>
      <c r="J83" t="str">
        <f>IF('Dev Tracker (IT)'!R80="","",'Dev Tracker (IT)'!R80)</f>
        <v/>
      </c>
      <c r="K83" t="str">
        <f ca="1">IF('Dev Tracker (IT)'!S80="","",'Dev Tracker (IT)'!S80)</f>
        <v/>
      </c>
    </row>
    <row r="84" spans="1:11">
      <c r="A84">
        <f>IF($B84="","",COUNTA($B$7:$B84))</f>
        <v>78</v>
      </c>
      <c r="B84" t="str">
        <f>IF('Dev Tracker (IT)'!C81="","",'Dev Tracker (IT)'!C81)</f>
        <v>Linktivity</v>
      </c>
      <c r="C84" t="str">
        <f>IF('Dev Tracker (IT)'!B81="","",SUBSTITUTE('Dev Tracker (IT)'!B81,CHAR(10)," "))</f>
        <v>3rd Party Activity</v>
      </c>
      <c r="D84" t="str">
        <f>IF('Dev Tracker (IT)'!J81="","",'Dev Tracker (IT)'!J81)</f>
        <v>Contact</v>
      </c>
      <c r="E84" t="str">
        <f>IF('Dev Tracker (IT)'!G81="","",IF(ISNUMBER(SEARCH("OHMY",'Dev Tracker (IT)'!G81)),IF(LEN('Dev Tracker (IT)'!G81)&gt;5,"OMH + Partner","OMH (in-house)"),"Partner"))</f>
        <v>OMH (in-house)</v>
      </c>
      <c r="F84" t="str">
        <f>IF('Dev Tracker (IT)'!D81="","",IF(ISNUMBER(SEARCH("OMH API",'Dev Tracker (IT)'!D81)),"They call our API","We build to their API"))</f>
        <v>We build to their API</v>
      </c>
      <c r="G84" t="str">
        <f>IF('Dev Tracker (IT)'!C81="","",IF('Dev Tracker (IT)'!E81="","Not set",'Dev Tracker (IT)'!E81))</f>
        <v>Not set</v>
      </c>
      <c r="H84">
        <f>IF('Dev Tracker (IT)'!N81="","",'Dev Tracker (IT)'!N81)</f>
        <v>0</v>
      </c>
      <c r="I84" t="str">
        <f>IF($H84="","",INDEX($O$7:$O$19,MATCH($H84,$N$7:$N$19,0)))</f>
        <v>Not tracked — no dates yet</v>
      </c>
      <c r="J84" t="str">
        <f>IF('Dev Tracker (IT)'!R81="","",'Dev Tracker (IT)'!R81)</f>
        <v/>
      </c>
      <c r="K84" t="str">
        <f ca="1">IF('Dev Tracker (IT)'!S81="","",'Dev Tracker (IT)'!S81)</f>
        <v/>
      </c>
    </row>
    <row r="85" spans="1:11">
      <c r="A85">
        <f>IF($B85="","",COUNTA($B$7:$B85))</f>
        <v>79</v>
      </c>
      <c r="B85" t="str">
        <f>IF('Dev Tracker (IT)'!C82="","",'Dev Tracker (IT)'!C82)</f>
        <v>Toto booking</v>
      </c>
      <c r="C85" t="str">
        <f>IF('Dev Tracker (IT)'!B82="","",SUBSTITUTE('Dev Tracker (IT)'!B82,CHAR(10)," "))</f>
        <v>3rd Party Activity</v>
      </c>
      <c r="D85" t="str">
        <f>IF('Dev Tracker (IT)'!J82="","",'Dev Tracker (IT)'!J82)</f>
        <v>Contact</v>
      </c>
      <c r="E85" t="str">
        <f>IF('Dev Tracker (IT)'!G82="","",IF(ISNUMBER(SEARCH("OHMY",'Dev Tracker (IT)'!G82)),IF(LEN('Dev Tracker (IT)'!G82)&gt;5,"OMH + Partner","OMH (in-house)"),"Partner"))</f>
        <v>OMH (in-house)</v>
      </c>
      <c r="F85" t="str">
        <f>IF('Dev Tracker (IT)'!D82="","",IF(ISNUMBER(SEARCH("OMH API",'Dev Tracker (IT)'!D82)),"They call our API","We build to their API"))</f>
        <v>We build to their API</v>
      </c>
      <c r="G85" t="str">
        <f>IF('Dev Tracker (IT)'!C82="","",IF('Dev Tracker (IT)'!E82="","Not set",'Dev Tracker (IT)'!E82))</f>
        <v>Not set</v>
      </c>
      <c r="H85">
        <f>IF('Dev Tracker (IT)'!N82="","",'Dev Tracker (IT)'!N82)</f>
        <v>0</v>
      </c>
      <c r="I85" t="str">
        <f>IF($H85="","",INDEX($O$7:$O$19,MATCH($H85,$N$7:$N$19,0)))</f>
        <v>Not tracked — no dates yet</v>
      </c>
      <c r="J85" t="str">
        <f>IF('Dev Tracker (IT)'!R82="","",'Dev Tracker (IT)'!R82)</f>
        <v/>
      </c>
      <c r="K85" t="str">
        <f ca="1">IF('Dev Tracker (IT)'!S82="","",'Dev Tracker (IT)'!S82)</f>
        <v/>
      </c>
    </row>
  </sheetData>
  <mergeCells count="14">
    <mergeCell ref="A1:K1"/>
    <mergeCell ref="A2:K2"/>
    <mergeCell ref="A3:B3"/>
    <mergeCell ref="A4:B4"/>
    <mergeCell ref="C3:D3"/>
    <mergeCell ref="C4:D4"/>
    <mergeCell ref="E3:F3"/>
    <mergeCell ref="E4:F4"/>
    <mergeCell ref="G3:H3"/>
    <mergeCell ref="G4:H4"/>
    <mergeCell ref="I3:J3"/>
    <mergeCell ref="I4:J4"/>
    <mergeCell ref="K3:L3"/>
    <mergeCell ref="K4:L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O38"/>
  <sheetViews>
    <sheetView workbookViewId="0">
      <pane xSplit="2" ySplit="2" topLeftCell="C7" activePane="bottomRight" state="frozen"/>
      <selection pane="bottomRight" activeCell="C12" sqref="C12"/>
      <selection pane="bottomLeft"/>
      <selection pane="topRight"/>
    </sheetView>
  </sheetViews>
  <sheetFormatPr defaultRowHeight="17.100000000000001"/>
  <cols>
    <col min="1" max="1" width="19" customWidth="1"/>
    <col min="2" max="2" width="20" customWidth="1"/>
    <col min="3" max="14" width="23.875" customWidth="1"/>
  </cols>
  <sheetData>
    <row r="1" spans="1:15" ht="36">
      <c r="A1" s="494" t="s">
        <v>84</v>
      </c>
      <c r="B1" s="494"/>
      <c r="C1" s="494"/>
      <c r="D1" s="494"/>
      <c r="E1" s="494"/>
      <c r="F1" s="494"/>
      <c r="G1" s="494"/>
      <c r="H1" s="236"/>
      <c r="I1" s="236"/>
      <c r="J1" s="236"/>
      <c r="K1" s="236"/>
      <c r="L1" s="236"/>
      <c r="M1" s="236"/>
      <c r="N1" s="237" t="s">
        <v>85</v>
      </c>
      <c r="O1" s="238"/>
    </row>
    <row r="2" spans="1:15" ht="21.75" customHeight="1">
      <c r="A2" s="239" t="s">
        <v>86</v>
      </c>
      <c r="B2" s="239" t="s">
        <v>87</v>
      </c>
      <c r="C2" s="239" t="s">
        <v>88</v>
      </c>
      <c r="D2" s="239" t="s">
        <v>89</v>
      </c>
      <c r="E2" s="239" t="s">
        <v>90</v>
      </c>
      <c r="F2" s="239" t="s">
        <v>91</v>
      </c>
      <c r="G2" s="239" t="s">
        <v>92</v>
      </c>
      <c r="H2" s="240" t="s">
        <v>93</v>
      </c>
      <c r="I2" s="240" t="s">
        <v>94</v>
      </c>
      <c r="J2" s="239" t="s">
        <v>95</v>
      </c>
      <c r="K2" s="239" t="s">
        <v>96</v>
      </c>
      <c r="L2" s="239" t="s">
        <v>97</v>
      </c>
      <c r="M2" s="239" t="s">
        <v>98</v>
      </c>
      <c r="N2" s="239" t="s">
        <v>99</v>
      </c>
      <c r="O2" s="238"/>
    </row>
    <row r="3" spans="1:15" ht="48" customHeight="1">
      <c r="A3" s="495" t="s">
        <v>100</v>
      </c>
      <c r="B3" s="496"/>
      <c r="C3" s="241"/>
      <c r="D3" s="241" t="s">
        <v>101</v>
      </c>
      <c r="E3" s="241" t="s">
        <v>102</v>
      </c>
      <c r="F3" s="241" t="s">
        <v>103</v>
      </c>
      <c r="G3" s="242"/>
      <c r="H3" s="497" t="s">
        <v>104</v>
      </c>
      <c r="I3" s="497"/>
      <c r="J3" s="244" t="s">
        <v>105</v>
      </c>
      <c r="K3" s="241"/>
      <c r="L3" s="241" t="s">
        <v>106</v>
      </c>
      <c r="M3" s="241"/>
      <c r="N3" s="241" t="s">
        <v>107</v>
      </c>
      <c r="O3" s="238"/>
    </row>
    <row r="4" spans="1:15" ht="72" customHeight="1">
      <c r="A4" s="498" t="s">
        <v>108</v>
      </c>
      <c r="B4" s="499"/>
      <c r="C4" s="241"/>
      <c r="D4" s="500" t="s">
        <v>109</v>
      </c>
      <c r="E4" s="501"/>
      <c r="F4" s="241" t="s">
        <v>110</v>
      </c>
      <c r="G4" s="242" t="s">
        <v>111</v>
      </c>
      <c r="H4" s="245"/>
      <c r="I4" s="245"/>
      <c r="J4" s="245"/>
      <c r="K4" s="246" t="s">
        <v>112</v>
      </c>
      <c r="L4" s="241"/>
      <c r="M4" s="241" t="s">
        <v>113</v>
      </c>
      <c r="N4" s="241"/>
      <c r="O4" s="238"/>
    </row>
    <row r="5" spans="1:15" ht="48" customHeight="1">
      <c r="A5" s="502" t="s">
        <v>114</v>
      </c>
      <c r="B5" s="503"/>
      <c r="C5" s="247" t="s">
        <v>115</v>
      </c>
      <c r="D5" s="248" t="s">
        <v>116</v>
      </c>
      <c r="E5" s="243" t="s">
        <v>117</v>
      </c>
      <c r="F5" s="244" t="s">
        <v>118</v>
      </c>
      <c r="G5" s="248"/>
      <c r="H5" s="243"/>
      <c r="I5" s="243"/>
      <c r="J5" s="243"/>
      <c r="K5" s="244" t="s">
        <v>119</v>
      </c>
      <c r="L5" s="247" t="s">
        <v>120</v>
      </c>
      <c r="M5" s="247" t="s">
        <v>121</v>
      </c>
      <c r="N5" s="247"/>
      <c r="O5" s="238"/>
    </row>
    <row r="6" spans="1:15" ht="24" customHeight="1">
      <c r="A6" s="504" t="s">
        <v>122</v>
      </c>
      <c r="B6" s="505"/>
      <c r="C6" s="249" t="s">
        <v>123</v>
      </c>
      <c r="D6" s="249" t="s">
        <v>124</v>
      </c>
      <c r="E6" s="249"/>
      <c r="F6" s="249" t="s">
        <v>125</v>
      </c>
      <c r="G6" s="249" t="s">
        <v>126</v>
      </c>
      <c r="H6" s="249"/>
      <c r="I6" s="249"/>
      <c r="J6" s="249" t="s">
        <v>123</v>
      </c>
      <c r="K6" s="249" t="s">
        <v>127</v>
      </c>
      <c r="L6" s="249"/>
      <c r="M6" s="249"/>
      <c r="N6" s="249" t="s">
        <v>123</v>
      </c>
      <c r="O6" s="238"/>
    </row>
    <row r="7" spans="1:15" ht="24" customHeight="1">
      <c r="A7" s="490" t="s">
        <v>128</v>
      </c>
      <c r="B7" s="491"/>
      <c r="C7" s="249"/>
      <c r="D7" s="249" t="s">
        <v>129</v>
      </c>
      <c r="E7" s="249"/>
      <c r="F7" s="249"/>
      <c r="G7" s="249"/>
      <c r="H7" s="249"/>
      <c r="I7" s="249"/>
      <c r="J7" s="249"/>
      <c r="K7" s="249"/>
      <c r="L7" s="249"/>
      <c r="M7" s="249"/>
      <c r="N7" s="249"/>
      <c r="O7" s="238"/>
    </row>
    <row r="8" spans="1:15" ht="24" customHeight="1">
      <c r="A8" s="492" t="s">
        <v>130</v>
      </c>
      <c r="B8" s="493"/>
      <c r="C8" s="249"/>
      <c r="D8" s="250"/>
      <c r="E8" s="250"/>
      <c r="F8" s="250"/>
      <c r="G8" s="250"/>
      <c r="H8" s="250"/>
      <c r="I8" s="250"/>
      <c r="J8" s="250"/>
      <c r="K8" s="250"/>
      <c r="L8" s="250"/>
      <c r="M8" s="249"/>
      <c r="N8" s="250"/>
      <c r="O8" s="238"/>
    </row>
    <row r="9" spans="1:15" ht="39.75" customHeight="1">
      <c r="A9" s="251" t="s">
        <v>131</v>
      </c>
      <c r="B9" s="251" t="s">
        <v>132</v>
      </c>
      <c r="C9" s="264" t="s">
        <v>133</v>
      </c>
      <c r="D9" s="262" t="s">
        <v>129</v>
      </c>
      <c r="E9" s="273" t="s">
        <v>134</v>
      </c>
      <c r="F9" s="274" t="s">
        <v>135</v>
      </c>
      <c r="G9" s="275" t="s">
        <v>136</v>
      </c>
      <c r="H9" s="276"/>
      <c r="I9" s="277" t="s">
        <v>137</v>
      </c>
      <c r="J9" s="261"/>
      <c r="K9" s="262" t="s">
        <v>138</v>
      </c>
      <c r="L9" s="278" t="s">
        <v>139</v>
      </c>
      <c r="M9" s="279" t="s">
        <v>140</v>
      </c>
      <c r="N9" s="278" t="s">
        <v>141</v>
      </c>
      <c r="O9" s="238"/>
    </row>
    <row r="10" spans="1:15" ht="39.75" customHeight="1">
      <c r="A10" s="251" t="s">
        <v>142</v>
      </c>
      <c r="B10" s="251" t="s">
        <v>143</v>
      </c>
      <c r="C10" s="262"/>
      <c r="D10" s="262"/>
      <c r="E10" s="262"/>
      <c r="F10" s="280"/>
      <c r="G10" s="281" t="s">
        <v>144</v>
      </c>
      <c r="H10" s="282" t="s">
        <v>145</v>
      </c>
      <c r="I10" s="258" t="s">
        <v>146</v>
      </c>
      <c r="J10" s="264" t="s">
        <v>147</v>
      </c>
      <c r="K10" s="262"/>
      <c r="L10" s="268"/>
      <c r="M10" s="283" t="s">
        <v>148</v>
      </c>
      <c r="N10" s="261"/>
      <c r="O10" s="238"/>
    </row>
    <row r="11" spans="1:15" ht="39.75" customHeight="1">
      <c r="A11" s="251" t="s">
        <v>149</v>
      </c>
      <c r="B11" s="251" t="s">
        <v>150</v>
      </c>
      <c r="C11" s="262"/>
      <c r="D11" s="255"/>
      <c r="E11" s="262"/>
      <c r="F11" s="262"/>
      <c r="G11" s="262"/>
      <c r="H11" s="263"/>
      <c r="I11" s="262"/>
      <c r="J11" s="265"/>
      <c r="K11" s="286" t="s">
        <v>151</v>
      </c>
      <c r="L11" s="267"/>
      <c r="M11" s="262"/>
      <c r="N11" s="262"/>
      <c r="O11" s="238"/>
    </row>
    <row r="12" spans="1:15" ht="39.75" customHeight="1">
      <c r="A12" s="251" t="s">
        <v>152</v>
      </c>
      <c r="B12" s="251" t="s">
        <v>153</v>
      </c>
      <c r="C12" s="264" t="s">
        <v>154</v>
      </c>
      <c r="D12" s="262"/>
      <c r="E12" s="262"/>
      <c r="F12" s="268"/>
      <c r="G12" s="269" t="s">
        <v>155</v>
      </c>
      <c r="H12" s="270"/>
      <c r="I12" s="271" t="s">
        <v>137</v>
      </c>
      <c r="J12" s="262"/>
      <c r="K12" s="272"/>
      <c r="L12" s="262"/>
      <c r="M12" s="262" t="s">
        <v>156</v>
      </c>
      <c r="N12" s="262"/>
      <c r="O12" s="238"/>
    </row>
    <row r="13" spans="1:15" ht="39.75" customHeight="1">
      <c r="A13" s="251" t="s">
        <v>157</v>
      </c>
      <c r="B13" s="251" t="s">
        <v>157</v>
      </c>
      <c r="C13" s="264" t="s">
        <v>154</v>
      </c>
      <c r="D13" s="262"/>
      <c r="E13" s="262"/>
      <c r="F13" s="262"/>
      <c r="G13" s="265"/>
      <c r="H13" s="290" t="s">
        <v>158</v>
      </c>
      <c r="I13" s="260" t="s">
        <v>137</v>
      </c>
      <c r="J13" s="262"/>
      <c r="K13" s="264" t="s">
        <v>159</v>
      </c>
      <c r="L13" s="255"/>
      <c r="M13" s="263"/>
      <c r="N13" s="262"/>
      <c r="O13" s="238"/>
    </row>
    <row r="14" spans="1:15" ht="39.75" customHeight="1">
      <c r="A14" s="251" t="s">
        <v>160</v>
      </c>
      <c r="B14" s="252" t="s">
        <v>161</v>
      </c>
      <c r="C14" s="259" t="s">
        <v>162</v>
      </c>
      <c r="D14" s="260" t="s">
        <v>163</v>
      </c>
      <c r="E14" s="261"/>
      <c r="F14" s="262"/>
      <c r="G14" s="263"/>
      <c r="H14" s="262"/>
      <c r="I14" s="264" t="s">
        <v>164</v>
      </c>
      <c r="J14" s="262"/>
      <c r="K14" s="262"/>
      <c r="L14" s="262"/>
      <c r="M14" s="255"/>
      <c r="N14" s="262"/>
      <c r="O14" s="238"/>
    </row>
    <row r="15" spans="1:15" ht="39.75" customHeight="1">
      <c r="A15" s="251" t="s">
        <v>165</v>
      </c>
      <c r="B15" s="251" t="s">
        <v>166</v>
      </c>
      <c r="C15" s="262"/>
      <c r="D15" s="263"/>
      <c r="E15" s="265"/>
      <c r="F15" s="284" t="s">
        <v>167</v>
      </c>
      <c r="G15" s="261"/>
      <c r="H15" s="255"/>
      <c r="I15" s="262"/>
      <c r="J15" s="262"/>
      <c r="K15" s="268"/>
      <c r="L15" s="284" t="s">
        <v>168</v>
      </c>
      <c r="M15" s="258"/>
      <c r="N15" s="262"/>
      <c r="O15" s="238"/>
    </row>
    <row r="16" spans="1:15" ht="39.75" customHeight="1">
      <c r="A16" s="251" t="s">
        <v>169</v>
      </c>
      <c r="B16" s="252" t="s">
        <v>170</v>
      </c>
      <c r="C16" s="253" t="s">
        <v>171</v>
      </c>
      <c r="D16" s="254"/>
      <c r="E16" s="255" t="s">
        <v>172</v>
      </c>
      <c r="F16" s="255"/>
      <c r="G16" s="255"/>
      <c r="H16" s="255" t="s">
        <v>173</v>
      </c>
      <c r="I16" s="255"/>
      <c r="J16" s="255"/>
      <c r="K16" s="255"/>
      <c r="L16" s="256" t="s">
        <v>174</v>
      </c>
      <c r="M16" s="257"/>
      <c r="N16" s="258"/>
      <c r="O16" s="238"/>
    </row>
    <row r="17" spans="1:15" ht="39.75" customHeight="1">
      <c r="A17" s="251" t="s">
        <v>175</v>
      </c>
      <c r="B17" s="251" t="s">
        <v>176</v>
      </c>
      <c r="C17" s="262"/>
      <c r="D17" s="265"/>
      <c r="E17" s="293" t="s">
        <v>177</v>
      </c>
      <c r="F17" s="261"/>
      <c r="G17" s="255"/>
      <c r="H17" s="262"/>
      <c r="I17" s="265"/>
      <c r="J17" s="296" t="s">
        <v>178</v>
      </c>
      <c r="K17" s="293" t="s">
        <v>179</v>
      </c>
      <c r="L17" s="261"/>
      <c r="M17" s="262"/>
      <c r="N17" s="262"/>
      <c r="O17" s="238"/>
    </row>
    <row r="18" spans="1:15" ht="39.75" customHeight="1">
      <c r="A18" s="251" t="s">
        <v>180</v>
      </c>
      <c r="B18" s="251" t="s">
        <v>181</v>
      </c>
      <c r="C18" s="262"/>
      <c r="D18" s="262"/>
      <c r="E18" s="262"/>
      <c r="F18" s="262"/>
      <c r="G18" s="265"/>
      <c r="H18" s="287" t="s">
        <v>182</v>
      </c>
      <c r="I18" s="261"/>
      <c r="J18" s="262"/>
      <c r="K18" s="288"/>
      <c r="L18" s="289" t="s">
        <v>183</v>
      </c>
      <c r="M18" s="261"/>
      <c r="N18" s="262"/>
      <c r="O18" s="238"/>
    </row>
    <row r="19" spans="1:15" ht="39.75" customHeight="1">
      <c r="A19" s="251" t="s">
        <v>184</v>
      </c>
      <c r="B19" s="251" t="s">
        <v>185</v>
      </c>
      <c r="C19" s="262"/>
      <c r="D19" s="262"/>
      <c r="E19" s="263"/>
      <c r="F19" s="262"/>
      <c r="G19" s="292" t="s">
        <v>186</v>
      </c>
      <c r="H19" s="293" t="s">
        <v>187</v>
      </c>
      <c r="I19" s="261"/>
      <c r="J19" s="262"/>
      <c r="K19" s="263"/>
      <c r="L19" s="262"/>
      <c r="M19" s="255"/>
      <c r="N19" s="262"/>
      <c r="O19" s="238"/>
    </row>
    <row r="20" spans="1:15" ht="39.75" customHeight="1">
      <c r="A20" s="251" t="s">
        <v>188</v>
      </c>
      <c r="B20" s="251" t="s">
        <v>189</v>
      </c>
      <c r="C20" s="265" t="s">
        <v>190</v>
      </c>
      <c r="D20" s="284" t="s">
        <v>191</v>
      </c>
      <c r="E20" s="261"/>
      <c r="F20" s="255"/>
      <c r="G20" s="262"/>
      <c r="H20" s="262"/>
      <c r="I20" s="262"/>
      <c r="J20" s="265"/>
      <c r="K20" s="285" t="s">
        <v>192</v>
      </c>
      <c r="L20" s="258" t="s">
        <v>193</v>
      </c>
      <c r="M20" s="262"/>
      <c r="N20" s="262"/>
      <c r="O20" s="238"/>
    </row>
    <row r="21" spans="1:15" ht="39.75" customHeight="1">
      <c r="A21" s="251" t="s">
        <v>194</v>
      </c>
      <c r="B21" s="251" t="s">
        <v>195</v>
      </c>
      <c r="C21" s="262"/>
      <c r="D21" s="265"/>
      <c r="E21" s="286" t="s">
        <v>196</v>
      </c>
      <c r="F21" s="267"/>
      <c r="G21" s="262"/>
      <c r="H21" s="255"/>
      <c r="I21" s="262"/>
      <c r="J21" s="265"/>
      <c r="K21" s="293" t="s">
        <v>197</v>
      </c>
      <c r="L21" s="261"/>
      <c r="M21" s="262"/>
      <c r="N21" s="262"/>
      <c r="O21" s="238"/>
    </row>
    <row r="22" spans="1:15" ht="39.75" customHeight="1">
      <c r="A22" s="251" t="s">
        <v>198</v>
      </c>
      <c r="B22" s="251" t="s">
        <v>199</v>
      </c>
      <c r="C22" s="255"/>
      <c r="D22" s="255"/>
      <c r="E22" s="262"/>
      <c r="F22" s="265"/>
      <c r="G22" s="266" t="s">
        <v>200</v>
      </c>
      <c r="H22" s="267"/>
      <c r="I22" s="262"/>
      <c r="J22" s="262"/>
      <c r="K22" s="262"/>
      <c r="L22" s="262"/>
      <c r="M22" s="262"/>
      <c r="N22" s="262"/>
      <c r="O22" s="238"/>
    </row>
    <row r="23" spans="1:15" ht="39.75" customHeight="1">
      <c r="A23" s="251" t="s">
        <v>201</v>
      </c>
      <c r="B23" s="251" t="s">
        <v>202</v>
      </c>
      <c r="C23" s="255"/>
      <c r="D23" s="265"/>
      <c r="E23" s="293" t="s">
        <v>203</v>
      </c>
      <c r="F23" s="261"/>
      <c r="G23" s="262"/>
      <c r="H23" s="262"/>
      <c r="I23" s="262"/>
      <c r="J23" s="262"/>
      <c r="K23" s="262"/>
      <c r="L23" s="262"/>
      <c r="M23" s="263"/>
      <c r="N23" s="262"/>
      <c r="O23" s="238"/>
    </row>
    <row r="24" spans="1:15" ht="39.75" customHeight="1">
      <c r="A24" s="251" t="s">
        <v>204</v>
      </c>
      <c r="B24" s="251" t="s">
        <v>205</v>
      </c>
      <c r="C24" s="263"/>
      <c r="D24" s="265"/>
      <c r="E24" s="294" t="s">
        <v>206</v>
      </c>
      <c r="F24" s="293" t="s">
        <v>207</v>
      </c>
      <c r="G24" s="261"/>
      <c r="H24" s="262"/>
      <c r="I24" s="262"/>
      <c r="J24" s="262"/>
      <c r="K24" s="255"/>
      <c r="L24" s="262"/>
      <c r="M24" s="262"/>
      <c r="N24" s="262"/>
      <c r="O24" s="238"/>
    </row>
    <row r="25" spans="1:15" ht="39.75" customHeight="1">
      <c r="A25" s="251" t="s">
        <v>208</v>
      </c>
      <c r="B25" s="251" t="s">
        <v>209</v>
      </c>
      <c r="C25" s="262"/>
      <c r="D25" s="262"/>
      <c r="E25" s="263"/>
      <c r="F25" s="288"/>
      <c r="G25" s="293" t="s">
        <v>210</v>
      </c>
      <c r="H25" s="261"/>
      <c r="I25" s="262"/>
      <c r="J25" s="263"/>
      <c r="K25" s="263"/>
      <c r="L25" s="262" t="s">
        <v>211</v>
      </c>
      <c r="M25" s="262"/>
      <c r="N25" s="262"/>
      <c r="O25" s="238"/>
    </row>
    <row r="26" spans="1:15" ht="39.75" customHeight="1">
      <c r="A26" s="251" t="s">
        <v>212</v>
      </c>
      <c r="B26" s="251" t="s">
        <v>213</v>
      </c>
      <c r="C26" s="262"/>
      <c r="D26" s="262"/>
      <c r="E26" s="262"/>
      <c r="F26" s="262"/>
      <c r="G26" s="262"/>
      <c r="H26" s="280"/>
      <c r="I26" s="262"/>
      <c r="J26" s="262"/>
      <c r="K26" s="262"/>
      <c r="L26" s="265"/>
      <c r="M26" s="291" t="s">
        <v>214</v>
      </c>
      <c r="N26" s="261"/>
      <c r="O26" s="238"/>
    </row>
    <row r="27" spans="1:15" ht="39.75" customHeight="1">
      <c r="A27" s="251" t="s">
        <v>215</v>
      </c>
      <c r="B27" s="252" t="s">
        <v>216</v>
      </c>
      <c r="C27" s="286" t="s">
        <v>217</v>
      </c>
      <c r="D27" s="261"/>
      <c r="E27" s="280"/>
      <c r="F27" s="255"/>
      <c r="G27" s="262"/>
      <c r="H27" s="262"/>
      <c r="I27" s="262"/>
      <c r="J27" s="262"/>
      <c r="K27" s="262"/>
      <c r="L27" s="262"/>
      <c r="M27" s="262"/>
      <c r="N27" s="262"/>
      <c r="O27" s="238"/>
    </row>
    <row r="28" spans="1:15" ht="39.75" customHeight="1">
      <c r="A28" s="251" t="s">
        <v>218</v>
      </c>
      <c r="B28" s="251" t="s">
        <v>219</v>
      </c>
      <c r="C28" s="262" t="s">
        <v>220</v>
      </c>
      <c r="D28" s="262" t="s">
        <v>220</v>
      </c>
      <c r="E28" s="262" t="s">
        <v>220</v>
      </c>
      <c r="F28" s="295" t="s">
        <v>220</v>
      </c>
      <c r="G28" s="293" t="s">
        <v>221</v>
      </c>
      <c r="H28" s="261"/>
      <c r="I28" s="262"/>
      <c r="J28" s="262"/>
      <c r="K28" s="265"/>
      <c r="L28" s="293" t="s">
        <v>222</v>
      </c>
      <c r="M28" s="261"/>
      <c r="N28" s="262"/>
      <c r="O28" s="238"/>
    </row>
    <row r="29" spans="1:15" ht="39.75" customHeight="1">
      <c r="A29" s="251" t="s">
        <v>223</v>
      </c>
      <c r="B29" s="251" t="s">
        <v>224</v>
      </c>
      <c r="C29" s="262"/>
      <c r="D29" s="262"/>
      <c r="E29" s="255"/>
      <c r="F29" s="263"/>
      <c r="G29" s="262"/>
      <c r="H29" s="262"/>
      <c r="I29" s="262"/>
      <c r="J29" s="262"/>
      <c r="K29" s="262"/>
      <c r="L29" s="265"/>
      <c r="M29" s="293" t="s">
        <v>225</v>
      </c>
      <c r="N29" s="261"/>
      <c r="O29" s="238"/>
    </row>
    <row r="30" spans="1:15" ht="39.75" customHeight="1">
      <c r="A30" s="251" t="s">
        <v>226</v>
      </c>
      <c r="B30" s="251" t="s">
        <v>227</v>
      </c>
      <c r="C30" s="262"/>
      <c r="D30" s="262"/>
      <c r="E30" s="265"/>
      <c r="F30" s="293" t="s">
        <v>228</v>
      </c>
      <c r="G30" s="254"/>
      <c r="H30" s="262"/>
      <c r="I30" s="262"/>
      <c r="J30" s="262"/>
      <c r="K30" s="262"/>
      <c r="L30" s="255"/>
      <c r="M30" s="262"/>
      <c r="N30" s="262"/>
      <c r="O30" s="238"/>
    </row>
    <row r="31" spans="1:15" ht="39.75" customHeight="1">
      <c r="A31" s="251" t="s">
        <v>229</v>
      </c>
      <c r="B31" s="251" t="s">
        <v>230</v>
      </c>
      <c r="C31" s="262"/>
      <c r="D31" s="262"/>
      <c r="E31" s="265"/>
      <c r="F31" s="293" t="s">
        <v>231</v>
      </c>
      <c r="G31" s="267"/>
      <c r="H31" s="262"/>
      <c r="I31" s="262"/>
      <c r="J31" s="262"/>
      <c r="K31" s="262"/>
      <c r="L31" s="263"/>
      <c r="M31" s="255"/>
      <c r="N31" s="262"/>
      <c r="O31" s="238"/>
    </row>
    <row r="32" spans="1:15">
      <c r="A32" s="238"/>
      <c r="B32" s="238"/>
      <c r="C32" s="238"/>
      <c r="D32" s="238"/>
      <c r="E32" s="238"/>
      <c r="F32" s="238"/>
      <c r="G32" s="238"/>
      <c r="H32" s="238"/>
      <c r="I32" s="238"/>
      <c r="J32" s="238"/>
      <c r="K32" s="238"/>
      <c r="L32" s="238"/>
      <c r="M32" s="238"/>
      <c r="N32" s="238"/>
      <c r="O32" s="238"/>
    </row>
    <row r="33" spans="1:3" ht="17.45">
      <c r="A33" s="297" t="s">
        <v>232</v>
      </c>
      <c r="B33" s="322"/>
    </row>
    <row r="34" spans="1:3" ht="48">
      <c r="A34" s="298" t="s">
        <v>233</v>
      </c>
      <c r="B34" s="323" t="s">
        <v>234</v>
      </c>
    </row>
    <row r="35" spans="1:3" ht="32.1">
      <c r="A35" s="299" t="s">
        <v>235</v>
      </c>
      <c r="B35" s="323" t="s">
        <v>236</v>
      </c>
    </row>
    <row r="36" spans="1:3" ht="32.1">
      <c r="A36" s="300" t="s">
        <v>237</v>
      </c>
      <c r="B36" s="323" t="s">
        <v>238</v>
      </c>
    </row>
    <row r="37" spans="1:3" ht="111.95">
      <c r="A37" s="301" t="s">
        <v>239</v>
      </c>
      <c r="B37" s="323" t="s">
        <v>240</v>
      </c>
    </row>
    <row r="38" spans="1:3">
      <c r="C38" s="103"/>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66"/>
  <sheetViews>
    <sheetView workbookViewId="0">
      <pane ySplit="3" topLeftCell="A9" activePane="bottomLeft" state="frozen"/>
      <selection pane="bottomLeft" activeCell="G46" sqref="G46"/>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310" t="s">
        <v>241</v>
      </c>
      <c r="E1" s="309" t="s">
        <v>242</v>
      </c>
      <c r="F1" s="319" t="str">
        <f>COUNTIF(F4:F66,TRUE)&amp;" / "&amp;COUNTA(D4:D66)</f>
        <v>19 / 63</v>
      </c>
      <c r="G1" s="309" t="s">
        <v>243</v>
      </c>
      <c r="H1" s="320" t="str">
        <f>COUNTIF(G4:G66,TRUE)&amp;" / "&amp;COUNTA(D4:D66)</f>
        <v>19 / 63</v>
      </c>
    </row>
    <row r="3" spans="1:10">
      <c r="A3" s="311" t="s">
        <v>244</v>
      </c>
      <c r="B3" s="312" t="s">
        <v>86</v>
      </c>
      <c r="C3" s="312" t="s">
        <v>87</v>
      </c>
      <c r="D3" s="312" t="s">
        <v>245</v>
      </c>
      <c r="E3" s="312" t="s">
        <v>246</v>
      </c>
      <c r="F3" s="312" t="s">
        <v>242</v>
      </c>
      <c r="G3" s="312" t="s">
        <v>243</v>
      </c>
      <c r="H3" s="312" t="s">
        <v>247</v>
      </c>
      <c r="I3" s="312" t="s">
        <v>248</v>
      </c>
      <c r="J3" s="313" t="s">
        <v>239</v>
      </c>
    </row>
    <row r="4" spans="1:10">
      <c r="A4" s="314" t="str">
        <f>'트래블마트 통합'!C$2</f>
        <v>2026년 1월</v>
      </c>
      <c r="B4" s="315" t="str">
        <f>'트래블마트 통합'!$A9</f>
        <v>중국</v>
      </c>
      <c r="C4" s="315" t="str">
        <f>'트래블마트 통합'!$B9</f>
        <v>광동,화동,화북,내륙</v>
      </c>
      <c r="D4" s="316" t="str">
        <f>IFERROR(LEFT('트래블마트 통합'!C9,FIND(CHAR(10),'트래블마트 통합'!C9)-1),'트래블마트 통합'!C9)</f>
        <v>1차 세일즈콜</v>
      </c>
      <c r="E4" s="315" t="str">
        <f>IF(ISNUMBER(SEARCH("★★★",'트래블마트 통합'!C9)),"★★★",IF(ISNUMBER(SEARCH("★★",'트래블마트 통합'!C9)),"★★",IF(ISNUMBER(SEARCH("★",'트래블마트 통합'!C9)),"★","-")))</f>
        <v>-</v>
      </c>
      <c r="F4" s="317" t="b">
        <v>1</v>
      </c>
      <c r="G4" s="317" t="b">
        <v>1</v>
      </c>
      <c r="H4" s="315" t="str">
        <f t="shared" ref="H4:H35" si="0">IF(AND(F4,G4),"완료",IF(G4,"진행 완료",IF(F4,"참가 예정","미정")))</f>
        <v>완료</v>
      </c>
      <c r="I4" s="316" t="str">
        <f>'트래블마트 통합'!C9</f>
        <v>1차 세일즈콜
광저우, 심천</v>
      </c>
      <c r="J4" s="318"/>
    </row>
    <row r="5" spans="1:10">
      <c r="A5" s="314" t="str">
        <f>'트래블마트 통합'!C$2</f>
        <v>2026년 1월</v>
      </c>
      <c r="B5" s="315" t="str">
        <f>'트래블마트 통합'!$A12</f>
        <v>대만</v>
      </c>
      <c r="C5" s="315" t="str">
        <f>'트래블마트 통합'!$B12</f>
        <v>타이베이</v>
      </c>
      <c r="D5" s="316" t="str">
        <f>IFERROR(LEFT('트래블마트 통합'!C12,FIND(CHAR(10),'트래블마트 통합'!C12)-1),'트래블마트 통합'!C12)</f>
        <v>1차 세일즈 콜</v>
      </c>
      <c r="E5" s="315" t="str">
        <f>IF(ISNUMBER(SEARCH("★★★",'트래블마트 통합'!C12)),"★★★",IF(ISNUMBER(SEARCH("★★",'트래블마트 통합'!C12)),"★★",IF(ISNUMBER(SEARCH("★",'트래블마트 통합'!C12)),"★","-")))</f>
        <v>-</v>
      </c>
      <c r="F5" s="317" t="b">
        <v>1</v>
      </c>
      <c r="G5" s="317" t="b">
        <v>1</v>
      </c>
      <c r="H5" s="315" t="str">
        <f t="shared" si="0"/>
        <v>완료</v>
      </c>
      <c r="I5" s="316" t="str">
        <f>'트래블마트 통합'!C12</f>
        <v>1차 세일즈 콜
대만+홍콩</v>
      </c>
      <c r="J5" s="318"/>
    </row>
    <row r="6" spans="1:10">
      <c r="A6" s="314" t="str">
        <f>'트래블마트 통합'!C$2</f>
        <v>2026년 1월</v>
      </c>
      <c r="B6" s="315" t="str">
        <f>'트래블마트 통합'!$A13</f>
        <v>홍콩</v>
      </c>
      <c r="C6" s="315" t="str">
        <f>'트래블마트 통합'!$B13</f>
        <v>홍콩</v>
      </c>
      <c r="D6" s="316" t="str">
        <f>IFERROR(LEFT('트래블마트 통합'!C13,FIND(CHAR(10),'트래블마트 통합'!C13)-1),'트래블마트 통합'!C13)</f>
        <v>1차 세일즈 콜</v>
      </c>
      <c r="E6" s="315" t="str">
        <f>IF(ISNUMBER(SEARCH("★★★",'트래블마트 통합'!C13)),"★★★",IF(ISNUMBER(SEARCH("★★",'트래블마트 통합'!C13)),"★★",IF(ISNUMBER(SEARCH("★",'트래블마트 통합'!C13)),"★","-")))</f>
        <v>-</v>
      </c>
      <c r="F6" s="317" t="b">
        <v>1</v>
      </c>
      <c r="G6" s="317" t="b">
        <v>1</v>
      </c>
      <c r="H6" s="315" t="str">
        <f t="shared" si="0"/>
        <v>완료</v>
      </c>
      <c r="I6" s="316" t="str">
        <f>'트래블마트 통합'!C13</f>
        <v>1차 세일즈 콜
대만+홍콩</v>
      </c>
      <c r="J6" s="318"/>
    </row>
    <row r="7" spans="1:10">
      <c r="A7" s="314" t="str">
        <f>'트래블마트 통합'!C$2</f>
        <v>2026년 1월</v>
      </c>
      <c r="B7" s="315" t="str">
        <f>'트래블마트 통합'!$A14</f>
        <v>필리핀</v>
      </c>
      <c r="C7" s="315" t="str">
        <f>'트래블마트 통합'!$B14</f>
        <v>세부, 마닐라</v>
      </c>
      <c r="D7" s="316" t="str">
        <f>IFERROR(LEFT('트래블마트 통합'!C14,FIND(CHAR(10),'트래블마트 통합'!C14)-1),'트래블마트 통합'!C14)</f>
        <v>1/28–1/30 – ASEAN Tourism Forum + TRAVEX</v>
      </c>
      <c r="E7" s="315" t="str">
        <f>IF(ISNUMBER(SEARCH("★★★",'트래블마트 통합'!C14)),"★★★",IF(ISNUMBER(SEARCH("★★",'트래블마트 통합'!C14)),"★★",IF(ISNUMBER(SEARCH("★",'트래블마트 통합'!C14)),"★","-")))</f>
        <v>★★</v>
      </c>
      <c r="F7" s="317" t="b">
        <v>1</v>
      </c>
      <c r="G7" s="317" t="b">
        <v>1</v>
      </c>
      <c r="H7" s="315" t="str">
        <f t="shared" si="0"/>
        <v>완료</v>
      </c>
      <c r="I7" s="316" t="str">
        <f>'트래블마트 통합'!C14</f>
        <v>1/28–1/30 – ASEAN Tourism Forum + TRAVEX
[★★ 중간] ASEAN 10개국 공식 B2B, 관광청 네트워크 최강</v>
      </c>
      <c r="J7" s="318"/>
    </row>
    <row r="8" spans="1:10">
      <c r="A8" s="314" t="str">
        <f>'트래블마트 통합'!C$2</f>
        <v>2026년 1월</v>
      </c>
      <c r="B8" s="315" t="str">
        <f>'트래블마트 통합'!$A16</f>
        <v>태국</v>
      </c>
      <c r="C8" s="315" t="str">
        <f>'트래블마트 통합'!$B16</f>
        <v>방콕</v>
      </c>
      <c r="D8" s="316" t="str">
        <f>IFERROR(LEFT('트래블마트 통합'!C16,FIND(CHAR(10),'트래블마트 통합'!C16)-1),'트래블마트 통합'!C16)</f>
        <v>1/22–1/25 – Thai International Travel Fair</v>
      </c>
      <c r="E8" s="315" t="str">
        <f>IF(ISNUMBER(SEARCH("★★★",'트래블마트 통합'!C16)),"★★★",IF(ISNUMBER(SEARCH("★★",'트래블마트 통합'!C16)),"★★",IF(ISNUMBER(SEARCH("★",'트래블마트 통합'!C16)),"★","-")))</f>
        <v>★★★</v>
      </c>
      <c r="F8" s="317" t="b">
        <v>1</v>
      </c>
      <c r="G8" s="317" t="b">
        <v>1</v>
      </c>
      <c r="H8" s="315" t="str">
        <f t="shared" si="0"/>
        <v>완료</v>
      </c>
      <c r="I8" s="316" t="str">
        <f>'트래블마트 통합'!C16</f>
        <v>1/22–1/25 – Thai International Travel Fair
[★★★ 최우선] 태국 최대 B2B+B2C, 태국→한국·일본 outbound 중심</v>
      </c>
      <c r="J8" s="318"/>
    </row>
    <row r="9" spans="1:10">
      <c r="A9" s="314" t="str">
        <f>'트래블마트 통합'!C$2</f>
        <v>2026년 1월</v>
      </c>
      <c r="B9" s="315" t="str">
        <f>'트래블마트 통합'!$A20</f>
        <v>인도</v>
      </c>
      <c r="C9" s="315" t="str">
        <f>'트래블마트 통합'!$B20</f>
        <v>뭄바이
뉴델리</v>
      </c>
      <c r="D9" s="316" t="str">
        <f>IFERROR(LEFT('트래블마트 통합'!C20,FIND(CHAR(10),'트래블마트 통합'!C20)-1),'트래블마트 통합'!C20)</f>
        <v>OTM (Outbound Travel Mart, Mumbai)</v>
      </c>
      <c r="E9" s="315" t="str">
        <f>IF(ISNUMBER(SEARCH("★★★",'트래블마트 통합'!C20)),"★★★",IF(ISNUMBER(SEARCH("★★",'트래블마트 통합'!C20)),"★★",IF(ISNUMBER(SEARCH("★",'트래블마트 통합'!C20)),"★","-")))</f>
        <v>-</v>
      </c>
      <c r="F9" s="317" t="b">
        <v>1</v>
      </c>
      <c r="G9" s="317" t="b">
        <v>1</v>
      </c>
      <c r="H9" s="315" t="str">
        <f t="shared" si="0"/>
        <v>완료</v>
      </c>
      <c r="I9" s="316" t="str">
        <f>'트래블마트 통합'!C20</f>
        <v>OTM (Outbound Travel Mart, Mumbai)
5-7 Feb</v>
      </c>
      <c r="J9" s="318"/>
    </row>
    <row r="10" spans="1:10">
      <c r="A10" s="314" t="str">
        <f>'트래블마트 통합'!C$2</f>
        <v>2026년 1월</v>
      </c>
      <c r="B10" s="315" t="str">
        <f>'트래블마트 통합'!$A27</f>
        <v>스페인</v>
      </c>
      <c r="C10" s="315" t="str">
        <f>'트래블마트 통합'!$B27</f>
        <v>마드리드</v>
      </c>
      <c r="D10" s="316" t="str">
        <f>IFERROR(LEFT('트래블마트 통합'!C27,FIND(CHAR(10),'트래블마트 통합'!C27)-1),'트래블마트 통합'!C27)</f>
        <v>FITUR Madrid 2026</v>
      </c>
      <c r="E10" s="315" t="str">
        <f>IF(ISNUMBER(SEARCH("★★★",'트래블마트 통합'!C27)),"★★★",IF(ISNUMBER(SEARCH("★★",'트래블마트 통합'!C27)),"★★",IF(ISNUMBER(SEARCH("★",'트래블마트 통합'!C27)),"★","-")))</f>
        <v>★★</v>
      </c>
      <c r="F10" s="317" t="b">
        <v>0</v>
      </c>
      <c r="G10" s="317" t="b">
        <v>0</v>
      </c>
      <c r="H10" s="315" t="str">
        <f t="shared" si="0"/>
        <v>미정</v>
      </c>
      <c r="I10" s="316" t="str">
        <f>'트래블마트 통합'!C27</f>
        <v>FITUR Madrid 2026
1월 21일 ~ 25일
[★★ 중간] 세계 3대 관광박람회, 유럽·라틴 시장 핵심 B2B</v>
      </c>
      <c r="J10" s="318"/>
    </row>
    <row r="11" spans="1:10">
      <c r="A11" s="314" t="str">
        <f>'트래블마트 통합'!C$2</f>
        <v>2026년 1월</v>
      </c>
      <c r="B11" s="315" t="str">
        <f>'트래블마트 통합'!$A28</f>
        <v>미국</v>
      </c>
      <c r="C11" s="315" t="str">
        <f>'트래블마트 통합'!$B28</f>
        <v>플로리다주
뉴욕</v>
      </c>
      <c r="D11" s="316" t="str">
        <f>IFERROR(LEFT('트래블마트 통합'!C28,FIND(CHAR(10),'트래블마트 통합'!C28)-1),'트래블마트 통합'!C28)</f>
        <v>NYTTravel Show</v>
      </c>
      <c r="E11" s="315" t="str">
        <f>IF(ISNUMBER(SEARCH("★★★",'트래블마트 통합'!C28)),"★★★",IF(ISNUMBER(SEARCH("★★",'트래블마트 통합'!C28)),"★★",IF(ISNUMBER(SEARCH("★",'트래블마트 통합'!C28)),"★","-")))</f>
        <v>-</v>
      </c>
      <c r="F11" s="317" t="b">
        <v>0</v>
      </c>
      <c r="G11" s="317" t="b">
        <v>0</v>
      </c>
      <c r="H11" s="315" t="str">
        <f t="shared" si="0"/>
        <v>미정</v>
      </c>
      <c r="I11" s="316" t="str">
        <f>'트래블마트 통합'!C28</f>
        <v>NYTTravel Show</v>
      </c>
      <c r="J11" s="318"/>
    </row>
    <row r="12" spans="1:10">
      <c r="A12" s="314" t="str">
        <f>'트래블마트 통합'!D$2</f>
        <v>2026년 2월</v>
      </c>
      <c r="B12" s="315" t="str">
        <f>'트래블마트 통합'!$A9</f>
        <v>중국</v>
      </c>
      <c r="C12" s="315" t="str">
        <f>'트래블마트 통합'!$B9</f>
        <v>광동,화동,화북,내륙</v>
      </c>
      <c r="D12" s="316" t="str">
        <f>IFERROR(LEFT('트래블마트 통합'!D9,FIND(CHAR(10),'트래블마트 통합'!D9)-1),'트래블마트 통합'!D9)</f>
        <v>Chiness New Year</v>
      </c>
      <c r="E12" s="315" t="str">
        <f>IF(ISNUMBER(SEARCH("★★★",'트래블마트 통합'!D9)),"★★★",IF(ISNUMBER(SEARCH("★★",'트래블마트 통합'!D9)),"★★",IF(ISNUMBER(SEARCH("★",'트래블마트 통합'!D9)),"★","-")))</f>
        <v>-</v>
      </c>
      <c r="F12" s="317" t="b">
        <v>1</v>
      </c>
      <c r="G12" s="317" t="b">
        <v>1</v>
      </c>
      <c r="H12" s="315" t="str">
        <f t="shared" si="0"/>
        <v>완료</v>
      </c>
      <c r="I12" s="316" t="str">
        <f>'트래블마트 통합'!D9</f>
        <v>Chiness New Year</v>
      </c>
      <c r="J12" s="318"/>
    </row>
    <row r="13" spans="1:10">
      <c r="A13" s="314" t="str">
        <f>'트래블마트 통합'!D$2</f>
        <v>2026년 2월</v>
      </c>
      <c r="B13" s="315" t="str">
        <f>'트래블마트 통합'!$A14</f>
        <v>필리핀</v>
      </c>
      <c r="C13" s="315" t="str">
        <f>'트래블마트 통합'!$B14</f>
        <v>세부, 마닐라</v>
      </c>
      <c r="D13" s="316" t="str">
        <f>IFERROR(LEFT('트래블마트 통합'!D14,FIND(CHAR(10),'트래블마트 통합'!D14)-1),'트래블마트 통합'!D14)</f>
        <v>2/6–2/8 – PTAA TravelTour Expo</v>
      </c>
      <c r="E13" s="315" t="str">
        <f>IF(ISNUMBER(SEARCH("★★★",'트래블마트 통합'!D14)),"★★★",IF(ISNUMBER(SEARCH("★★",'트래블마트 통합'!D14)),"★★",IF(ISNUMBER(SEARCH("★",'트래블마트 통합'!D14)),"★","-")))</f>
        <v>★★★</v>
      </c>
      <c r="F13" s="317" t="b">
        <v>0</v>
      </c>
      <c r="G13" s="317" t="b">
        <v>0</v>
      </c>
      <c r="H13" s="315" t="str">
        <f t="shared" si="0"/>
        <v>미정</v>
      </c>
      <c r="I13" s="316" t="str">
        <f>'트래블마트 통합'!D14</f>
        <v>2/6–2/8 – PTAA TravelTour Expo
[★★★ 최우선] 필리핀 최대 소비자+B2B, 패키지 판매에 최적</v>
      </c>
      <c r="J13" s="318"/>
    </row>
    <row r="14" spans="1:10">
      <c r="A14" s="314" t="str">
        <f>'트래블마트 통합'!D$2</f>
        <v>2026년 2월</v>
      </c>
      <c r="B14" s="315" t="str">
        <f>'트래블마트 통합'!$A20</f>
        <v>인도</v>
      </c>
      <c r="C14" s="315" t="str">
        <f>'트래블마트 통합'!$B20</f>
        <v>뭄바이
뉴델리</v>
      </c>
      <c r="D14" s="316" t="str">
        <f>IFERROR(LEFT('트래블마트 통합'!D20,FIND(CHAR(10),'트래블마트 통합'!D20)-1),'트래블마트 통합'!D20)</f>
        <v>SATTE 2026</v>
      </c>
      <c r="E14" s="315" t="str">
        <f>IF(ISNUMBER(SEARCH("★★★",'트래블마트 통합'!D20)),"★★★",IF(ISNUMBER(SEARCH("★★",'트래블마트 통합'!D20)),"★★",IF(ISNUMBER(SEARCH("★",'트래블마트 통합'!D20)),"★","-")))</f>
        <v>★★</v>
      </c>
      <c r="F14" s="317" t="b">
        <v>1</v>
      </c>
      <c r="G14" s="317" t="b">
        <v>1</v>
      </c>
      <c r="H14" s="315" t="str">
        <f t="shared" si="0"/>
        <v>완료</v>
      </c>
      <c r="I14" s="316" t="str">
        <f>'트래블마트 통합'!D20</f>
        <v>SATTE 2026
2026.02.25 – 02.27
[★★ 중간] 남아시아 인바운드/아웃바운드</v>
      </c>
      <c r="J14" s="318"/>
    </row>
    <row r="15" spans="1:10">
      <c r="A15" s="314" t="str">
        <f>'트래블마트 통합'!D$2</f>
        <v>2026년 2월</v>
      </c>
      <c r="B15" s="315" t="str">
        <f>'트래블마트 통합'!$A28</f>
        <v>미국</v>
      </c>
      <c r="C15" s="315" t="str">
        <f>'트래블마트 통합'!$B28</f>
        <v>플로리다주
뉴욕</v>
      </c>
      <c r="D15" s="316" t="str">
        <f>IFERROR(LEFT('트래블마트 통합'!D28,FIND(CHAR(10),'트래블마트 통합'!D28)-1),'트래블마트 통합'!D28)</f>
        <v>NYTTravel Show</v>
      </c>
      <c r="E15" s="315" t="str">
        <f>IF(ISNUMBER(SEARCH("★★★",'트래블마트 통합'!D28)),"★★★",IF(ISNUMBER(SEARCH("★★",'트래블마트 통합'!D28)),"★★",IF(ISNUMBER(SEARCH("★",'트래블마트 통합'!D28)),"★","-")))</f>
        <v>-</v>
      </c>
      <c r="F15" s="317" t="b">
        <v>0</v>
      </c>
      <c r="G15" s="317" t="b">
        <v>0</v>
      </c>
      <c r="H15" s="315" t="str">
        <f t="shared" si="0"/>
        <v>미정</v>
      </c>
      <c r="I15" s="316" t="str">
        <f>'트래블마트 통합'!D28</f>
        <v>NYTTravel Show</v>
      </c>
      <c r="J15" s="318"/>
    </row>
    <row r="16" spans="1:10">
      <c r="A16" s="314" t="str">
        <f>'트래블마트 통합'!E$2</f>
        <v>2026년 3월</v>
      </c>
      <c r="B16" s="315" t="str">
        <f>'트래블마트 통합'!$A9</f>
        <v>중국</v>
      </c>
      <c r="C16" s="315" t="str">
        <f>'트래블마트 통합'!$B9</f>
        <v>광동,화동,화북,내륙</v>
      </c>
      <c r="D16" s="316" t="str">
        <f>IFERROR(LEFT('트래블마트 통합'!E9,FIND(CHAR(10),'트래블마트 통합'!E9)-1),'트래블마트 통합'!E9)</f>
        <v>1차 세일즈 콜</v>
      </c>
      <c r="E16" s="315" t="str">
        <f>IF(ISNUMBER(SEARCH("★★★",'트래블마트 통합'!E9)),"★★★",IF(ISNUMBER(SEARCH("★★",'트래블마트 통합'!E9)),"★★",IF(ISNUMBER(SEARCH("★",'트래블마트 통합'!E9)),"★","-")))</f>
        <v>-</v>
      </c>
      <c r="F16" s="317" t="b">
        <v>1</v>
      </c>
      <c r="G16" s="317" t="b">
        <v>1</v>
      </c>
      <c r="H16" s="315" t="str">
        <f t="shared" si="0"/>
        <v>완료</v>
      </c>
      <c r="I16" s="316" t="str">
        <f>'트래블마트 통합'!E9</f>
        <v>1차 세일즈 콜
베이징</v>
      </c>
      <c r="J16" s="318"/>
    </row>
    <row r="17" spans="1:10">
      <c r="A17" s="314" t="str">
        <f>'트래블마트 통합'!E$2</f>
        <v>2026년 3월</v>
      </c>
      <c r="B17" s="315" t="str">
        <f>'트래블마트 통합'!$A16</f>
        <v>태국</v>
      </c>
      <c r="C17" s="315" t="str">
        <f>'트래블마트 통합'!$B16</f>
        <v>방콕</v>
      </c>
      <c r="D17" s="316" t="str">
        <f>IFERROR(LEFT('트래블마트 통합'!E16,FIND(CHAR(10),'트래블마트 통합'!E16)-1),'트래블마트 통합'!E16)</f>
        <v xml:space="preserve">5-8 Mar </v>
      </c>
      <c r="E17" s="315" t="str">
        <f>IF(ISNUMBER(SEARCH("★★★",'트래블마트 통합'!E16)),"★★★",IF(ISNUMBER(SEARCH("★★",'트래블마트 통합'!E16)),"★★",IF(ISNUMBER(SEARCH("★",'트래블마트 통합'!E16)),"★","-")))</f>
        <v>-</v>
      </c>
      <c r="F17" s="317" t="b">
        <v>1</v>
      </c>
      <c r="G17" s="317" t="b">
        <v>1</v>
      </c>
      <c r="H17" s="315" t="str">
        <f t="shared" si="0"/>
        <v>완료</v>
      </c>
      <c r="I17" s="316" t="str">
        <f>'트래블마트 통합'!E16</f>
        <v>5-8 Mar 
Thai Teaw Thai (77th Edition)
B2C</v>
      </c>
      <c r="J17" s="318"/>
    </row>
    <row r="18" spans="1:10">
      <c r="A18" s="314" t="str">
        <f>'트래블마트 통합'!E$2</f>
        <v>2026년 3월</v>
      </c>
      <c r="B18" s="315" t="str">
        <f>'트래블마트 통합'!$A17</f>
        <v>말레이시아</v>
      </c>
      <c r="C18" s="315" t="str">
        <f>'트래블마트 통합'!$B17</f>
        <v>쿠알라룸프르, 쿠칭</v>
      </c>
      <c r="D18" s="316" t="str">
        <f>IFERROR(LEFT('트래블마트 통합'!E17,FIND(CHAR(10),'트래블마트 통합'!E17)-1),'트래블마트 통합'!E17)</f>
        <v>MATTA Fair</v>
      </c>
      <c r="E18" s="315" t="str">
        <f>IF(ISNUMBER(SEARCH("★★★",'트래블마트 통합'!E17)),"★★★",IF(ISNUMBER(SEARCH("★★",'트래블마트 통합'!E17)),"★★",IF(ISNUMBER(SEARCH("★",'트래블마트 통합'!E17)),"★","-")))</f>
        <v>★</v>
      </c>
      <c r="F18" s="317" t="b">
        <v>0</v>
      </c>
      <c r="G18" s="317" t="b">
        <v>0</v>
      </c>
      <c r="H18" s="315" t="str">
        <f t="shared" si="0"/>
        <v>미정</v>
      </c>
      <c r="I18" s="316" t="str">
        <f>'트래블마트 통합'!E17</f>
        <v>MATTA Fair
3 - 5 April 2026
[★ 선택] 말레이시아 최대 B2C</v>
      </c>
      <c r="J18" s="318"/>
    </row>
    <row r="19" spans="1:10">
      <c r="A19" s="314" t="str">
        <f>'트래블마트 통합'!E$2</f>
        <v>2026년 3월</v>
      </c>
      <c r="B19" s="315" t="str">
        <f>'트래블마트 통합'!$A21</f>
        <v>러시아</v>
      </c>
      <c r="C19" s="315" t="str">
        <f>'트래블마트 통합'!$B21</f>
        <v>모스크바</v>
      </c>
      <c r="D19" s="316" t="str">
        <f>IFERROR(LEFT('트래블마트 통합'!E21,FIND(CHAR(10),'트래블마트 통합'!E21)-1),'트래블마트 통합'!E21)</f>
        <v>MITT 2026</v>
      </c>
      <c r="E19" s="315" t="str">
        <f>IF(ISNUMBER(SEARCH("★★★",'트래블마트 통합'!E21)),"★★★",IF(ISNUMBER(SEARCH("★★",'트래블마트 통합'!E21)),"★★",IF(ISNUMBER(SEARCH("★",'트래블마트 통합'!E21)),"★","-")))</f>
        <v>★★</v>
      </c>
      <c r="F19" s="317" t="b">
        <v>0</v>
      </c>
      <c r="G19" s="317" t="b">
        <v>0</v>
      </c>
      <c r="H19" s="315" t="str">
        <f t="shared" si="0"/>
        <v>미정</v>
      </c>
      <c r="I19" s="316" t="str">
        <f>'트래블마트 통합'!E21</f>
        <v>MITT 2026
2026년 3월 11일 ~ 3월 13일
[★★ 중간] 러시아·CIS 최대, 러시아 outbound 핵심</v>
      </c>
      <c r="J19" s="318"/>
    </row>
    <row r="20" spans="1:10">
      <c r="A20" s="314" t="str">
        <f>'트래블마트 통합'!E$2</f>
        <v>2026년 3월</v>
      </c>
      <c r="B20" s="315" t="str">
        <f>'트래블마트 통합'!$A23</f>
        <v>Qatar</v>
      </c>
      <c r="C20" s="315" t="str">
        <f>'트래블마트 통합'!$B23</f>
        <v>Doha</v>
      </c>
      <c r="D20" s="316" t="str">
        <f>IFERROR(LEFT('트래블마트 통합'!E23,FIND(CHAR(10),'트래블마트 통합'!E23)-1),'트래블마트 통합'!E23)</f>
        <v>Connections Luxury Middle East 2026</v>
      </c>
      <c r="E20" s="315" t="str">
        <f>IF(ISNUMBER(SEARCH("★★★",'트래블마트 통합'!E23)),"★★★",IF(ISNUMBER(SEARCH("★★",'트래블마트 통합'!E23)),"★★",IF(ISNUMBER(SEARCH("★",'트래블마트 통합'!E23)),"★","-")))</f>
        <v>★</v>
      </c>
      <c r="F20" s="317" t="b">
        <v>0</v>
      </c>
      <c r="G20" s="317" t="b">
        <v>0</v>
      </c>
      <c r="H20" s="315" t="str">
        <f t="shared" si="0"/>
        <v>미정</v>
      </c>
      <c r="I20" s="316" t="str">
        <f>'트래블마트 통합'!E23</f>
        <v>Connections Luxury Middle East 2026
2026년 3월 29일 ~ 4월 1일
[★ 선택] 초럭셔리 바이어 행사, 하이엔드 전략용</v>
      </c>
      <c r="J20" s="318"/>
    </row>
    <row r="21" spans="1:10">
      <c r="A21" s="314" t="str">
        <f>'트래블마트 통합'!E$2</f>
        <v>2026년 3월</v>
      </c>
      <c r="B21" s="315" t="str">
        <f>'트래블마트 통합'!$A24</f>
        <v>독일</v>
      </c>
      <c r="C21" s="315" t="str">
        <f>'트래블마트 통합'!$B24</f>
        <v>베를린
오버하우젠</v>
      </c>
      <c r="D21" s="316" t="str">
        <f>IFERROR(LEFT('트래블마트 통합'!E24,FIND(CHAR(10),'트래블마트 통합'!E24)-1),'트래블마트 통합'!E24)</f>
        <v>ITB Berlin 2026</v>
      </c>
      <c r="E21" s="315" t="str">
        <f>IF(ISNUMBER(SEARCH("★★★",'트래블마트 통합'!E24)),"★★★",IF(ISNUMBER(SEARCH("★★",'트래블마트 통합'!E24)),"★★",IF(ISNUMBER(SEARCH("★",'트래블마트 통합'!E24)),"★","-")))</f>
        <v>★★★</v>
      </c>
      <c r="F21" s="317" t="b">
        <v>0</v>
      </c>
      <c r="G21" s="317" t="b">
        <v>0</v>
      </c>
      <c r="H21" s="315" t="str">
        <f t="shared" si="0"/>
        <v>미정</v>
      </c>
      <c r="I21" s="316" t="str">
        <f>'트래블마트 통합'!E24</f>
        <v>ITB Berlin 2026
2026년 3월 3일(화) ~ 3월 5일(목)
[★★★ 최우선] 세계 1위 여행 B2B, 글로벌 파트너 확장 필수</v>
      </c>
      <c r="J21" s="318"/>
    </row>
    <row r="22" spans="1:10">
      <c r="A22" s="314" t="str">
        <f>'트래블마트 통합'!E$2</f>
        <v>2026년 3월</v>
      </c>
      <c r="B22" s="315" t="str">
        <f>'트래블마트 통합'!$A28</f>
        <v>미국</v>
      </c>
      <c r="C22" s="315" t="str">
        <f>'트래블마트 통합'!$B28</f>
        <v>플로리다주
뉴욕</v>
      </c>
      <c r="D22" s="316" t="str">
        <f>IFERROR(LEFT('트래블마트 통합'!E28,FIND(CHAR(10),'트래블마트 통합'!E28)-1),'트래블마트 통합'!E28)</f>
        <v>NYTTravel Show</v>
      </c>
      <c r="E22" s="315" t="str">
        <f>IF(ISNUMBER(SEARCH("★★★",'트래블마트 통합'!E28)),"★★★",IF(ISNUMBER(SEARCH("★★",'트래블마트 통합'!E28)),"★★",IF(ISNUMBER(SEARCH("★",'트래블마트 통합'!E28)),"★","-")))</f>
        <v>-</v>
      </c>
      <c r="F22" s="317" t="b">
        <v>0</v>
      </c>
      <c r="G22" s="317" t="b">
        <v>0</v>
      </c>
      <c r="H22" s="315" t="str">
        <f t="shared" si="0"/>
        <v>미정</v>
      </c>
      <c r="I22" s="316" t="str">
        <f>'트래블마트 통합'!E28</f>
        <v>NYTTravel Show</v>
      </c>
      <c r="J22" s="318"/>
    </row>
    <row r="23" spans="1:10">
      <c r="A23" s="314" t="str">
        <f>'트래블마트 통합'!F$2</f>
        <v>2026년 4월</v>
      </c>
      <c r="B23" s="315" t="str">
        <f>'트래블마트 통합'!$A9</f>
        <v>중국</v>
      </c>
      <c r="C23" s="315" t="str">
        <f>'트래블마트 통합'!$B9</f>
        <v>광동,화동,화북,내륙</v>
      </c>
      <c r="D23" s="316" t="str">
        <f>IFERROR(LEFT('트래블마트 통합'!F9,FIND(CHAR(10),'트래블마트 통합'!F9)-1),'트래블마트 통합'!F9)</f>
        <v>1차 세일즈 콜</v>
      </c>
      <c r="E23" s="315" t="str">
        <f>IF(ISNUMBER(SEARCH("★★★",'트래블마트 통합'!F9)),"★★★",IF(ISNUMBER(SEARCH("★★",'트래블마트 통합'!F9)),"★★",IF(ISNUMBER(SEARCH("★",'트래블마트 통합'!F9)),"★","-")))</f>
        <v>★★★</v>
      </c>
      <c r="F23" s="317" t="b">
        <v>1</v>
      </c>
      <c r="G23" s="317" t="b">
        <v>1</v>
      </c>
      <c r="H23" s="315" t="str">
        <f t="shared" si="0"/>
        <v>완료</v>
      </c>
      <c r="I23" s="316" t="str">
        <f>'트래블마트 통합'!F9</f>
        <v>1차 세일즈 콜
청두, 시안, 중경
COTTM Beijing (보통 4월)
[★★★ 최우선] 중국 outbound 전문 B2B</v>
      </c>
      <c r="J23" s="318"/>
    </row>
    <row r="24" spans="1:10">
      <c r="A24" s="314" t="str">
        <f>'트래블마트 통합'!F$2</f>
        <v>2026년 4월</v>
      </c>
      <c r="B24" s="315" t="str">
        <f>'트래블마트 통합'!$A15</f>
        <v>베트남</v>
      </c>
      <c r="C24" s="315" t="str">
        <f>'트래블마트 통합'!$B15</f>
        <v>호치민
하노이</v>
      </c>
      <c r="D24" s="316" t="str">
        <f>IFERROR(LEFT('트래블마트 통합'!F15,FIND(CHAR(10),'트래블마트 통합'!F15)-1),'트래블마트 통합'!F15)</f>
        <v>Vietnam International Travel Mart HANOI</v>
      </c>
      <c r="E24" s="315" t="str">
        <f>IF(ISNUMBER(SEARCH("★★★",'트래블마트 통합'!F15)),"★★★",IF(ISNUMBER(SEARCH("★★",'트래블마트 통합'!F15)),"★★",IF(ISNUMBER(SEARCH("★",'트래블마트 통합'!F15)),"★","-")))</f>
        <v>★★</v>
      </c>
      <c r="F24" s="317" t="b">
        <v>0</v>
      </c>
      <c r="G24" s="317" t="b">
        <v>0</v>
      </c>
      <c r="H24" s="315" t="str">
        <f t="shared" si="0"/>
        <v>미정</v>
      </c>
      <c r="I24" s="316" t="str">
        <f>'트래블마트 통합'!F15</f>
        <v>Vietnam International Travel Mart HANOI
[★★ 중간] 북베트남 B2B+B2C</v>
      </c>
      <c r="J24" s="318"/>
    </row>
    <row r="25" spans="1:10">
      <c r="A25" s="314" t="str">
        <f>'트래블마트 통합'!F$2</f>
        <v>2026년 4월</v>
      </c>
      <c r="B25" s="315" t="str">
        <f>'트래블마트 통합'!$A24</f>
        <v>독일</v>
      </c>
      <c r="C25" s="315" t="str">
        <f>'트래블마트 통합'!$B24</f>
        <v>베를린
오버하우젠</v>
      </c>
      <c r="D25" s="316" t="str">
        <f>IFERROR(LEFT('트래블마트 통합'!F24,FIND(CHAR(10),'트래블마트 통합'!F24)-1),'트래블마트 통합'!F24)</f>
        <v>Germany Travel Mart (GTM) 2026</v>
      </c>
      <c r="E25" s="315" t="str">
        <f>IF(ISNUMBER(SEARCH("★★★",'트래블마트 통합'!F24)),"★★★",IF(ISNUMBER(SEARCH("★★",'트래블마트 통합'!F24)),"★★",IF(ISNUMBER(SEARCH("★",'트래블마트 통합'!F24)),"★","-")))</f>
        <v>★</v>
      </c>
      <c r="F25" s="317" t="b">
        <v>0</v>
      </c>
      <c r="G25" s="317" t="b">
        <v>0</v>
      </c>
      <c r="H25" s="315" t="str">
        <f t="shared" si="0"/>
        <v>미정</v>
      </c>
      <c r="I25" s="316" t="str">
        <f>'트래블마트 통합'!F24</f>
        <v>Germany Travel Mart (GTM) 2026
2026년 4월 19일 ~ 21일
[★ 선택] 독일 관광청 주최, 유럽 인바운드 중심</v>
      </c>
      <c r="J25" s="318"/>
    </row>
    <row r="26" spans="1:10">
      <c r="A26" s="314" t="str">
        <f>'트래블마트 통합'!F$2</f>
        <v>2026년 4월</v>
      </c>
      <c r="B26" s="315" t="str">
        <f>'트래블마트 통합'!$A28</f>
        <v>미국</v>
      </c>
      <c r="C26" s="315" t="str">
        <f>'트래블마트 통합'!$B28</f>
        <v>플로리다주
뉴욕</v>
      </c>
      <c r="D26" s="316" t="str">
        <f>IFERROR(LEFT('트래블마트 통합'!F28,FIND(CHAR(10),'트래블마트 통합'!F28)-1),'트래블마트 통합'!F28)</f>
        <v>NYTTravel Show</v>
      </c>
      <c r="E26" s="315" t="str">
        <f>IF(ISNUMBER(SEARCH("★★★",'트래블마트 통합'!F28)),"★★★",IF(ISNUMBER(SEARCH("★★",'트래블마트 통합'!F28)),"★★",IF(ISNUMBER(SEARCH("★",'트래블마트 통합'!F28)),"★","-")))</f>
        <v>-</v>
      </c>
      <c r="F26" s="317" t="b">
        <v>0</v>
      </c>
      <c r="G26" s="317" t="b">
        <v>0</v>
      </c>
      <c r="H26" s="315" t="str">
        <f t="shared" si="0"/>
        <v>미정</v>
      </c>
      <c r="I26" s="316" t="str">
        <f>'트래블마트 통합'!F28</f>
        <v>NYTTravel Show</v>
      </c>
      <c r="J26" s="318"/>
    </row>
    <row r="27" spans="1:10">
      <c r="A27" s="314" t="str">
        <f>'트래블마트 통합'!F$2</f>
        <v>2026년 4월</v>
      </c>
      <c r="B27" s="315" t="str">
        <f>'트래블마트 통합'!$A30</f>
        <v>South Africa</v>
      </c>
      <c r="C27" s="315" t="str">
        <f>'트래블마트 통합'!$B30</f>
        <v>Cape Town</v>
      </c>
      <c r="D27" s="316" t="str">
        <f>IFERROR(LEFT('트래블마트 통합'!F30,FIND(CHAR(10),'트래블마트 통합'!F30)-1),'트래블마트 통합'!F30)</f>
        <v>WTM Africa 2026</v>
      </c>
      <c r="E27" s="315" t="str">
        <f>IF(ISNUMBER(SEARCH("★★★",'트래블마트 통합'!F30)),"★★★",IF(ISNUMBER(SEARCH("★★",'트래블마트 통합'!F30)),"★★",IF(ISNUMBER(SEARCH("★",'트래블마트 통합'!F30)),"★","-")))</f>
        <v>★</v>
      </c>
      <c r="F27" s="317" t="b">
        <v>0</v>
      </c>
      <c r="G27" s="317" t="b">
        <v>0</v>
      </c>
      <c r="H27" s="315" t="str">
        <f t="shared" si="0"/>
        <v>미정</v>
      </c>
      <c r="I27" s="316" t="str">
        <f>'트래블마트 통합'!F30</f>
        <v>WTM Africa 2026
[★ 선택] 아프리카 시장 접근</v>
      </c>
      <c r="J27" s="318"/>
    </row>
    <row r="28" spans="1:10">
      <c r="A28" s="314" t="str">
        <f>'트래블마트 통합'!F$2</f>
        <v>2026년 4월</v>
      </c>
      <c r="B28" s="315" t="str">
        <f>'트래블마트 통합'!$A31</f>
        <v>브라질</v>
      </c>
      <c r="C28" s="315" t="str">
        <f>'트래블마트 통합'!$B31</f>
        <v>상파울루</v>
      </c>
      <c r="D28" s="316" t="str">
        <f>IFERROR(LEFT('트래블마트 통합'!F31,FIND(CHAR(10),'트래블마트 통합'!F31)-1),'트래블마트 통합'!F31)</f>
        <v>WTM Latin America 2026</v>
      </c>
      <c r="E28" s="315" t="str">
        <f>IF(ISNUMBER(SEARCH("★★★",'트래블마트 통합'!F31)),"★★★",IF(ISNUMBER(SEARCH("★★",'트래블마트 통합'!F31)),"★★",IF(ISNUMBER(SEARCH("★",'트래블마트 통합'!F31)),"★","-")))</f>
        <v>★</v>
      </c>
      <c r="F28" s="317" t="b">
        <v>0</v>
      </c>
      <c r="G28" s="317" t="b">
        <v>0</v>
      </c>
      <c r="H28" s="315" t="str">
        <f t="shared" si="0"/>
        <v>미정</v>
      </c>
      <c r="I28" s="316" t="str">
        <f>'트래블마트 통합'!F31</f>
        <v>WTM Latin America 2026
2026년 4월 14-16일
[★ 선택] 남미 최대 B2B, 라틴 바이어 네트워크</v>
      </c>
      <c r="J28" s="318"/>
    </row>
    <row r="29" spans="1:10">
      <c r="A29" s="314" t="str">
        <f>'트래블마트 통합'!G$2</f>
        <v>2026년 5월</v>
      </c>
      <c r="B29" s="315" t="str">
        <f>'트래블마트 통합'!$A9</f>
        <v>중국</v>
      </c>
      <c r="C29" s="315" t="str">
        <f>'트래블마트 통합'!$B9</f>
        <v>광동,화동,화북,내륙</v>
      </c>
      <c r="D29" s="316" t="str">
        <f>IFERROR(LEFT('트래블마트 통합'!G9,FIND(CHAR(10),'트래블마트 통합'!G9)-1),'트래블마트 통합'!G9)</f>
        <v>5/26–5/28 – ITB China</v>
      </c>
      <c r="E29" s="315" t="str">
        <f>IF(ISNUMBER(SEARCH("★★★",'트래블마트 통합'!G9)),"★★★",IF(ISNUMBER(SEARCH("★★",'트래블마트 통합'!G9)),"★★",IF(ISNUMBER(SEARCH("★",'트래블마트 통합'!G9)),"★","-")))</f>
        <v>★★★</v>
      </c>
      <c r="F29" s="317" t="b">
        <v>1</v>
      </c>
      <c r="G29" s="317" t="b">
        <v>1</v>
      </c>
      <c r="H29" s="315" t="str">
        <f t="shared" si="0"/>
        <v>완료</v>
      </c>
      <c r="I29" s="316" t="str">
        <f>'트래블마트 통합'!G9</f>
        <v>5/26–5/28 – ITB China
1차 Shanghai
GITF (Guangzhou International Travel Fair) 5/21–23
[★★★ 최우선] 중국 outbound 최상위 B2B</v>
      </c>
      <c r="J29" s="318"/>
    </row>
    <row r="30" spans="1:10">
      <c r="A30" s="314" t="str">
        <f>'트래블마트 통합'!G$2</f>
        <v>2026년 5월</v>
      </c>
      <c r="B30" s="315" t="str">
        <f>'트래블마트 통합'!$A10</f>
        <v>한국</v>
      </c>
      <c r="C30" s="315" t="str">
        <f>'트래블마트 통합'!$B10</f>
        <v>서울</v>
      </c>
      <c r="D30" s="316" t="str">
        <f>IFERROR(LEFT('트래블마트 통합'!G10,FIND(CHAR(10),'트래블마트 통합'!G10)-1),'트래블마트 통합'!G10)</f>
        <v>일산 트래블마트</v>
      </c>
      <c r="E30" s="315" t="str">
        <f>IF(ISNUMBER(SEARCH("★★★",'트래블마트 통합'!G10)),"★★★",IF(ISNUMBER(SEARCH("★★",'트래블마트 통합'!G10)),"★★",IF(ISNUMBER(SEARCH("★",'트래블마트 통합'!G10)),"★","-")))</f>
        <v>-</v>
      </c>
      <c r="F30" s="317" t="b">
        <v>1</v>
      </c>
      <c r="G30" s="317" t="b">
        <v>1</v>
      </c>
      <c r="H30" s="315" t="str">
        <f t="shared" si="0"/>
        <v>완료</v>
      </c>
      <c r="I30" s="316" t="str">
        <f>'트래블마트 통합'!G10</f>
        <v>일산 트래블마트
5월 14~17일</v>
      </c>
      <c r="J30" s="318"/>
    </row>
    <row r="31" spans="1:10">
      <c r="A31" s="314" t="str">
        <f>'트래블마트 통합'!G$2</f>
        <v>2026년 5월</v>
      </c>
      <c r="B31" s="315" t="str">
        <f>'트래블마트 통합'!$A12</f>
        <v>대만</v>
      </c>
      <c r="C31" s="315" t="str">
        <f>'트래블마트 통합'!$B12</f>
        <v>타이베이</v>
      </c>
      <c r="D31" s="316" t="str">
        <f>IFERROR(LEFT('트래블마트 통합'!G12,FIND(CHAR(10),'트래블마트 통합'!G12)-1),'트래블마트 통합'!G12)</f>
        <v>5/22–5/25 – Taipei Tourism Expo (TTE)</v>
      </c>
      <c r="E31" s="315" t="str">
        <f>IF(ISNUMBER(SEARCH("★★★",'트래블마트 통합'!G12)),"★★★",IF(ISNUMBER(SEARCH("★★",'트래블마트 통합'!G12)),"★★",IF(ISNUMBER(SEARCH("★",'트래블마트 통합'!G12)),"★","-")))</f>
        <v>★</v>
      </c>
      <c r="F31" s="317" t="b">
        <v>0</v>
      </c>
      <c r="G31" s="317" t="b">
        <v>0</v>
      </c>
      <c r="H31" s="315" t="str">
        <f t="shared" si="0"/>
        <v>미정</v>
      </c>
      <c r="I31" s="316" t="str">
        <f>'트래블마트 통합'!G12</f>
        <v>5/22–5/25 – Taipei Tourism Expo (TTE)
[★ 선택] 대만 최대 B2C, FIT 시장 강함</v>
      </c>
      <c r="J31" s="318"/>
    </row>
    <row r="32" spans="1:10">
      <c r="A32" s="314" t="str">
        <f>'트래블마트 통합'!G$2</f>
        <v>2026년 5월</v>
      </c>
      <c r="B32" s="315" t="str">
        <f>'트래블마트 통합'!$A19</f>
        <v>인도네시아</v>
      </c>
      <c r="C32" s="315" t="str">
        <f>'트래블마트 통합'!$B19</f>
        <v>자카르타</v>
      </c>
      <c r="D32" s="316" t="str">
        <f>IFERROR(LEFT('트래블마트 통합'!G19,FIND(CHAR(10),'트래블마트 통합'!G19)-1),'트래블마트 통합'!G19)</f>
        <v>BBTF (Bali &amp; Beyond Travel Fair) 2026</v>
      </c>
      <c r="E32" s="315" t="str">
        <f>IF(ISNUMBER(SEARCH("★★★",'트래블마트 통합'!G19)),"★★★",IF(ISNUMBER(SEARCH("★★",'트래블마트 통합'!G19)),"★★",IF(ISNUMBER(SEARCH("★",'트래블마트 통합'!G19)),"★","-")))</f>
        <v>-</v>
      </c>
      <c r="F32" s="317" t="b">
        <v>0</v>
      </c>
      <c r="G32" s="317" t="b">
        <v>0</v>
      </c>
      <c r="H32" s="315" t="str">
        <f t="shared" si="0"/>
        <v>미정</v>
      </c>
      <c r="I32" s="316" t="str">
        <f>'트래블마트 통합'!G19</f>
        <v>BBTF (Bali &amp; Beyond Travel Fair) 2026
날짜: 2026년 5월 28일(목) ~ 5월 30일(토)
특징: 상반기 동남아시아 일정 중 호텔 소싱에 가장 중요한 행사</v>
      </c>
      <c r="J32" s="318"/>
    </row>
    <row r="33" spans="1:10">
      <c r="A33" s="314" t="str">
        <f>'트래블마트 통합'!G$2</f>
        <v>2026년 5월</v>
      </c>
      <c r="B33" s="315" t="str">
        <f>'트래블마트 통합'!$A22</f>
        <v>UAE</v>
      </c>
      <c r="C33" s="315" t="str">
        <f>'트래블마트 통합'!$B22</f>
        <v>Dubai</v>
      </c>
      <c r="D33" s="316" t="str">
        <f>IFERROR(LEFT('트래블마트 통합'!G22,FIND(CHAR(10),'트래블마트 통합'!G22)-1),'트래블마트 통합'!G22)</f>
        <v>Arabian Travel Market (ATM) 2026</v>
      </c>
      <c r="E33" s="315" t="str">
        <f>IF(ISNUMBER(SEARCH("★★★",'트래블마트 통합'!G22)),"★★★",IF(ISNUMBER(SEARCH("★★",'트래블마트 통합'!G22)),"★★",IF(ISNUMBER(SEARCH("★",'트래블마트 통합'!G22)),"★","-")))</f>
        <v>★★★</v>
      </c>
      <c r="F33" s="317" t="b">
        <v>0</v>
      </c>
      <c r="G33" s="317" t="b">
        <v>0</v>
      </c>
      <c r="H33" s="315" t="str">
        <f t="shared" si="0"/>
        <v>미정</v>
      </c>
      <c r="I33" s="316" t="str">
        <f>'트래블마트 통합'!G22</f>
        <v>Arabian Travel Market (ATM) 2026
2026년 5월 4일 ~ 5월 7일
[★★★ 최우선] 중동 최대 여행 B2B, GCC 바이어 중심</v>
      </c>
      <c r="J33" s="318"/>
    </row>
    <row r="34" spans="1:10">
      <c r="A34" s="314" t="str">
        <f>'트래블마트 통합'!G$2</f>
        <v>2026년 5월</v>
      </c>
      <c r="B34" s="315" t="str">
        <f>'트래블마트 통합'!$A25</f>
        <v>호주</v>
      </c>
      <c r="C34" s="315" t="str">
        <f>'트래블마트 통합'!$B25</f>
        <v>시드니, 애들레이드</v>
      </c>
      <c r="D34" s="316" t="str">
        <f>IFERROR(LEFT('트래블마트 통합'!G25,FIND(CHAR(10),'트래블마트 통합'!G25)-1),'트래블마트 통합'!G25)</f>
        <v>5/10–5/14 – Australian Tourism Exchange (ATE)</v>
      </c>
      <c r="E34" s="315" t="str">
        <f>IF(ISNUMBER(SEARCH("★★★",'트래블마트 통합'!G25)),"★★★",IF(ISNUMBER(SEARCH("★★",'트래블마트 통합'!G25)),"★★",IF(ISNUMBER(SEARCH("★",'트래블마트 통합'!G25)),"★","-")))</f>
        <v>★</v>
      </c>
      <c r="F34" s="317" t="b">
        <v>0</v>
      </c>
      <c r="G34" s="317" t="b">
        <v>0</v>
      </c>
      <c r="H34" s="315" t="str">
        <f t="shared" si="0"/>
        <v>미정</v>
      </c>
      <c r="I34" s="316" t="str">
        <f>'트래블마트 통합'!G25</f>
        <v>5/10–5/14 – Australian Tourism Exchange (ATE)
[★ 선택] 오세아니아 최대 B2B</v>
      </c>
      <c r="J34" s="318"/>
    </row>
    <row r="35" spans="1:10">
      <c r="A35" s="314" t="str">
        <f>'트래블마트 통합'!G$2</f>
        <v>2026년 5월</v>
      </c>
      <c r="B35" s="315" t="str">
        <f>'트래블마트 통합'!$A28</f>
        <v>미국</v>
      </c>
      <c r="C35" s="315" t="str">
        <f>'트래블마트 통합'!$B28</f>
        <v>플로리다주
뉴욕</v>
      </c>
      <c r="D35" s="316" t="str">
        <f>IFERROR(LEFT('트래블마트 통합'!G28,FIND(CHAR(10),'트래블마트 통합'!G28)-1),'트래블마트 통합'!G28)</f>
        <v>IPW 2026</v>
      </c>
      <c r="E35" s="315" t="str">
        <f>IF(ISNUMBER(SEARCH("★★★",'트래블마트 통합'!G28)),"★★★",IF(ISNUMBER(SEARCH("★★",'트래블마트 통합'!G28)),"★★",IF(ISNUMBER(SEARCH("★",'트래블마트 통합'!G28)),"★","-")))</f>
        <v>★</v>
      </c>
      <c r="F35" s="317" t="b">
        <v>0</v>
      </c>
      <c r="G35" s="317" t="b">
        <v>0</v>
      </c>
      <c r="H35" s="315" t="str">
        <f t="shared" si="0"/>
        <v>미정</v>
      </c>
      <c r="I35" s="316" t="str">
        <f>'트래블마트 통합'!G28</f>
        <v>IPW 2026
2026년 5월 17-21일
[★ 선택] 미국 인바운드 최대 B2B 행사</v>
      </c>
      <c r="J35" s="318"/>
    </row>
    <row r="36" spans="1:10">
      <c r="A36" s="314" t="str">
        <f>'트래블마트 통합'!H$2</f>
        <v>2026년 6월</v>
      </c>
      <c r="B36" s="315" t="str">
        <f>'트래블마트 통합'!$A10</f>
        <v>한국</v>
      </c>
      <c r="C36" s="315" t="str">
        <f>'트래블마트 통합'!$B10</f>
        <v>서울</v>
      </c>
      <c r="D36" s="316" t="str">
        <f>IFERROR(LEFT('트래블마트 통합'!H10,FIND(CHAR(10),'트래블마트 통합'!H10)-1),'트래블마트 통합'!H10)</f>
        <v>6/4–6/7 – Seoul International Travel Fair (SITF)</v>
      </c>
      <c r="E36" s="315" t="str">
        <f>IF(ISNUMBER(SEARCH("★★★",'트래블마트 통합'!H10)),"★★★",IF(ISNUMBER(SEARCH("★★",'트래블마트 통합'!H10)),"★★",IF(ISNUMBER(SEARCH("★",'트래블마트 통합'!H10)),"★","-")))</f>
        <v>★</v>
      </c>
      <c r="F36" s="317" t="b">
        <v>0</v>
      </c>
      <c r="G36" s="317" t="b">
        <v>0</v>
      </c>
      <c r="H36" s="315" t="str">
        <f t="shared" ref="H36:H67" si="1">IF(AND(F36,G36),"완료",IF(G36,"진행 완료",IF(F36,"참가 예정","미정")))</f>
        <v>미정</v>
      </c>
      <c r="I36" s="316" t="str">
        <f>'트래블마트 통합'!H10</f>
        <v>6/4–6/7 – Seoul International Travel Fair (SITF)
[★ 선택] 한국 최대 여행박람회</v>
      </c>
      <c r="J36" s="318"/>
    </row>
    <row r="37" spans="1:10">
      <c r="A37" s="314" t="str">
        <f>'트래블마트 통합'!H$2</f>
        <v>2026년 6월</v>
      </c>
      <c r="B37" s="315" t="str">
        <f>'트래블마트 통합'!$A13</f>
        <v>홍콩</v>
      </c>
      <c r="C37" s="315" t="str">
        <f>'트래블마트 통합'!$B13</f>
        <v>홍콩</v>
      </c>
      <c r="D37" s="316" t="str">
        <f>IFERROR(LEFT('트래블마트 통합'!H13,FIND(CHAR(10),'트래블마트 통합'!H13)-1),'트래블마트 통합'!H13)</f>
        <v>ITE Hong Kong</v>
      </c>
      <c r="E37" s="315" t="str">
        <f>IF(ISNUMBER(SEARCH("★★★",'트래블마트 통합'!H13)),"★★★",IF(ISNUMBER(SEARCH("★★",'트래블마트 통합'!H13)),"★★",IF(ISNUMBER(SEARCH("★",'트래블마트 통합'!H13)),"★","-")))</f>
        <v>★★</v>
      </c>
      <c r="F37" s="317" t="b">
        <v>0</v>
      </c>
      <c r="G37" s="317" t="b">
        <v>0</v>
      </c>
      <c r="H37" s="315" t="str">
        <f t="shared" si="1"/>
        <v>미정</v>
      </c>
      <c r="I37" s="316" t="str">
        <f>'트래블마트 통합'!H13</f>
        <v>ITE Hong Kong
6월 11~14일 전후
[★★ 중간] 홍콩–광둥 outbound 중심</v>
      </c>
      <c r="J37" s="318"/>
    </row>
    <row r="38" spans="1:10">
      <c r="A38" s="314" t="str">
        <f>'트래블마트 통합'!H$2</f>
        <v>2026년 6월</v>
      </c>
      <c r="B38" s="315" t="str">
        <f>'트래블마트 통합'!$A16</f>
        <v>태국</v>
      </c>
      <c r="C38" s="315" t="str">
        <f>'트래블마트 통합'!$B16</f>
        <v>방콕</v>
      </c>
      <c r="D38" s="316" t="str">
        <f>IFERROR(LEFT('트래블마트 통합'!H16,FIND(CHAR(10),'트래블마트 통합'!H16)-1),'트래블마트 통합'!H16)</f>
        <v>TTM+ (Thailand Travel Mart Plus) 2026</v>
      </c>
      <c r="E38" s="315" t="str">
        <f>IF(ISNUMBER(SEARCH("★★★",'트래블마트 통합'!H16)),"★★★",IF(ISNUMBER(SEARCH("★★",'트래블마트 통합'!H16)),"★★",IF(ISNUMBER(SEARCH("★",'트래블마트 통합'!H16)),"★","-")))</f>
        <v>-</v>
      </c>
      <c r="F38" s="317" t="b">
        <v>0</v>
      </c>
      <c r="G38" s="317" t="b">
        <v>0</v>
      </c>
      <c r="H38" s="315" t="str">
        <f t="shared" si="1"/>
        <v>미정</v>
      </c>
      <c r="I38" s="316" t="str">
        <f>'트래블마트 통합'!H16</f>
        <v>TTM+ (Thailand Travel Mart Plus) 2026
예상 날짜: 2026년 6월 중 (보통 6월 둘째 주)
장소: 미정
특징: 태국 관광청(TAT) 주관 행사</v>
      </c>
      <c r="J38" s="318"/>
    </row>
    <row r="39" spans="1:10">
      <c r="A39" s="314" t="str">
        <f>'트래블마트 통합'!H$2</f>
        <v>2026년 6월</v>
      </c>
      <c r="B39" s="315" t="str">
        <f>'트래블마트 통합'!$A18</f>
        <v>싱가포르</v>
      </c>
      <c r="C39" s="315" t="str">
        <f>'트래블마트 통합'!$B18</f>
        <v>마리나베이</v>
      </c>
      <c r="D39" s="316" t="str">
        <f>IFERROR(LEFT('트래블마트 통합'!H18,FIND(CHAR(10),'트래블마트 통합'!H18)-1),'트래블마트 통합'!H18)</f>
        <v>ILTM Asia Pacific 2026</v>
      </c>
      <c r="E39" s="315" t="str">
        <f>IF(ISNUMBER(SEARCH("★★★",'트래블마트 통합'!H18)),"★★★",IF(ISNUMBER(SEARCH("★★",'트래블마트 통합'!H18)),"★★",IF(ISNUMBER(SEARCH("★",'트래블마트 통합'!H18)),"★","-")))</f>
        <v>★</v>
      </c>
      <c r="F39" s="317" t="b">
        <v>0</v>
      </c>
      <c r="G39" s="317" t="b">
        <v>0</v>
      </c>
      <c r="H39" s="315" t="str">
        <f t="shared" si="1"/>
        <v>미정</v>
      </c>
      <c r="I39" s="316" t="str">
        <f>'트래블마트 통합'!H18</f>
        <v>ILTM Asia Pacific 2026
2026년 6월 29일 ~ 7월 2일
[★ 선택] 아시아 럭셔리 여행 최상위 행사</v>
      </c>
      <c r="J39" s="318"/>
    </row>
    <row r="40" spans="1:10">
      <c r="A40" s="314" t="str">
        <f>'트래블마트 통합'!H$2</f>
        <v>2026년 6월</v>
      </c>
      <c r="B40" s="315" t="str">
        <f>'트래블마트 통합'!$A19</f>
        <v>인도네시아</v>
      </c>
      <c r="C40" s="315" t="str">
        <f>'트래블마트 통합'!$B19</f>
        <v>자카르타</v>
      </c>
      <c r="D40" s="316" t="str">
        <f>IFERROR(LEFT('트래블마트 통합'!H19,FIND(CHAR(10),'트래블마트 통합'!H19)-1),'트래블마트 통합'!H19)</f>
        <v>Travel Meet Asia 2026</v>
      </c>
      <c r="E40" s="315" t="str">
        <f>IF(ISNUMBER(SEARCH("★★★",'트래블마트 통합'!H19)),"★★★",IF(ISNUMBER(SEARCH("★★",'트래블마트 통합'!H19)),"★★",IF(ISNUMBER(SEARCH("★",'트래블마트 통합'!H19)),"★","-")))</f>
        <v>★</v>
      </c>
      <c r="F40" s="317" t="b">
        <v>1</v>
      </c>
      <c r="G40" s="317" t="b">
        <v>1</v>
      </c>
      <c r="H40" s="315" t="str">
        <f t="shared" si="1"/>
        <v>완료</v>
      </c>
      <c r="I40" s="316" t="str">
        <f>'트래블마트 통합'!H19</f>
        <v>Travel Meet Asia 2026
2026년 6월 23-24일
[★ 선택] 아세안 B2B 네트워크 허브</v>
      </c>
      <c r="J40" s="318"/>
    </row>
    <row r="41" spans="1:10">
      <c r="A41" s="314" t="str">
        <f>'트래블마트 통합'!I$2</f>
        <v>2026년 7월</v>
      </c>
      <c r="B41" s="315" t="str">
        <f>'트래블마트 통합'!$A9</f>
        <v>중국</v>
      </c>
      <c r="C41" s="315" t="str">
        <f>'트래블마트 통합'!$B9</f>
        <v>광동,화동,화북,내륙</v>
      </c>
      <c r="D41" s="316" t="str">
        <f>IFERROR(LEFT('트래블마트 통합'!I9,FIND(CHAR(10),'트래블마트 통합'!I9)-1),'트래블마트 통합'!I9)</f>
        <v>2차 세일즈 콜</v>
      </c>
      <c r="E41" s="315" t="str">
        <f>IF(ISNUMBER(SEARCH("★★★",'트래블마트 통합'!I9)),"★★★",IF(ISNUMBER(SEARCH("★★",'트래블마트 통합'!I9)),"★★",IF(ISNUMBER(SEARCH("★",'트래블마트 통합'!I9)),"★","-")))</f>
        <v>-</v>
      </c>
      <c r="F41" s="317" t="b">
        <v>1</v>
      </c>
      <c r="G41" s="317" t="b">
        <v>1</v>
      </c>
      <c r="H41" s="315" t="str">
        <f t="shared" si="1"/>
        <v>완료</v>
      </c>
      <c r="I41" s="316" t="str">
        <f>'트래블마트 통합'!I9</f>
        <v>2차 세일즈 콜
심천+대만+홍콩</v>
      </c>
      <c r="J41" s="318"/>
    </row>
    <row r="42" spans="1:10">
      <c r="A42" s="314" t="str">
        <f>'트래블마트 통합'!I$2</f>
        <v>2026년 7월</v>
      </c>
      <c r="B42" s="315" t="str">
        <f>'트래블마트 통합'!$A10</f>
        <v>한국</v>
      </c>
      <c r="C42" s="315" t="str">
        <f>'트래블마트 통합'!$B10</f>
        <v>서울</v>
      </c>
      <c r="D42" s="316" t="str">
        <f>IFERROR(LEFT('트래블마트 통합'!I10,FIND(CHAR(10),'트래블마트 통합'!I10)-1),'트래블마트 통합'!I10)</f>
        <v>6/30~7/1</v>
      </c>
      <c r="E42" s="315" t="str">
        <f>IF(ISNUMBER(SEARCH("★★★",'트래블마트 통합'!I10)),"★★★",IF(ISNUMBER(SEARCH("★★",'트래블마트 통합'!I10)),"★★",IF(ISNUMBER(SEARCH("★",'트래블마트 통합'!I10)),"★","-")))</f>
        <v>-</v>
      </c>
      <c r="F42" s="317" t="b">
        <v>0</v>
      </c>
      <c r="G42" s="317" t="b">
        <v>0</v>
      </c>
      <c r="H42" s="315" t="str">
        <f t="shared" si="1"/>
        <v>미정</v>
      </c>
      <c r="I42" s="316" t="str">
        <f>'트래블마트 통합'!I10</f>
        <v>6/30~7/1
SITM</v>
      </c>
      <c r="J42" s="318"/>
    </row>
    <row r="43" spans="1:10">
      <c r="A43" s="314" t="str">
        <f>'트래블마트 통합'!I$2</f>
        <v>2026년 7월</v>
      </c>
      <c r="B43" s="315" t="str">
        <f>'트래블마트 통합'!$A12</f>
        <v>대만</v>
      </c>
      <c r="C43" s="315" t="str">
        <f>'트래블마트 통합'!$B12</f>
        <v>타이베이</v>
      </c>
      <c r="D43" s="316" t="str">
        <f>IFERROR(LEFT('트래블마트 통합'!I12,FIND(CHAR(10),'트래블마트 통합'!I12)-1),'트래블마트 통합'!I12)</f>
        <v>2차 세일즈 콜</v>
      </c>
      <c r="E43" s="315" t="str">
        <f>IF(ISNUMBER(SEARCH("★★★",'트래블마트 통합'!I12)),"★★★",IF(ISNUMBER(SEARCH("★★",'트래블마트 통합'!I12)),"★★",IF(ISNUMBER(SEARCH("★",'트래블마트 통합'!I12)),"★","-")))</f>
        <v>-</v>
      </c>
      <c r="F43" s="317" t="b">
        <v>1</v>
      </c>
      <c r="G43" s="317" t="b">
        <v>1</v>
      </c>
      <c r="H43" s="315" t="str">
        <f t="shared" si="1"/>
        <v>완료</v>
      </c>
      <c r="I43" s="316" t="str">
        <f>'트래블마트 통합'!I12</f>
        <v>2차 세일즈 콜
심천+대만+홍콩</v>
      </c>
      <c r="J43" s="318"/>
    </row>
    <row r="44" spans="1:10">
      <c r="A44" s="314" t="str">
        <f>'트래블마트 통합'!I$2</f>
        <v>2026년 7월</v>
      </c>
      <c r="B44" s="315" t="str">
        <f>'트래블마트 통합'!$A13</f>
        <v>홍콩</v>
      </c>
      <c r="C44" s="315" t="str">
        <f>'트래블마트 통합'!$B13</f>
        <v>홍콩</v>
      </c>
      <c r="D44" s="316" t="str">
        <f>IFERROR(LEFT('트래블마트 통합'!I13,FIND(CHAR(10),'트래블마트 통합'!I13)-1),'트래블마트 통합'!I13)</f>
        <v>2차 세일즈 콜</v>
      </c>
      <c r="E44" s="315" t="str">
        <f>IF(ISNUMBER(SEARCH("★★★",'트래블마트 통합'!I13)),"★★★",IF(ISNUMBER(SEARCH("★★",'트래블마트 통합'!I13)),"★★",IF(ISNUMBER(SEARCH("★",'트래블마트 통합'!I13)),"★","-")))</f>
        <v>-</v>
      </c>
      <c r="F44" s="317" t="b">
        <v>1</v>
      </c>
      <c r="G44" s="317" t="b">
        <v>1</v>
      </c>
      <c r="H44" s="315" t="str">
        <f t="shared" si="1"/>
        <v>완료</v>
      </c>
      <c r="I44" s="316" t="str">
        <f>'트래블마트 통합'!I13</f>
        <v>2차 세일즈 콜
심천+대만+홍콩</v>
      </c>
      <c r="J44" s="318"/>
    </row>
    <row r="45" spans="1:10">
      <c r="A45" s="314" t="str">
        <f>'트래블마트 통합'!I$2</f>
        <v>2026년 7월</v>
      </c>
      <c r="B45" s="315" t="str">
        <f>'트래블마트 통합'!$A14</f>
        <v>필리핀</v>
      </c>
      <c r="C45" s="315" t="str">
        <f>'트래블마트 통합'!$B14</f>
        <v>세부, 마닐라</v>
      </c>
      <c r="D45" s="316" t="str">
        <f>IFERROR(LEFT('트래블마트 통합'!I14,FIND(CHAR(10),'트래블마트 통합'!I14)-1),'트래블마트 통합'!I14)</f>
        <v>Travel Madness Expo 2026</v>
      </c>
      <c r="E45" s="315" t="str">
        <f>IF(ISNUMBER(SEARCH("★★★",'트래블마트 통합'!I14)),"★★★",IF(ISNUMBER(SEARCH("★★",'트래블마트 통합'!I14)),"★★",IF(ISNUMBER(SEARCH("★",'트래블마트 통합'!I14)),"★","-")))</f>
        <v>-</v>
      </c>
      <c r="F45" s="317" t="b">
        <v>1</v>
      </c>
      <c r="G45" s="317" t="b">
        <v>1</v>
      </c>
      <c r="H45" s="315" t="str">
        <f t="shared" si="1"/>
        <v>완료</v>
      </c>
      <c r="I45" s="316" t="str">
        <f>'트래블마트 통합'!I14</f>
        <v>Travel Madness Expo 2026
July 10 to 12, 2026</v>
      </c>
      <c r="J45" s="318"/>
    </row>
    <row r="46" spans="1:10">
      <c r="A46" s="314" t="str">
        <f>'트래블마트 통합'!J$2</f>
        <v>2026년 8월</v>
      </c>
      <c r="B46" s="315" t="str">
        <f>'트래블마트 통합'!$A10</f>
        <v>한국</v>
      </c>
      <c r="C46" s="315" t="str">
        <f>'트래블마트 통합'!$B10</f>
        <v>서울</v>
      </c>
      <c r="D46" s="316" t="str">
        <f>IFERROR(LEFT('트래블마트 통합'!J10,FIND(CHAR(10),'트래블마트 통합'!J10)-1),'트래블마트 통합'!J10)</f>
        <v>한국 세일즈콜</v>
      </c>
      <c r="E46" s="315" t="str">
        <f>IF(ISNUMBER(SEARCH("★★★",'트래블마트 통합'!J10)),"★★★",IF(ISNUMBER(SEARCH("★★",'트래블마트 통합'!J10)),"★★",IF(ISNUMBER(SEARCH("★",'트래블마트 통합'!J10)),"★","-")))</f>
        <v>-</v>
      </c>
      <c r="F46" s="317" t="b">
        <v>1</v>
      </c>
      <c r="G46" s="317" t="b">
        <v>1</v>
      </c>
      <c r="H46" s="315" t="str">
        <f t="shared" si="1"/>
        <v>완료</v>
      </c>
      <c r="I46" s="316" t="str">
        <f>'트래블마트 통합'!J10</f>
        <v>한국 세일즈콜
8월3~7일</v>
      </c>
      <c r="J46" s="318"/>
    </row>
    <row r="47" spans="1:10">
      <c r="A47" s="314" t="str">
        <f>'트래블마트 통합'!J$2</f>
        <v>2026년 8월</v>
      </c>
      <c r="B47" s="315" t="str">
        <f>'트래블마트 통합'!$A17</f>
        <v>말레이시아</v>
      </c>
      <c r="C47" s="315" t="str">
        <f>'트래블마트 통합'!$B17</f>
        <v>쿠알라룸프르, 쿠칭</v>
      </c>
      <c r="D47" s="316" t="str">
        <f>IFERROR(LEFT('트래블마트 통합'!J17,FIND(CHAR(10),'트래블마트 통합'!J17)-1),'트래블마트 통합'!J17)</f>
        <v>8/18–8/20 – PATA Travel Mart</v>
      </c>
      <c r="E47" s="315" t="str">
        <f>IF(ISNUMBER(SEARCH("★★★",'트래블마트 통합'!J17)),"★★★",IF(ISNUMBER(SEARCH("★★",'트래블마트 통합'!J17)),"★★",IF(ISNUMBER(SEARCH("★",'트래블마트 통합'!J17)),"★","-")))</f>
        <v>★★</v>
      </c>
      <c r="F47" s="317" t="b">
        <v>0</v>
      </c>
      <c r="G47" s="317" t="b">
        <v>0</v>
      </c>
      <c r="H47" s="315" t="str">
        <f t="shared" si="1"/>
        <v>미정</v>
      </c>
      <c r="I47" s="316" t="str">
        <f>'트래블마트 통합'!J17</f>
        <v>8/18–8/20 – PATA Travel Mart
[★★ 중간] 아시아·태평양 대표 B2B</v>
      </c>
      <c r="J47" s="318"/>
    </row>
    <row r="48" spans="1:10">
      <c r="A48" s="314" t="str">
        <f>'트래블마트 통합'!K$2</f>
        <v>2026년 9월</v>
      </c>
      <c r="B48" s="315" t="str">
        <f>'트래블마트 통합'!$A9</f>
        <v>중국</v>
      </c>
      <c r="C48" s="315" t="str">
        <f>'트래블마트 통합'!$B9</f>
        <v>광동,화동,화북,내륙</v>
      </c>
      <c r="D48" s="316" t="str">
        <f>IFERROR(LEFT('트래블마트 통합'!K9,FIND(CHAR(10),'트래블마트 통합'!K9)-1),'트래블마트 통합'!K9)</f>
        <v>2차 광저우, 심천</v>
      </c>
      <c r="E48" s="315" t="str">
        <f>IF(ISNUMBER(SEARCH("★★★",'트래블마트 통합'!K9)),"★★★",IF(ISNUMBER(SEARCH("★★",'트래블마트 통합'!K9)),"★★",IF(ISNUMBER(SEARCH("★",'트래블마트 통합'!K9)),"★","-")))</f>
        <v>-</v>
      </c>
      <c r="F48" s="317" t="b">
        <v>0</v>
      </c>
      <c r="G48" s="317" t="b">
        <v>0</v>
      </c>
      <c r="H48" s="315" t="str">
        <f t="shared" si="1"/>
        <v>미정</v>
      </c>
      <c r="I48" s="316" t="str">
        <f>'트래블마트 통합'!K9</f>
        <v>2차 광저우, 심천</v>
      </c>
      <c r="J48" s="318"/>
    </row>
    <row r="49" spans="1:10">
      <c r="A49" s="314" t="str">
        <f>'트래블마트 통합'!K$2</f>
        <v>2026년 9월</v>
      </c>
      <c r="B49" s="315" t="str">
        <f>'트래블마트 통합'!$A11</f>
        <v>일본</v>
      </c>
      <c r="C49" s="315" t="str">
        <f>'트래블마트 통합'!$B11</f>
        <v>(순환개최)</v>
      </c>
      <c r="D49" s="316" t="str">
        <f>IFERROR(LEFT('트래블마트 통합'!K11,FIND(CHAR(10),'트래블마트 통합'!K11)-1),'트래블마트 통합'!K11)</f>
        <v>9/24–9/27 – Tourism EXPO Japan (TEJ)</v>
      </c>
      <c r="E49" s="315" t="str">
        <f>IF(ISNUMBER(SEARCH("★★★",'트래블마트 통합'!K11)),"★★★",IF(ISNUMBER(SEARCH("★★",'트래블마트 통합'!K11)),"★★",IF(ISNUMBER(SEARCH("★",'트래블마트 통합'!K11)),"★","-")))</f>
        <v>★★</v>
      </c>
      <c r="F49" s="317" t="b">
        <v>0</v>
      </c>
      <c r="G49" s="317" t="b">
        <v>0</v>
      </c>
      <c r="H49" s="315" t="str">
        <f t="shared" si="1"/>
        <v>미정</v>
      </c>
      <c r="I49" s="316" t="str">
        <f>'트래블마트 통합'!K11</f>
        <v>9/24–9/27 – Tourism EXPO Japan (TEJ)
[★★ 중간] 일본 최대 종합 트래블쇼</v>
      </c>
      <c r="J49" s="318"/>
    </row>
    <row r="50" spans="1:10">
      <c r="A50" s="314" t="str">
        <f>'트래블마트 통합'!K$2</f>
        <v>2026년 9월</v>
      </c>
      <c r="B50" s="315" t="str">
        <f>'트래블마트 통합'!$A13</f>
        <v>홍콩</v>
      </c>
      <c r="C50" s="315" t="str">
        <f>'트래블마트 통합'!$B13</f>
        <v>홍콩</v>
      </c>
      <c r="D50" s="316" t="str">
        <f>IFERROR(LEFT('트래블마트 통합'!K13,FIND(CHAR(10),'트래블마트 통합'!K13)-1),'트래블마트 통합'!K13)</f>
        <v>2차 세일즈 콜</v>
      </c>
      <c r="E50" s="315" t="str">
        <f>IF(ISNUMBER(SEARCH("★★★",'트래블마트 통합'!K13)),"★★★",IF(ISNUMBER(SEARCH("★★",'트래블마트 통합'!K13)),"★★",IF(ISNUMBER(SEARCH("★",'트래블마트 통합'!K13)),"★","-")))</f>
        <v>-</v>
      </c>
      <c r="F50" s="317" t="b">
        <v>0</v>
      </c>
      <c r="G50" s="317" t="b">
        <v>0</v>
      </c>
      <c r="H50" s="315" t="str">
        <f t="shared" si="1"/>
        <v>미정</v>
      </c>
      <c r="I50" s="316" t="str">
        <f>'트래블마트 통합'!K13</f>
        <v>2차 세일즈 콜
대만+홍콩</v>
      </c>
      <c r="J50" s="318"/>
    </row>
    <row r="51" spans="1:10">
      <c r="A51" s="314" t="str">
        <f>'트래블마트 통합'!K$2</f>
        <v>2026년 9월</v>
      </c>
      <c r="B51" s="315" t="str">
        <f>'트래블마트 통합'!$A17</f>
        <v>말레이시아</v>
      </c>
      <c r="C51" s="315" t="str">
        <f>'트래블마트 통합'!$B17</f>
        <v>쿠알라룸프르, 쿠칭</v>
      </c>
      <c r="D51" s="316" t="str">
        <f>IFERROR(LEFT('트래블마트 통합'!K17,FIND(CHAR(10),'트래블마트 통합'!K17)-1),'트래블마트 통합'!K17)</f>
        <v>MATTA Fair</v>
      </c>
      <c r="E51" s="315" t="str">
        <f>IF(ISNUMBER(SEARCH("★★★",'트래블마트 통합'!K17)),"★★★",IF(ISNUMBER(SEARCH("★★",'트래블마트 통합'!K17)),"★★",IF(ISNUMBER(SEARCH("★",'트래블마트 통합'!K17)),"★","-")))</f>
        <v>★</v>
      </c>
      <c r="F51" s="317" t="b">
        <v>0</v>
      </c>
      <c r="G51" s="317" t="b">
        <v>0</v>
      </c>
      <c r="H51" s="315" t="str">
        <f t="shared" si="1"/>
        <v>미정</v>
      </c>
      <c r="I51" s="316" t="str">
        <f>'트래블마트 통합'!K17</f>
        <v>MATTA Fair
[★ 선택] 말레이시아 최대 B2C</v>
      </c>
      <c r="J51" s="318"/>
    </row>
    <row r="52" spans="1:10">
      <c r="A52" s="314" t="str">
        <f>'트래블마트 통합'!K$2</f>
        <v>2026년 9월</v>
      </c>
      <c r="B52" s="315" t="str">
        <f>'트래블마트 통합'!$A20</f>
        <v>인도</v>
      </c>
      <c r="C52" s="315" t="str">
        <f>'트래블마트 통합'!$B20</f>
        <v>뭄바이
뉴델리</v>
      </c>
      <c r="D52" s="316" t="str">
        <f>IFERROR(LEFT('트래블마트 통합'!K20,FIND(CHAR(10),'트래블마트 통합'!K20)-1),'트래블마트 통합'!K20)</f>
        <v>9/2–9/4 – ITB India</v>
      </c>
      <c r="E52" s="315" t="str">
        <f>IF(ISNUMBER(SEARCH("★★★",'트래블마트 통합'!K20)),"★★★",IF(ISNUMBER(SEARCH("★★",'트래블마트 통합'!K20)),"★★",IF(ISNUMBER(SEARCH("★",'트래블마트 통합'!K20)),"★","-")))</f>
        <v>★★★</v>
      </c>
      <c r="F52" s="317" t="b">
        <v>0</v>
      </c>
      <c r="G52" s="317" t="b">
        <v>0</v>
      </c>
      <c r="H52" s="315" t="str">
        <f t="shared" si="1"/>
        <v>미정</v>
      </c>
      <c r="I52" s="316" t="str">
        <f>'트래블마트 통합'!K20</f>
        <v>9/2–9/4 – ITB India
[★★★ 최우선] 인도 outbound 핵심</v>
      </c>
      <c r="J52" s="318"/>
    </row>
    <row r="53" spans="1:10">
      <c r="A53" s="314" t="str">
        <f>'트래블마트 통합'!K$2</f>
        <v>2026년 9월</v>
      </c>
      <c r="B53" s="315" t="str">
        <f>'트래블마트 통합'!$A21</f>
        <v>러시아</v>
      </c>
      <c r="C53" s="315" t="str">
        <f>'트래블마트 통합'!$B21</f>
        <v>모스크바</v>
      </c>
      <c r="D53" s="316" t="str">
        <f>IFERROR(LEFT('트래블마트 통합'!K21,FIND(CHAR(10),'트래블마트 통합'!K21)-1),'트래블마트 통합'!K21)</f>
        <v>OTDYKH Leisure Travel Market 2026</v>
      </c>
      <c r="E53" s="315" t="str">
        <f>IF(ISNUMBER(SEARCH("★★★",'트래블마트 통합'!K21)),"★★★",IF(ISNUMBER(SEARCH("★★",'트래블마트 통합'!K21)),"★★",IF(ISNUMBER(SEARCH("★",'트래블마트 통합'!K21)),"★","-")))</f>
        <v>★</v>
      </c>
      <c r="F53" s="317" t="b">
        <v>0</v>
      </c>
      <c r="G53" s="317" t="b">
        <v>0</v>
      </c>
      <c r="H53" s="315" t="str">
        <f t="shared" si="1"/>
        <v>미정</v>
      </c>
      <c r="I53" s="316" t="str">
        <f>'트래블마트 통합'!K21</f>
        <v>OTDYKH Leisure Travel Market 2026
2026년 9월 10일 ~ 9월 12일
[★ 선택] 러시아 인바운드·아웃바운드 모두 강함</v>
      </c>
      <c r="J53" s="318"/>
    </row>
    <row r="54" spans="1:10">
      <c r="A54" s="314" t="str">
        <f>'트래블마트 통합'!L$2</f>
        <v>2026년 10월</v>
      </c>
      <c r="B54" s="315" t="str">
        <f>'트래블마트 통합'!$A9</f>
        <v>중국</v>
      </c>
      <c r="C54" s="315" t="str">
        <f>'트래블마트 통합'!$B9</f>
        <v>광동,화동,화북,내륙</v>
      </c>
      <c r="D54" s="316" t="str">
        <f>IFERROR(LEFT('트래블마트 통합'!L9,FIND(CHAR(10),'트래블마트 통합'!L9)-1),'트래블마트 통합'!L9)</f>
        <v>1차 세일즈 콜</v>
      </c>
      <c r="E54" s="315" t="str">
        <f>IF(ISNUMBER(SEARCH("★★★",'트래블마트 통합'!L9)),"★★★",IF(ISNUMBER(SEARCH("★★",'트래블마트 통합'!L9)),"★★",IF(ISNUMBER(SEARCH("★",'트래블마트 통합'!L9)),"★","-")))</f>
        <v>-</v>
      </c>
      <c r="F54" s="317" t="b">
        <v>0</v>
      </c>
      <c r="G54" s="317" t="b">
        <v>0</v>
      </c>
      <c r="H54" s="315" t="str">
        <f t="shared" si="1"/>
        <v>미정</v>
      </c>
      <c r="I54" s="316" t="str">
        <f>'트래블마트 통합'!L9</f>
        <v>1차 세일즈 콜
청두, 시안, 무한
CITIE Tourism Expo 2026 Guangzhou China (September 11-13)
2026 CHINA OUTBOUND &amp; INBOUND TRAVEL MARKET 10/14–16 (베이징)</v>
      </c>
      <c r="J54" s="318"/>
    </row>
    <row r="55" spans="1:10">
      <c r="A55" s="314" t="str">
        <f>'트래블마트 통합'!L$2</f>
        <v>2026년 10월</v>
      </c>
      <c r="B55" s="315" t="str">
        <f>'트래블마트 통합'!$A15</f>
        <v>베트남</v>
      </c>
      <c r="C55" s="315" t="str">
        <f>'트래블마트 통합'!$B15</f>
        <v>호치민
하노이</v>
      </c>
      <c r="D55" s="316" t="str">
        <f>IFERROR(LEFT('트래블마트 통합'!L15,FIND(CHAR(10),'트래블마트 통합'!L15)-1),'트래블마트 통합'!L15)</f>
        <v>ITE HCMC</v>
      </c>
      <c r="E55" s="315" t="str">
        <f>IF(ISNUMBER(SEARCH("★★★",'트래블마트 통합'!L15)),"★★★",IF(ISNUMBER(SEARCH("★★",'트래블마트 통합'!L15)),"★★",IF(ISNUMBER(SEARCH("★",'트래블마트 통합'!L15)),"★","-")))</f>
        <v>★★</v>
      </c>
      <c r="F55" s="317" t="b">
        <v>0</v>
      </c>
      <c r="G55" s="317" t="b">
        <v>0</v>
      </c>
      <c r="H55" s="315" t="str">
        <f t="shared" si="1"/>
        <v>미정</v>
      </c>
      <c r="I55" s="316" t="str">
        <f>'트래블마트 통합'!L15</f>
        <v>ITE HCMC
16~18 Oct
[★★ 중간] 메콩 최대 B2B+B2C (Calendar 기준 9/3–9/5)</v>
      </c>
      <c r="J55" s="318"/>
    </row>
    <row r="56" spans="1:10">
      <c r="A56" s="314" t="str">
        <f>'트래블마트 통합'!L$2</f>
        <v>2026년 10월</v>
      </c>
      <c r="B56" s="315" t="str">
        <f>'트래블마트 통합'!$A16</f>
        <v>태국</v>
      </c>
      <c r="C56" s="315" t="str">
        <f>'트래블마트 통합'!$B16</f>
        <v>방콕</v>
      </c>
      <c r="D56" s="316" t="str">
        <f>IFERROR(LEFT('트래블마트 통합'!L16,FIND(CHAR(10),'트래블마트 통합'!L16)-1),'트래블마트 통합'!L16)</f>
        <v>Visit Japan FIT Fair #17</v>
      </c>
      <c r="E56" s="315" t="str">
        <f>IF(ISNUMBER(SEARCH("★★★",'트래블마트 통합'!L16)),"★★★",IF(ISNUMBER(SEARCH("★★",'트래블마트 통합'!L16)),"★★",IF(ISNUMBER(SEARCH("★",'트래블마트 통합'!L16)),"★","-")))</f>
        <v>-</v>
      </c>
      <c r="F56" s="317" t="b">
        <v>0</v>
      </c>
      <c r="G56" s="317" t="b">
        <v>0</v>
      </c>
      <c r="H56" s="315" t="str">
        <f t="shared" si="1"/>
        <v>미정</v>
      </c>
      <c r="I56" s="316" t="str">
        <f>'트래블마트 통합'!L16</f>
        <v>Visit Japan FIT Fair #17
올해 10월16~18일 개최</v>
      </c>
      <c r="J56" s="318"/>
    </row>
    <row r="57" spans="1:10">
      <c r="A57" s="314" t="str">
        <f>'트래블마트 통합'!L$2</f>
        <v>2026년 10월</v>
      </c>
      <c r="B57" s="315" t="str">
        <f>'트래블마트 통합'!$A18</f>
        <v>싱가포르</v>
      </c>
      <c r="C57" s="315" t="str">
        <f>'트래블마트 통합'!$B18</f>
        <v>마리나베이</v>
      </c>
      <c r="D57" s="316" t="str">
        <f>IFERROR(LEFT('트래블마트 통합'!L18,FIND(CHAR(10),'트래블마트 통합'!L18)-1),'트래블마트 통합'!L18)</f>
        <v>10/21–10/23 – ITB Asia</v>
      </c>
      <c r="E57" s="315" t="str">
        <f>IF(ISNUMBER(SEARCH("★★★",'트래블마트 통합'!L18)),"★★★",IF(ISNUMBER(SEARCH("★★",'트래블마트 통합'!L18)),"★★",IF(ISNUMBER(SEARCH("★",'트래블마트 통합'!L18)),"★","-")))</f>
        <v>★★★</v>
      </c>
      <c r="F57" s="317" t="b">
        <v>0</v>
      </c>
      <c r="G57" s="317" t="b">
        <v>0</v>
      </c>
      <c r="H57" s="315" t="str">
        <f t="shared" si="1"/>
        <v>미정</v>
      </c>
      <c r="I57" s="316" t="str">
        <f>'트래블마트 통합'!L18</f>
        <v>10/21–10/23 – ITB Asia
[★★★ 최우선] 아시아 No.1 B2B 허브</v>
      </c>
      <c r="J57" s="318"/>
    </row>
    <row r="58" spans="1:10">
      <c r="A58" s="314" t="str">
        <f>'트래블마트 통합'!L$2</f>
        <v>2026년 10월</v>
      </c>
      <c r="B58" s="315" t="str">
        <f>'트래블마트 통합'!$A20</f>
        <v>인도</v>
      </c>
      <c r="C58" s="315" t="str">
        <f>'트래블마트 통합'!$B20</f>
        <v>뭄바이
뉴델리</v>
      </c>
      <c r="D58" s="316" t="str">
        <f>IFERROR(LEFT('트래블마트 통합'!L20,FIND(CHAR(10),'트래블마트 통합'!L20)-1),'트래블마트 통합'!L20)</f>
        <v>South Asia Travel &amp; Tourism Exchange</v>
      </c>
      <c r="E58" s="315" t="str">
        <f>IF(ISNUMBER(SEARCH("★★★",'트래블마트 통합'!L20)),"★★★",IF(ISNUMBER(SEARCH("★★",'트래블마트 통합'!L20)),"★★",IF(ISNUMBER(SEARCH("★",'트래블마트 통합'!L20)),"★","-")))</f>
        <v>-</v>
      </c>
      <c r="F58" s="317" t="b">
        <v>0</v>
      </c>
      <c r="G58" s="317" t="b">
        <v>0</v>
      </c>
      <c r="H58" s="315" t="str">
        <f t="shared" si="1"/>
        <v>미정</v>
      </c>
      <c r="I58" s="316" t="str">
        <f>'트래블마트 통합'!L20</f>
        <v>South Asia Travel &amp; Tourism Exchange</v>
      </c>
      <c r="J58" s="318"/>
    </row>
    <row r="59" spans="1:10">
      <c r="A59" s="314" t="str">
        <f>'트래블마트 통합'!L$2</f>
        <v>2026년 10월</v>
      </c>
      <c r="B59" s="315" t="str">
        <f>'트래블마트 통합'!$A25</f>
        <v>호주</v>
      </c>
      <c r="C59" s="315" t="str">
        <f>'트래블마트 통합'!$B25</f>
        <v>시드니, 애들레이드</v>
      </c>
      <c r="D59" s="316" t="str">
        <f>IFERROR(LEFT('트래블마트 통합'!L25,FIND(CHAR(10),'트래블마트 통합'!L25)-1),'트래블마트 통합'!L25)</f>
        <v>Luxperience</v>
      </c>
      <c r="E59" s="315" t="str">
        <f>IF(ISNUMBER(SEARCH("★★★",'트래블마트 통합'!L25)),"★★★",IF(ISNUMBER(SEARCH("★★",'트래블마트 통합'!L25)),"★★",IF(ISNUMBER(SEARCH("★",'트래블마트 통합'!L25)),"★","-")))</f>
        <v>-</v>
      </c>
      <c r="F59" s="317" t="b">
        <v>0</v>
      </c>
      <c r="G59" s="317" t="b">
        <v>0</v>
      </c>
      <c r="H59" s="315" t="str">
        <f t="shared" si="1"/>
        <v>미정</v>
      </c>
      <c r="I59" s="316" t="str">
        <f>'트래블마트 통합'!L25</f>
        <v>Luxperience</v>
      </c>
      <c r="J59" s="318"/>
    </row>
    <row r="60" spans="1:10">
      <c r="A60" s="314" t="str">
        <f>'트래블마트 통합'!L$2</f>
        <v>2026년 10월</v>
      </c>
      <c r="B60" s="315" t="str">
        <f>'트래블마트 통합'!$A28</f>
        <v>미국</v>
      </c>
      <c r="C60" s="315" t="str">
        <f>'트래블마트 통합'!$B28</f>
        <v>플로리다주
뉴욕</v>
      </c>
      <c r="D60" s="316" t="str">
        <f>IFERROR(LEFT('트래블마트 통합'!L28,FIND(CHAR(10),'트래블마트 통합'!L28)-1),'트래블마트 통합'!L28)</f>
        <v>Business Travel Show America 2026</v>
      </c>
      <c r="E60" s="315" t="str">
        <f>IF(ISNUMBER(SEARCH("★★★",'트래블마트 통합'!L28)),"★★★",IF(ISNUMBER(SEARCH("★★",'트래블마트 통합'!L28)),"★★",IF(ISNUMBER(SEARCH("★",'트래블마트 통합'!L28)),"★","-")))</f>
        <v>★</v>
      </c>
      <c r="F60" s="317" t="b">
        <v>0</v>
      </c>
      <c r="G60" s="317" t="b">
        <v>0</v>
      </c>
      <c r="H60" s="315" t="str">
        <f t="shared" si="1"/>
        <v>미정</v>
      </c>
      <c r="I60" s="316" t="str">
        <f>'트래블마트 통합'!L28</f>
        <v>Business Travel Show America 2026
2026년 10월 14-15일
[★ 선택] 북미 코퍼레이트 트래블 대표 행사</v>
      </c>
      <c r="J60" s="318"/>
    </row>
    <row r="61" spans="1:10">
      <c r="A61" s="314" t="str">
        <f>'트래블마트 통합'!M$2</f>
        <v>2026년 11월</v>
      </c>
      <c r="B61" s="315" t="str">
        <f>'트래블마트 통합'!$A9</f>
        <v>중국</v>
      </c>
      <c r="C61" s="315" t="str">
        <f>'트래블마트 통합'!$B9</f>
        <v>광동,화동,화북,내륙</v>
      </c>
      <c r="D61" s="316" t="str">
        <f>IFERROR(LEFT('트래블마트 통합'!M9,FIND(CHAR(10),'트래블마트 통합'!M9)-1),'트래블마트 통합'!M9)</f>
        <v>2차 베이징</v>
      </c>
      <c r="E61" s="315" t="str">
        <f>IF(ISNUMBER(SEARCH("★★★",'트래블마트 통합'!M9)),"★★★",IF(ISNUMBER(SEARCH("★★",'트래블마트 통합'!M9)),"★★",IF(ISNUMBER(SEARCH("★",'트래블마트 통합'!M9)),"★","-")))</f>
        <v>-</v>
      </c>
      <c r="F61" s="317" t="b">
        <v>0</v>
      </c>
      <c r="G61" s="317" t="b">
        <v>0</v>
      </c>
      <c r="H61" s="315" t="str">
        <f t="shared" si="1"/>
        <v>미정</v>
      </c>
      <c r="I61" s="316" t="str">
        <f>'트래블마트 통합'!M9</f>
        <v>2차 베이징
국경절 1~7일
 COITM from 14-16 October in Beijing</v>
      </c>
      <c r="J61" s="318"/>
    </row>
    <row r="62" spans="1:10">
      <c r="A62" s="314" t="str">
        <f>'트래블마트 통합'!M$2</f>
        <v>2026년 11월</v>
      </c>
      <c r="B62" s="315" t="str">
        <f>'트래블마트 통합'!$A10</f>
        <v>한국</v>
      </c>
      <c r="C62" s="315" t="str">
        <f>'트래블마트 통합'!$B10</f>
        <v>서울</v>
      </c>
      <c r="D62" s="316" t="str">
        <f>IFERROR(LEFT('트래블마트 통합'!M10,FIND(CHAR(10),'트래블마트 통합'!M10)-1),'트래블마트 통합'!M10)</f>
        <v>Travel Show</v>
      </c>
      <c r="E62" s="315" t="str">
        <f>IF(ISNUMBER(SEARCH("★★★",'트래블마트 통합'!M10)),"★★★",IF(ISNUMBER(SEARCH("★★",'트래블마트 통합'!M10)),"★★",IF(ISNUMBER(SEARCH("★",'트래블마트 통합'!M10)),"★","-")))</f>
        <v>★</v>
      </c>
      <c r="F62" s="317" t="b">
        <v>0</v>
      </c>
      <c r="G62" s="317" t="b">
        <v>0</v>
      </c>
      <c r="H62" s="315" t="str">
        <f t="shared" si="1"/>
        <v>미정</v>
      </c>
      <c r="I62" s="316" t="str">
        <f>'트래블마트 통합'!M10</f>
        <v>Travel Show
11월 12~15일
Korea MICE Expo (KME) 11/18–11/20
[★ 선택] 한국 MICE 대표 행사</v>
      </c>
      <c r="J62" s="318"/>
    </row>
    <row r="63" spans="1:10">
      <c r="A63" s="314" t="str">
        <f>'트래블마트 통합'!M$2</f>
        <v>2026년 11월</v>
      </c>
      <c r="B63" s="315" t="str">
        <f>'트래블마트 통합'!$A12</f>
        <v>대만</v>
      </c>
      <c r="C63" s="315" t="str">
        <f>'트래블마트 통합'!$B12</f>
        <v>타이베이</v>
      </c>
      <c r="D63" s="316" t="str">
        <f>IFERROR(LEFT('트래블마트 통합'!M12,FIND(CHAR(10),'트래블마트 통합'!M12)-1),'트래블마트 통합'!M12)</f>
        <v>ITF Taiwan International Travel Fair (ITF) 11월 6일 (금) ~ 11월 9일(월)</v>
      </c>
      <c r="E63" s="315" t="str">
        <f>IF(ISNUMBER(SEARCH("★★★",'트래블마트 통합'!M12)),"★★★",IF(ISNUMBER(SEARCH("★★",'트래블마트 통합'!M12)),"★★",IF(ISNUMBER(SEARCH("★",'트래블마트 통합'!M12)),"★","-")))</f>
        <v>-</v>
      </c>
      <c r="F63" s="317" t="b">
        <v>0</v>
      </c>
      <c r="G63" s="317" t="b">
        <v>0</v>
      </c>
      <c r="H63" s="315" t="str">
        <f t="shared" si="1"/>
        <v>미정</v>
      </c>
      <c r="I63" s="316" t="str">
        <f>'트래블마트 통합'!M12</f>
        <v>ITF Taiwan International Travel Fair (ITF) 11월 6일 (금) ~ 11월 9일(월)</v>
      </c>
      <c r="J63" s="318"/>
    </row>
    <row r="64" spans="1:10">
      <c r="A64" s="314" t="str">
        <f>'트래블마트 통합'!M$2</f>
        <v>2026년 11월</v>
      </c>
      <c r="B64" s="315" t="str">
        <f>'트래블마트 통합'!$A26</f>
        <v>영국</v>
      </c>
      <c r="C64" s="315" t="str">
        <f>'트래블마트 통합'!$B26</f>
        <v>런던</v>
      </c>
      <c r="D64" s="316" t="str">
        <f>IFERROR(LEFT('트래블마트 통합'!M26,FIND(CHAR(10),'트래블마트 통합'!M26)-1),'트래블마트 통합'!M26)</f>
        <v>WTM London 2026</v>
      </c>
      <c r="E64" s="315" t="str">
        <f>IF(ISNUMBER(SEARCH("★★★",'트래블마트 통합'!M26)),"★★★",IF(ISNUMBER(SEARCH("★★",'트래블마트 통합'!M26)),"★★",IF(ISNUMBER(SEARCH("★",'트래블마트 통합'!M26)),"★","-")))</f>
        <v>★★★</v>
      </c>
      <c r="F64" s="317" t="b">
        <v>0</v>
      </c>
      <c r="G64" s="317" t="b">
        <v>0</v>
      </c>
      <c r="H64" s="315" t="str">
        <f t="shared" si="1"/>
        <v>미정</v>
      </c>
      <c r="I64" s="316" t="str">
        <f>'트래블마트 통합'!M26</f>
        <v>WTM London 2026
2026.11.04 – 11.06
[★★★ 최우선] 글로벌 레저, 기술, 지속가능성</v>
      </c>
      <c r="J64" s="318"/>
    </row>
    <row r="65" spans="1:10">
      <c r="A65" s="314" t="str">
        <f>'트래블마트 통합'!M$2</f>
        <v>2026년 11월</v>
      </c>
      <c r="B65" s="315" t="str">
        <f>'트래블마트 통합'!$A29</f>
        <v>멕시코</v>
      </c>
      <c r="C65" s="315" t="str">
        <f>'트래블마트 통합'!$B29</f>
        <v>과달라하라</v>
      </c>
      <c r="D65" s="316" t="str">
        <f>IFERROR(LEFT('트래블마트 통합'!M29,FIND(CHAR(10),'트래블마트 통합'!M29)-1),'트래블마트 통합'!M29)</f>
        <v>ITB Americas 2026</v>
      </c>
      <c r="E65" s="315" t="str">
        <f>IF(ISNUMBER(SEARCH("★★★",'트래블마트 통합'!M29)),"★★★",IF(ISNUMBER(SEARCH("★★",'트래블마트 통합'!M29)),"★★",IF(ISNUMBER(SEARCH("★",'트래블마트 통합'!M29)),"★","-")))</f>
        <v>★</v>
      </c>
      <c r="F65" s="317" t="b">
        <v>0</v>
      </c>
      <c r="G65" s="317" t="b">
        <v>0</v>
      </c>
      <c r="H65" s="315" t="str">
        <f t="shared" si="1"/>
        <v>미정</v>
      </c>
      <c r="I65" s="316" t="str">
        <f>'트래블마트 통합'!M29</f>
        <v>ITB Americas 2026
2026년 11월 10-12일
[★ 선택] 미주 전역 바이어 연결 허브</v>
      </c>
      <c r="J65" s="318"/>
    </row>
    <row r="66" spans="1:10">
      <c r="A66" s="314" t="str">
        <f>'트래블마트 통합'!N$2</f>
        <v>2026년 12월</v>
      </c>
      <c r="B66" s="315" t="str">
        <f>'트래블마트 통합'!$A9</f>
        <v>중국</v>
      </c>
      <c r="C66" s="315" t="str">
        <f>'트래블마트 통합'!$B9</f>
        <v>광동,화동,화북,내륙</v>
      </c>
      <c r="D66" s="316" t="str">
        <f>IFERROR(LEFT('트래블마트 통합'!N9,FIND(CHAR(10),'트래블마트 통합'!N9)-1),'트래블마트 통합'!N9)</f>
        <v>2차 상하이</v>
      </c>
      <c r="E66" s="315" t="str">
        <f>IF(ISNUMBER(SEARCH("★★★",'트래블마트 통합'!N9)),"★★★",IF(ISNUMBER(SEARCH("★★",'트래블마트 통합'!N9)),"★★",IF(ISNUMBER(SEARCH("★",'트래블마트 통합'!N9)),"★","-")))</f>
        <v>-</v>
      </c>
      <c r="F66" s="317" t="b">
        <v>0</v>
      </c>
      <c r="G66" s="317" t="b">
        <v>0</v>
      </c>
      <c r="H66" s="315" t="str">
        <f t="shared" si="1"/>
        <v>미정</v>
      </c>
      <c r="I66" s="316" t="str">
        <f>'트래블마트 통합'!N9</f>
        <v>2차 상하이</v>
      </c>
      <c r="J66" s="318"/>
    </row>
  </sheetData>
  <phoneticPr fontId="3" type="noConversion"/>
  <conditionalFormatting sqref="A4:E66">
    <cfRule type="expression" dxfId="539" priority="1">
      <formula>$G4=TRUE</formula>
    </cfRule>
    <cfRule type="expression" dxfId="538" priority="2">
      <formula>AND($F4=FALSE,$G4=FALSE,$E4="★★★")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BA457"/>
  <sheetViews>
    <sheetView zoomScale="78" zoomScaleNormal="78" workbookViewId="0">
      <pane xSplit="6" ySplit="2" topLeftCell="G3" activePane="bottomRight" state="frozen"/>
      <selection pane="bottomRight" activeCell="D3" sqref="D3"/>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4" customWidth="1"/>
    <col min="28" max="39" width="10" style="1" bestFit="1" customWidth="1" outlineLevel="1"/>
    <col min="40" max="40" width="9.25" style="1" bestFit="1" customWidth="1"/>
    <col min="41" max="41" width="12.25" style="1" bestFit="1" customWidth="1" outlineLevel="1"/>
    <col min="42" max="42" width="9.25" style="1" customWidth="1" outlineLevel="1"/>
    <col min="43" max="43" width="10.125" style="1" customWidth="1" outlineLevel="1"/>
    <col min="44" max="44" width="9.375" style="1" customWidth="1" outlineLevel="1"/>
    <col min="45" max="45" width="10.25" style="1" customWidth="1" outlineLevel="1"/>
    <col min="46" max="47" width="8.625" style="1" bestFit="1" customWidth="1" outlineLevel="1"/>
    <col min="48" max="48" width="17.375" style="1" bestFit="1" customWidth="1" outlineLevel="1"/>
    <col min="49" max="49" width="11.125" style="1" bestFit="1" customWidth="1" outlineLevel="1"/>
    <col min="50" max="50" width="16.125" style="1" bestFit="1" customWidth="1" outlineLevel="1"/>
    <col min="51" max="51" width="28.625" style="1" customWidth="1"/>
    <col min="52" max="52" width="23.25" style="1" bestFit="1" customWidth="1"/>
    <col min="53" max="53" width="7.875" style="1" bestFit="1" customWidth="1"/>
    <col min="54" max="16384" width="9" style="1"/>
  </cols>
  <sheetData>
    <row r="1" spans="1:53" ht="24.75" customHeight="1">
      <c r="A1" s="145"/>
      <c r="B1" s="324" t="s">
        <v>249</v>
      </c>
      <c r="C1" s="324"/>
      <c r="D1" s="324"/>
      <c r="E1" s="324"/>
      <c r="F1" s="325"/>
      <c r="G1" s="326"/>
      <c r="H1" s="324"/>
      <c r="I1" s="324"/>
      <c r="J1" s="324"/>
      <c r="K1" s="326"/>
      <c r="L1" s="324"/>
      <c r="M1" s="326"/>
      <c r="N1" s="324"/>
      <c r="O1" s="326"/>
      <c r="P1" s="326"/>
      <c r="Q1" s="324"/>
      <c r="R1" s="324"/>
      <c r="S1" s="324"/>
      <c r="T1" s="324"/>
      <c r="U1" s="324"/>
      <c r="V1" s="326"/>
      <c r="W1" s="324"/>
      <c r="X1" s="326"/>
      <c r="Y1" s="326"/>
      <c r="Z1" s="326"/>
      <c r="AA1" s="327"/>
      <c r="AB1" s="506" t="s">
        <v>250</v>
      </c>
      <c r="AC1" s="507"/>
      <c r="AD1" s="508"/>
      <c r="AE1" s="508"/>
      <c r="AF1" s="508"/>
      <c r="AG1" s="508"/>
      <c r="AH1" s="508"/>
      <c r="AI1" s="508"/>
      <c r="AJ1" s="508"/>
      <c r="AK1" s="508"/>
      <c r="AL1" s="508"/>
      <c r="AM1" s="508"/>
      <c r="AN1" s="508"/>
      <c r="AO1" s="509" t="s">
        <v>251</v>
      </c>
      <c r="AP1" s="509"/>
      <c r="AQ1" s="509"/>
      <c r="AR1" s="509"/>
      <c r="AS1" s="509"/>
      <c r="AT1" s="509"/>
      <c r="AU1" s="509"/>
      <c r="AV1" s="509"/>
      <c r="AW1" s="509"/>
      <c r="AX1" s="510"/>
      <c r="AY1" s="511" t="s">
        <v>252</v>
      </c>
      <c r="AZ1" s="511"/>
      <c r="BA1" s="511"/>
    </row>
    <row r="2" spans="1:53" ht="24.75" customHeight="1">
      <c r="A2" s="145" t="s">
        <v>253</v>
      </c>
      <c r="B2" s="328" t="s">
        <v>0</v>
      </c>
      <c r="C2" s="328" t="s">
        <v>11</v>
      </c>
      <c r="D2" s="328" t="s">
        <v>254</v>
      </c>
      <c r="E2" s="328" t="s">
        <v>255</v>
      </c>
      <c r="F2" s="329" t="s">
        <v>256</v>
      </c>
      <c r="G2" s="329" t="s">
        <v>257</v>
      </c>
      <c r="H2" s="328" t="s">
        <v>258</v>
      </c>
      <c r="I2" s="328" t="s">
        <v>259</v>
      </c>
      <c r="J2" s="328" t="s">
        <v>260</v>
      </c>
      <c r="K2" s="329" t="s">
        <v>36</v>
      </c>
      <c r="L2" s="328" t="s">
        <v>261</v>
      </c>
      <c r="M2" s="329" t="s">
        <v>262</v>
      </c>
      <c r="N2" s="328" t="s">
        <v>30</v>
      </c>
      <c r="O2" s="329" t="s">
        <v>263</v>
      </c>
      <c r="P2" s="329" t="s">
        <v>264</v>
      </c>
      <c r="Q2" s="329" t="s">
        <v>265</v>
      </c>
      <c r="R2" s="329" t="s">
        <v>29</v>
      </c>
      <c r="S2" s="329" t="s">
        <v>266</v>
      </c>
      <c r="T2" s="329" t="s">
        <v>267</v>
      </c>
      <c r="U2" s="329" t="s">
        <v>268</v>
      </c>
      <c r="V2" s="329" t="s">
        <v>269</v>
      </c>
      <c r="W2" s="328" t="s">
        <v>270</v>
      </c>
      <c r="X2" s="329" t="s">
        <v>271</v>
      </c>
      <c r="Y2" s="329" t="s">
        <v>272</v>
      </c>
      <c r="Z2" s="329" t="s">
        <v>273</v>
      </c>
      <c r="AA2" s="330" t="s">
        <v>274</v>
      </c>
      <c r="AB2" s="331" t="s">
        <v>275</v>
      </c>
      <c r="AC2" s="332" t="s">
        <v>276</v>
      </c>
      <c r="AD2" s="333" t="s">
        <v>277</v>
      </c>
      <c r="AE2" s="333" t="s">
        <v>278</v>
      </c>
      <c r="AF2" s="333" t="s">
        <v>279</v>
      </c>
      <c r="AG2" s="333" t="s">
        <v>280</v>
      </c>
      <c r="AH2" s="333" t="s">
        <v>281</v>
      </c>
      <c r="AI2" s="333" t="s">
        <v>282</v>
      </c>
      <c r="AJ2" s="334" t="s">
        <v>283</v>
      </c>
      <c r="AK2" s="332" t="s">
        <v>284</v>
      </c>
      <c r="AL2" s="335" t="s">
        <v>285</v>
      </c>
      <c r="AM2" s="331" t="s">
        <v>286</v>
      </c>
      <c r="AN2" s="332" t="s">
        <v>287</v>
      </c>
      <c r="AO2" s="336" t="s">
        <v>288</v>
      </c>
      <c r="AP2" s="337" t="s">
        <v>289</v>
      </c>
      <c r="AQ2" s="337" t="s">
        <v>290</v>
      </c>
      <c r="AR2" s="337" t="s">
        <v>291</v>
      </c>
      <c r="AS2" s="337" t="s">
        <v>292</v>
      </c>
      <c r="AT2" s="337" t="s">
        <v>293</v>
      </c>
      <c r="AU2" s="337" t="s">
        <v>294</v>
      </c>
      <c r="AV2" s="337" t="s">
        <v>295</v>
      </c>
      <c r="AW2" s="338" t="s">
        <v>296</v>
      </c>
      <c r="AX2" s="339" t="s">
        <v>297</v>
      </c>
      <c r="AY2" s="146" t="s">
        <v>298</v>
      </c>
      <c r="AZ2" s="146" t="s">
        <v>299</v>
      </c>
      <c r="BA2" s="146" t="s">
        <v>300</v>
      </c>
    </row>
    <row r="3" spans="1:53" s="2" customFormat="1" ht="24.75" customHeight="1">
      <c r="A3" s="145"/>
      <c r="B3" s="147" t="s">
        <v>4</v>
      </c>
      <c r="C3" s="147" t="s">
        <v>12</v>
      </c>
      <c r="D3" s="147">
        <v>1500</v>
      </c>
      <c r="E3" s="147" t="s">
        <v>26</v>
      </c>
      <c r="F3" s="148" t="s">
        <v>301</v>
      </c>
      <c r="G3" s="148" t="s">
        <v>302</v>
      </c>
      <c r="H3" s="147" t="s">
        <v>20</v>
      </c>
      <c r="I3" s="147"/>
      <c r="J3" s="147" t="s">
        <v>39</v>
      </c>
      <c r="K3" s="155" t="s">
        <v>37</v>
      </c>
      <c r="L3" s="147" t="s">
        <v>303</v>
      </c>
      <c r="M3" s="155" t="s">
        <v>304</v>
      </c>
      <c r="N3" s="147" t="s">
        <v>33</v>
      </c>
      <c r="O3" s="148" t="s">
        <v>305</v>
      </c>
      <c r="P3" s="148" t="s">
        <v>306</v>
      </c>
      <c r="Q3" s="147"/>
      <c r="R3" s="147"/>
      <c r="S3" s="147"/>
      <c r="T3" s="147"/>
      <c r="U3" s="147"/>
      <c r="V3" s="160"/>
      <c r="W3" s="149"/>
      <c r="X3" s="161"/>
      <c r="Y3" s="161"/>
      <c r="Z3" s="148" t="s">
        <v>307</v>
      </c>
      <c r="AA3" s="148" t="s">
        <v>308</v>
      </c>
      <c r="AB3" s="150">
        <v>45661</v>
      </c>
      <c r="AC3" s="150">
        <v>45692</v>
      </c>
      <c r="AD3" s="150">
        <v>45721</v>
      </c>
      <c r="AE3" s="150">
        <v>45811</v>
      </c>
      <c r="AF3" s="151">
        <v>45925</v>
      </c>
      <c r="AG3" s="340">
        <v>45930</v>
      </c>
      <c r="AH3" s="150">
        <v>45932</v>
      </c>
      <c r="AI3" s="150">
        <v>45955</v>
      </c>
      <c r="AJ3" s="151">
        <v>45960</v>
      </c>
      <c r="AK3" s="150">
        <v>45972</v>
      </c>
      <c r="AL3" s="150">
        <v>45973</v>
      </c>
      <c r="AM3" s="150">
        <v>46016</v>
      </c>
      <c r="AN3" s="152" t="str" cm="1">
        <f t="array" ref="AN3">IFERROR(
  LOOKUP(
    2,
    1/((AB3:AM3&lt;&gt;"")*(ISNUMBER(AB3:AM3)+ISNONTEXT(AB3:AM3)&gt;0)),
    {10,20,30,40,45,50,60,70,75,80,90,100}
  ) &amp; "%",
  "0%"
)</f>
        <v>100%</v>
      </c>
      <c r="AO3" s="153" t="s">
        <v>309</v>
      </c>
      <c r="AP3" s="147"/>
      <c r="AQ3" s="147"/>
      <c r="AR3" s="154"/>
      <c r="AS3" s="154"/>
      <c r="AT3" s="154" t="s">
        <v>310</v>
      </c>
      <c r="AU3" s="154">
        <v>5</v>
      </c>
      <c r="AV3" s="154"/>
      <c r="AW3" s="154">
        <v>0</v>
      </c>
      <c r="AX3" s="154"/>
      <c r="AY3" s="233"/>
      <c r="AZ3" s="147"/>
      <c r="BA3" s="147"/>
    </row>
    <row r="4" spans="1:53" s="2" customFormat="1" ht="24.75" customHeight="1">
      <c r="A4" s="145"/>
      <c r="B4" s="147" t="s">
        <v>4</v>
      </c>
      <c r="C4" s="147" t="s">
        <v>12</v>
      </c>
      <c r="D4" s="147">
        <v>1000</v>
      </c>
      <c r="E4" s="147" t="s">
        <v>26</v>
      </c>
      <c r="F4" s="148" t="s">
        <v>311</v>
      </c>
      <c r="G4" s="148" t="s">
        <v>312</v>
      </c>
      <c r="H4" s="147" t="s">
        <v>21</v>
      </c>
      <c r="I4" s="147" t="s">
        <v>22</v>
      </c>
      <c r="J4" s="147" t="s">
        <v>313</v>
      </c>
      <c r="K4" s="155" t="s">
        <v>303</v>
      </c>
      <c r="L4" s="147" t="s">
        <v>303</v>
      </c>
      <c r="M4" s="155" t="s">
        <v>313</v>
      </c>
      <c r="N4" s="147" t="s">
        <v>33</v>
      </c>
      <c r="O4" s="148" t="s">
        <v>314</v>
      </c>
      <c r="P4" s="148" t="s">
        <v>315</v>
      </c>
      <c r="Q4" s="147"/>
      <c r="R4" s="147"/>
      <c r="S4" s="147" t="s">
        <v>4</v>
      </c>
      <c r="T4" s="147"/>
      <c r="U4" s="147"/>
      <c r="V4" s="155" t="s">
        <v>316</v>
      </c>
      <c r="W4" s="147"/>
      <c r="X4" s="182" t="s">
        <v>317</v>
      </c>
      <c r="Y4" s="161"/>
      <c r="Z4" s="161" t="s">
        <v>318</v>
      </c>
      <c r="AA4" s="156" t="s">
        <v>319</v>
      </c>
      <c r="AB4" s="157">
        <v>45950</v>
      </c>
      <c r="AC4" s="154"/>
      <c r="AD4" s="154"/>
      <c r="AE4" s="154"/>
      <c r="AF4" s="157"/>
      <c r="AG4" s="157"/>
      <c r="AH4" s="154"/>
      <c r="AI4" s="154"/>
      <c r="AJ4" s="154"/>
      <c r="AK4" s="147" t="s">
        <v>320</v>
      </c>
      <c r="AL4" s="147"/>
      <c r="AM4" s="147"/>
      <c r="AN4" s="152" t="str" cm="1">
        <f t="array" ref="AN4">IFERROR(
  LOOKUP(
    2,
    1/((AB4:AM4&lt;&gt;"")*(ISNUMBER(AB4:AM4)+ISNONTEXT(AB4:AM4)&gt;0)),
    {10,20,30,40,45,50,60,70,75,80,90,100}
  ) &amp; "%",
  "0%"
)</f>
        <v>10%</v>
      </c>
      <c r="AO4" s="153" t="s">
        <v>309</v>
      </c>
      <c r="AP4" s="154"/>
      <c r="AQ4" s="154"/>
      <c r="AR4" s="154"/>
      <c r="AS4" s="154"/>
      <c r="AT4" s="154"/>
      <c r="AU4" s="154"/>
      <c r="AV4" s="154"/>
      <c r="AW4" s="154"/>
      <c r="AX4" s="154"/>
      <c r="AY4" s="233" t="s">
        <v>321</v>
      </c>
      <c r="AZ4" s="147"/>
      <c r="BA4" s="147"/>
    </row>
    <row r="5" spans="1:53" ht="24.75" customHeight="1">
      <c r="A5" s="145"/>
      <c r="B5" s="147" t="s">
        <v>4</v>
      </c>
      <c r="C5" s="147" t="s">
        <v>13</v>
      </c>
      <c r="D5" s="147"/>
      <c r="E5" s="147" t="s">
        <v>26</v>
      </c>
      <c r="F5" s="161" t="s">
        <v>322</v>
      </c>
      <c r="G5" s="148" t="s">
        <v>323</v>
      </c>
      <c r="H5" s="147" t="s">
        <v>20</v>
      </c>
      <c r="I5" s="147"/>
      <c r="J5" s="147" t="s">
        <v>324</v>
      </c>
      <c r="K5" s="155" t="s">
        <v>37</v>
      </c>
      <c r="L5" s="147" t="s">
        <v>324</v>
      </c>
      <c r="M5" s="155" t="s">
        <v>325</v>
      </c>
      <c r="N5" s="147" t="s">
        <v>32</v>
      </c>
      <c r="O5" s="148" t="s">
        <v>326</v>
      </c>
      <c r="P5" s="148" t="s">
        <v>327</v>
      </c>
      <c r="Q5" s="147"/>
      <c r="R5" s="147"/>
      <c r="S5" s="147" t="s">
        <v>4</v>
      </c>
      <c r="T5" s="147"/>
      <c r="U5" s="147"/>
      <c r="V5" s="205" t="s">
        <v>328</v>
      </c>
      <c r="W5" s="158"/>
      <c r="X5" s="161" t="s">
        <v>329</v>
      </c>
      <c r="Y5" s="161"/>
      <c r="Z5" s="161" t="s">
        <v>322</v>
      </c>
      <c r="AA5" s="159" t="s">
        <v>330</v>
      </c>
      <c r="AB5" s="157">
        <v>44565</v>
      </c>
      <c r="AC5" s="150"/>
      <c r="AD5" s="157">
        <v>44822</v>
      </c>
      <c r="AE5" s="147"/>
      <c r="AF5" s="147"/>
      <c r="AG5" s="150"/>
      <c r="AH5" s="147"/>
      <c r="AI5" s="147"/>
      <c r="AJ5" s="147"/>
      <c r="AK5" s="150">
        <v>44876</v>
      </c>
      <c r="AL5" s="147"/>
      <c r="AM5" s="150">
        <v>45959</v>
      </c>
      <c r="AN5" s="152" t="str" cm="1">
        <f t="array" ref="AN5">IFERROR(
  LOOKUP(
    2,
    1/((AB5:AM5&lt;&gt;"")*(ISNUMBER(AB5:AM5)+ISNONTEXT(AB5:AM5)&gt;0)),
    {10,20,30,40,45,50,60,70,75,80,90,100}
  ) &amp; "%",
  "0%"
)</f>
        <v>100%</v>
      </c>
      <c r="AO5" s="147" t="s">
        <v>322</v>
      </c>
      <c r="AP5" s="147" t="s">
        <v>331</v>
      </c>
      <c r="AQ5" s="147" t="s">
        <v>332</v>
      </c>
      <c r="AR5" s="147" t="s">
        <v>331</v>
      </c>
      <c r="AS5" s="147" t="s">
        <v>331</v>
      </c>
      <c r="AT5" s="154" t="s">
        <v>333</v>
      </c>
      <c r="AU5" s="154">
        <v>5</v>
      </c>
      <c r="AV5" s="154"/>
      <c r="AW5" s="154"/>
      <c r="AX5" s="154" t="s">
        <v>334</v>
      </c>
      <c r="AY5" s="233"/>
      <c r="AZ5" s="147"/>
      <c r="BA5" s="147"/>
    </row>
    <row r="6" spans="1:53" ht="24.75" customHeight="1">
      <c r="A6" s="145"/>
      <c r="B6" s="147" t="s">
        <v>4</v>
      </c>
      <c r="C6" s="147" t="s">
        <v>12</v>
      </c>
      <c r="D6" s="147"/>
      <c r="E6" s="147" t="s">
        <v>26</v>
      </c>
      <c r="F6" s="161" t="s">
        <v>335</v>
      </c>
      <c r="G6" s="148" t="s">
        <v>336</v>
      </c>
      <c r="H6" s="147" t="s">
        <v>20</v>
      </c>
      <c r="I6" s="147"/>
      <c r="J6" s="147" t="s">
        <v>324</v>
      </c>
      <c r="K6" s="155" t="s">
        <v>37</v>
      </c>
      <c r="L6" s="147" t="s">
        <v>324</v>
      </c>
      <c r="M6" s="155" t="s">
        <v>313</v>
      </c>
      <c r="N6" s="147" t="s">
        <v>337</v>
      </c>
      <c r="O6" s="148" t="s">
        <v>338</v>
      </c>
      <c r="P6" s="148" t="s">
        <v>339</v>
      </c>
      <c r="Q6" s="147"/>
      <c r="R6" s="147"/>
      <c r="S6" s="147"/>
      <c r="T6" s="147"/>
      <c r="U6" s="147"/>
      <c r="V6" s="160" t="s">
        <v>340</v>
      </c>
      <c r="W6" s="149"/>
      <c r="X6" s="161" t="s">
        <v>341</v>
      </c>
      <c r="Y6" s="161"/>
      <c r="Z6" s="148"/>
      <c r="AA6" s="159" t="s">
        <v>342</v>
      </c>
      <c r="AB6" s="157">
        <v>43857</v>
      </c>
      <c r="AC6" s="157">
        <v>43888</v>
      </c>
      <c r="AD6" s="147"/>
      <c r="AE6" s="147"/>
      <c r="AF6" s="147"/>
      <c r="AG6" s="150"/>
      <c r="AH6" s="147"/>
      <c r="AI6" s="147"/>
      <c r="AJ6" s="147"/>
      <c r="AK6" s="147" t="s">
        <v>320</v>
      </c>
      <c r="AL6" s="147"/>
      <c r="AM6" s="150">
        <v>45959</v>
      </c>
      <c r="AN6" s="152" t="str" cm="1">
        <f t="array" ref="AN6">IFERROR(
  LOOKUP(
    2,
    1/((AB6:AM6&lt;&gt;"")*(ISNUMBER(AB6:AM6)+ISNONTEXT(AB6:AM6)&gt;0)),
    {10,20,30,40,45,50,60,70,75,80,90,100}
  ) &amp; "%",
  "0%"
)</f>
        <v>100%</v>
      </c>
      <c r="AO6" s="153" t="s">
        <v>309</v>
      </c>
      <c r="AP6" s="147" t="s">
        <v>331</v>
      </c>
      <c r="AQ6" s="147" t="s">
        <v>332</v>
      </c>
      <c r="AR6" s="147" t="s">
        <v>331</v>
      </c>
      <c r="AS6" s="147" t="s">
        <v>331</v>
      </c>
      <c r="AT6" s="154" t="s">
        <v>310</v>
      </c>
      <c r="AU6" s="154">
        <v>7</v>
      </c>
      <c r="AV6" s="154"/>
      <c r="AW6" s="154"/>
      <c r="AX6" s="154" t="s">
        <v>334</v>
      </c>
      <c r="AY6" s="233"/>
      <c r="AZ6" s="147"/>
      <c r="BA6" s="147"/>
    </row>
    <row r="7" spans="1:53" ht="24.75" customHeight="1">
      <c r="A7" s="145"/>
      <c r="B7" s="147" t="s">
        <v>4</v>
      </c>
      <c r="C7" s="147" t="s">
        <v>13</v>
      </c>
      <c r="D7" s="147"/>
      <c r="E7" s="147" t="s">
        <v>26</v>
      </c>
      <c r="F7" s="161" t="s">
        <v>343</v>
      </c>
      <c r="G7" s="148" t="s">
        <v>344</v>
      </c>
      <c r="H7" s="147" t="s">
        <v>20</v>
      </c>
      <c r="I7" s="147"/>
      <c r="J7" s="147" t="s">
        <v>324</v>
      </c>
      <c r="K7" s="155" t="s">
        <v>37</v>
      </c>
      <c r="L7" s="147" t="s">
        <v>324</v>
      </c>
      <c r="M7" s="155" t="s">
        <v>304</v>
      </c>
      <c r="N7" s="147" t="s">
        <v>33</v>
      </c>
      <c r="O7" s="148" t="s">
        <v>345</v>
      </c>
      <c r="P7" s="148" t="s">
        <v>346</v>
      </c>
      <c r="Q7" s="147"/>
      <c r="R7" s="147"/>
      <c r="S7" s="147"/>
      <c r="T7" s="147"/>
      <c r="U7" s="147"/>
      <c r="V7" s="160" t="s">
        <v>347</v>
      </c>
      <c r="W7" s="149"/>
      <c r="X7" s="161" t="s">
        <v>348</v>
      </c>
      <c r="Y7" s="161"/>
      <c r="Z7" s="148"/>
      <c r="AA7" s="148" t="s">
        <v>349</v>
      </c>
      <c r="AB7" s="157">
        <v>43860</v>
      </c>
      <c r="AC7" s="147"/>
      <c r="AD7" s="157">
        <v>43960</v>
      </c>
      <c r="AE7" s="147"/>
      <c r="AF7" s="147"/>
      <c r="AG7" s="150"/>
      <c r="AH7" s="147"/>
      <c r="AI7" s="147"/>
      <c r="AJ7" s="147"/>
      <c r="AK7" s="147" t="s">
        <v>320</v>
      </c>
      <c r="AL7" s="147"/>
      <c r="AM7" s="150">
        <v>45959</v>
      </c>
      <c r="AN7" s="152" t="str" cm="1">
        <f t="array" ref="AN7">IFERROR(
  LOOKUP(
    2,
    1/((AB7:AM7&lt;&gt;"")*(ISNUMBER(AB7:AM7)+ISNONTEXT(AB7:AM7)&gt;0)),
    {10,20,30,40,45,50,60,70,75,80,90,100}
  ) &amp; "%",
  "0%"
)</f>
        <v>100%</v>
      </c>
      <c r="AO7" s="147" t="s">
        <v>343</v>
      </c>
      <c r="AP7" s="147" t="s">
        <v>332</v>
      </c>
      <c r="AQ7" s="147" t="s">
        <v>332</v>
      </c>
      <c r="AR7" s="147" t="s">
        <v>332</v>
      </c>
      <c r="AS7" s="147" t="s">
        <v>332</v>
      </c>
      <c r="AT7" s="154" t="s">
        <v>310</v>
      </c>
      <c r="AU7" s="154">
        <v>7</v>
      </c>
      <c r="AV7" s="154"/>
      <c r="AW7" s="154"/>
      <c r="AX7" s="154" t="s">
        <v>334</v>
      </c>
      <c r="AY7" s="233"/>
      <c r="AZ7" s="147"/>
      <c r="BA7" s="147"/>
    </row>
    <row r="8" spans="1:53" ht="24.75" customHeight="1">
      <c r="A8" s="145"/>
      <c r="B8" s="147" t="s">
        <v>4</v>
      </c>
      <c r="C8" s="147" t="s">
        <v>13</v>
      </c>
      <c r="D8" s="147"/>
      <c r="E8" s="147" t="s">
        <v>26</v>
      </c>
      <c r="F8" s="161" t="s">
        <v>350</v>
      </c>
      <c r="G8" s="148" t="s">
        <v>351</v>
      </c>
      <c r="H8" s="147" t="s">
        <v>20</v>
      </c>
      <c r="I8" s="147"/>
      <c r="J8" s="147" t="s">
        <v>352</v>
      </c>
      <c r="K8" s="155" t="s">
        <v>37</v>
      </c>
      <c r="L8" s="147" t="s">
        <v>324</v>
      </c>
      <c r="M8" s="155" t="s">
        <v>325</v>
      </c>
      <c r="N8" s="147" t="s">
        <v>32</v>
      </c>
      <c r="O8" s="148" t="s">
        <v>353</v>
      </c>
      <c r="P8" s="148" t="s">
        <v>354</v>
      </c>
      <c r="Q8" s="147"/>
      <c r="R8" s="147"/>
      <c r="S8" s="147"/>
      <c r="T8" s="147"/>
      <c r="U8" s="147"/>
      <c r="V8" s="160" t="s">
        <v>355</v>
      </c>
      <c r="W8" s="149"/>
      <c r="X8" s="161" t="s">
        <v>356</v>
      </c>
      <c r="Y8" s="161"/>
      <c r="Z8" s="148" t="s">
        <v>357</v>
      </c>
      <c r="AA8" s="159" t="s">
        <v>358</v>
      </c>
      <c r="AB8" s="157">
        <v>45199</v>
      </c>
      <c r="AC8" s="157">
        <v>45228</v>
      </c>
      <c r="AD8" s="157">
        <v>45251</v>
      </c>
      <c r="AE8" s="157">
        <v>45236</v>
      </c>
      <c r="AF8" s="147"/>
      <c r="AG8" s="150"/>
      <c r="AH8" s="147"/>
      <c r="AI8" s="147"/>
      <c r="AJ8" s="147"/>
      <c r="AK8" s="147" t="s">
        <v>320</v>
      </c>
      <c r="AL8" s="147"/>
      <c r="AM8" s="150">
        <v>45959</v>
      </c>
      <c r="AN8" s="152" t="str" cm="1">
        <f t="array" ref="AN8">IFERROR(
  LOOKUP(
    2,
    1/((AB8:AM8&lt;&gt;"")*(ISNUMBER(AB8:AM8)+ISNONTEXT(AB8:AM8)&gt;0)),
    {10,20,30,40,45,50,60,70,75,80,90,100}
  ) &amp; "%",
  "0%"
)</f>
        <v>100%</v>
      </c>
      <c r="AO8" s="147" t="s">
        <v>359</v>
      </c>
      <c r="AP8" s="147" t="s">
        <v>331</v>
      </c>
      <c r="AQ8" s="147" t="s">
        <v>331</v>
      </c>
      <c r="AR8" s="147" t="s">
        <v>331</v>
      </c>
      <c r="AS8" s="147" t="s">
        <v>331</v>
      </c>
      <c r="AT8" s="154" t="s">
        <v>333</v>
      </c>
      <c r="AU8" s="154">
        <v>7</v>
      </c>
      <c r="AV8" s="154" t="s">
        <v>360</v>
      </c>
      <c r="AW8" s="155" t="s">
        <v>361</v>
      </c>
      <c r="AX8" s="154" t="s">
        <v>334</v>
      </c>
      <c r="AY8" s="233"/>
      <c r="AZ8" s="147"/>
      <c r="BA8" s="147"/>
    </row>
    <row r="9" spans="1:53" ht="24.75" customHeight="1">
      <c r="A9" s="145"/>
      <c r="B9" s="147" t="s">
        <v>4</v>
      </c>
      <c r="C9" s="147" t="s">
        <v>12</v>
      </c>
      <c r="D9" s="147">
        <v>100</v>
      </c>
      <c r="E9" s="147" t="s">
        <v>26</v>
      </c>
      <c r="F9" s="148" t="s">
        <v>362</v>
      </c>
      <c r="G9" s="148" t="s">
        <v>302</v>
      </c>
      <c r="H9" s="147" t="s">
        <v>21</v>
      </c>
      <c r="I9" s="147" t="s">
        <v>23</v>
      </c>
      <c r="J9" s="147" t="s">
        <v>363</v>
      </c>
      <c r="K9" s="155" t="s">
        <v>364</v>
      </c>
      <c r="L9" s="147" t="s">
        <v>324</v>
      </c>
      <c r="M9" s="155" t="s">
        <v>363</v>
      </c>
      <c r="N9" s="147" t="s">
        <v>33</v>
      </c>
      <c r="O9" s="148" t="s">
        <v>365</v>
      </c>
      <c r="P9" s="148" t="s">
        <v>366</v>
      </c>
      <c r="Q9" s="147"/>
      <c r="R9" s="147"/>
      <c r="S9" s="147"/>
      <c r="T9" s="147"/>
      <c r="U9" s="147"/>
      <c r="V9" s="160" t="s">
        <v>367</v>
      </c>
      <c r="W9" s="149"/>
      <c r="X9" s="161" t="s">
        <v>368</v>
      </c>
      <c r="Y9" s="161"/>
      <c r="Z9" s="148" t="s">
        <v>369</v>
      </c>
      <c r="AA9" s="148" t="s">
        <v>370</v>
      </c>
      <c r="AB9" s="147"/>
      <c r="AC9" s="147"/>
      <c r="AD9" s="147"/>
      <c r="AE9" s="147"/>
      <c r="AF9" s="147"/>
      <c r="AG9" s="150"/>
      <c r="AH9" s="147"/>
      <c r="AI9" s="147"/>
      <c r="AJ9" s="147"/>
      <c r="AK9" s="147" t="s">
        <v>320</v>
      </c>
      <c r="AL9" s="147"/>
      <c r="AM9" s="150">
        <v>45959</v>
      </c>
      <c r="AN9" s="152" t="str" cm="1">
        <f t="array" ref="AN9">IFERROR(
  LOOKUP(
    2,
    1/((AB9:AM9&lt;&gt;"")*(ISNUMBER(AB9:AM9)+ISNONTEXT(AB9:AM9)&gt;0)),
    {10,20,30,40,45,50,60,70,75,80,90,100}
  ) &amp; "%",
  "0%"
)</f>
        <v>100%</v>
      </c>
      <c r="AO9" s="147"/>
      <c r="AP9" s="147" t="s">
        <v>371</v>
      </c>
      <c r="AQ9" s="147" t="s">
        <v>371</v>
      </c>
      <c r="AR9" s="147" t="s">
        <v>371</v>
      </c>
      <c r="AS9" s="147" t="s">
        <v>371</v>
      </c>
      <c r="AT9" s="154" t="s">
        <v>310</v>
      </c>
      <c r="AU9" s="154">
        <v>5</v>
      </c>
      <c r="AV9" s="154"/>
      <c r="AW9" s="154">
        <v>0</v>
      </c>
      <c r="AX9" s="154"/>
      <c r="AY9" s="233"/>
      <c r="AZ9" s="147"/>
      <c r="BA9" s="147"/>
    </row>
    <row r="10" spans="1:53" ht="24.75" customHeight="1">
      <c r="A10" s="145"/>
      <c r="B10" s="147" t="s">
        <v>4</v>
      </c>
      <c r="C10" s="147" t="s">
        <v>13</v>
      </c>
      <c r="D10" s="147"/>
      <c r="E10" s="147" t="s">
        <v>26</v>
      </c>
      <c r="F10" s="161" t="s">
        <v>372</v>
      </c>
      <c r="G10" s="148" t="s">
        <v>373</v>
      </c>
      <c r="H10" s="147" t="s">
        <v>20</v>
      </c>
      <c r="I10" s="147"/>
      <c r="J10" s="147" t="s">
        <v>325</v>
      </c>
      <c r="K10" s="155" t="s">
        <v>37</v>
      </c>
      <c r="L10" s="147" t="s">
        <v>324</v>
      </c>
      <c r="M10" s="155" t="s">
        <v>325</v>
      </c>
      <c r="N10" s="147" t="s">
        <v>32</v>
      </c>
      <c r="O10" s="148" t="s">
        <v>374</v>
      </c>
      <c r="P10" s="148" t="s">
        <v>375</v>
      </c>
      <c r="Q10" s="147"/>
      <c r="R10" s="147"/>
      <c r="S10" s="147"/>
      <c r="T10" s="147"/>
      <c r="U10" s="147"/>
      <c r="V10" s="160" t="s">
        <v>376</v>
      </c>
      <c r="W10" s="149"/>
      <c r="X10" s="148" t="s">
        <v>377</v>
      </c>
      <c r="Y10" s="148"/>
      <c r="Z10" s="161" t="s">
        <v>378</v>
      </c>
      <c r="AA10" s="148" t="s">
        <v>379</v>
      </c>
      <c r="AB10" s="157">
        <v>45228</v>
      </c>
      <c r="AC10" s="147"/>
      <c r="AD10" s="157">
        <v>45253</v>
      </c>
      <c r="AE10" s="157">
        <v>45244</v>
      </c>
      <c r="AF10" s="147"/>
      <c r="AG10" s="150"/>
      <c r="AH10" s="147"/>
      <c r="AI10" s="147"/>
      <c r="AJ10" s="147"/>
      <c r="AK10" s="147" t="s">
        <v>320</v>
      </c>
      <c r="AL10" s="147"/>
      <c r="AM10" s="150">
        <v>45959</v>
      </c>
      <c r="AN10" s="152" t="str" cm="1">
        <f t="array" ref="AN10">IFERROR(
  LOOKUP(
    2,
    1/((AB10:AM10&lt;&gt;"")*(ISNUMBER(AB10:AM10)+ISNONTEXT(AB10:AM10)&gt;0)),
    {10,20,30,40,45,50,60,70,75,80,90,100}
  ) &amp; "%",
  "0%"
)</f>
        <v>100%</v>
      </c>
      <c r="AO10" s="147" t="s">
        <v>380</v>
      </c>
      <c r="AP10" s="147" t="s">
        <v>331</v>
      </c>
      <c r="AQ10" s="147" t="s">
        <v>331</v>
      </c>
      <c r="AR10" s="147" t="s">
        <v>331</v>
      </c>
      <c r="AS10" s="147" t="s">
        <v>331</v>
      </c>
      <c r="AT10" s="154" t="s">
        <v>333</v>
      </c>
      <c r="AU10" s="154">
        <v>15</v>
      </c>
      <c r="AV10" s="154" t="s">
        <v>360</v>
      </c>
      <c r="AW10" s="147" t="s">
        <v>381</v>
      </c>
      <c r="AX10" s="154" t="s">
        <v>334</v>
      </c>
      <c r="AY10" s="233"/>
      <c r="AZ10" s="147"/>
      <c r="BA10" s="147"/>
    </row>
    <row r="11" spans="1:53" ht="24.75" customHeight="1">
      <c r="A11" s="145"/>
      <c r="B11" s="147" t="s">
        <v>4</v>
      </c>
      <c r="C11" s="147" t="s">
        <v>14</v>
      </c>
      <c r="D11" s="147"/>
      <c r="E11" s="147" t="s">
        <v>26</v>
      </c>
      <c r="F11" s="148" t="s">
        <v>382</v>
      </c>
      <c r="G11" s="148" t="s">
        <v>383</v>
      </c>
      <c r="H11" s="147" t="s">
        <v>23</v>
      </c>
      <c r="I11" s="147"/>
      <c r="J11" s="147" t="s">
        <v>304</v>
      </c>
      <c r="K11" s="155" t="s">
        <v>37</v>
      </c>
      <c r="L11" s="147" t="s">
        <v>304</v>
      </c>
      <c r="M11" s="155" t="s">
        <v>384</v>
      </c>
      <c r="N11" s="147" t="s">
        <v>33</v>
      </c>
      <c r="O11" s="148" t="s">
        <v>385</v>
      </c>
      <c r="P11" s="148" t="s">
        <v>386</v>
      </c>
      <c r="Q11" s="155"/>
      <c r="R11" s="155"/>
      <c r="S11" s="147"/>
      <c r="T11" s="147"/>
      <c r="U11" s="147"/>
      <c r="V11" s="160">
        <f>82-10-8341-2208</f>
        <v>-10477</v>
      </c>
      <c r="W11" s="149"/>
      <c r="X11" s="148" t="s">
        <v>387</v>
      </c>
      <c r="Y11" s="148"/>
      <c r="Z11" s="148"/>
      <c r="AA11" s="148" t="s">
        <v>388</v>
      </c>
      <c r="AB11" s="147"/>
      <c r="AC11" s="147"/>
      <c r="AD11" s="147"/>
      <c r="AE11" s="147"/>
      <c r="AF11" s="147"/>
      <c r="AG11" s="150"/>
      <c r="AH11" s="147"/>
      <c r="AI11" s="147"/>
      <c r="AJ11" s="147"/>
      <c r="AK11" s="147" t="s">
        <v>320</v>
      </c>
      <c r="AL11" s="147"/>
      <c r="AM11" s="150">
        <v>45959</v>
      </c>
      <c r="AN11" s="152" t="str" cm="1">
        <f t="array" ref="AN11">IFERROR(
  LOOKUP(
    2,
    1/((AB11:AM11&lt;&gt;"")*(ISNUMBER(AB11:AM11)+ISNONTEXT(AB11:AM11)&gt;0)),
    {10,20,30,40,45,50,60,70,75,80,90,100}
  ) &amp; "%",
  "0%"
)</f>
        <v>100%</v>
      </c>
      <c r="AO11" s="147" t="s">
        <v>383</v>
      </c>
      <c r="AP11" s="147" t="s">
        <v>389</v>
      </c>
      <c r="AQ11" s="147" t="s">
        <v>389</v>
      </c>
      <c r="AR11" s="147" t="s">
        <v>389</v>
      </c>
      <c r="AS11" s="147" t="s">
        <v>389</v>
      </c>
      <c r="AT11" s="154" t="s">
        <v>333</v>
      </c>
      <c r="AU11" s="147">
        <v>15</v>
      </c>
      <c r="AV11" s="147"/>
      <c r="AW11" s="147">
        <v>0</v>
      </c>
      <c r="AX11" s="147"/>
      <c r="AY11" s="233"/>
      <c r="AZ11" s="147"/>
      <c r="BA11" s="147"/>
    </row>
    <row r="12" spans="1:53" ht="24.75" customHeight="1">
      <c r="A12" s="145"/>
      <c r="B12" s="147" t="s">
        <v>4</v>
      </c>
      <c r="C12" s="147" t="s">
        <v>14</v>
      </c>
      <c r="D12" s="147"/>
      <c r="E12" s="147" t="s">
        <v>26</v>
      </c>
      <c r="F12" s="161" t="s">
        <v>390</v>
      </c>
      <c r="G12" s="148" t="s">
        <v>391</v>
      </c>
      <c r="H12" s="147" t="s">
        <v>20</v>
      </c>
      <c r="I12" s="147"/>
      <c r="J12" s="147" t="s">
        <v>392</v>
      </c>
      <c r="K12" s="155" t="s">
        <v>37</v>
      </c>
      <c r="L12" s="147" t="s">
        <v>324</v>
      </c>
      <c r="M12" s="155" t="s">
        <v>392</v>
      </c>
      <c r="N12" s="147" t="s">
        <v>32</v>
      </c>
      <c r="O12" s="148" t="s">
        <v>393</v>
      </c>
      <c r="P12" s="148" t="s">
        <v>394</v>
      </c>
      <c r="Q12" s="147"/>
      <c r="R12" s="147"/>
      <c r="S12" s="147"/>
      <c r="T12" s="147"/>
      <c r="U12" s="147"/>
      <c r="V12" s="160">
        <f>86-20-31526590</f>
        <v>-31526524</v>
      </c>
      <c r="W12" s="149"/>
      <c r="X12" s="161" t="s">
        <v>395</v>
      </c>
      <c r="Y12" s="148"/>
      <c r="Z12" s="161" t="s">
        <v>396</v>
      </c>
      <c r="AA12" s="148" t="s">
        <v>397</v>
      </c>
      <c r="AB12" s="157">
        <v>45316</v>
      </c>
      <c r="AC12" s="147"/>
      <c r="AD12" s="157">
        <v>45327</v>
      </c>
      <c r="AE12" s="157">
        <v>45327</v>
      </c>
      <c r="AF12" s="147"/>
      <c r="AG12" s="150"/>
      <c r="AH12" s="147"/>
      <c r="AI12" s="147"/>
      <c r="AJ12" s="147"/>
      <c r="AK12" s="147" t="s">
        <v>320</v>
      </c>
      <c r="AL12" s="147"/>
      <c r="AM12" s="150">
        <v>45959</v>
      </c>
      <c r="AN12" s="152" t="str" cm="1">
        <f t="array" ref="AN12">IFERROR(
  LOOKUP(
    2,
    1/((AB12:AM12&lt;&gt;"")*(ISNUMBER(AB12:AM12)+ISNONTEXT(AB12:AM12)&gt;0)),
    {10,20,30,40,45,50,60,70,75,80,90,100}
  ) &amp; "%",
  "0%"
)</f>
        <v>100%</v>
      </c>
      <c r="AO12" s="147" t="s">
        <v>390</v>
      </c>
      <c r="AP12" s="147" t="s">
        <v>332</v>
      </c>
      <c r="AQ12" s="147" t="s">
        <v>398</v>
      </c>
      <c r="AR12" s="147" t="s">
        <v>332</v>
      </c>
      <c r="AS12" s="147" t="s">
        <v>332</v>
      </c>
      <c r="AT12" s="154" t="s">
        <v>333</v>
      </c>
      <c r="AU12" s="147">
        <v>15</v>
      </c>
      <c r="AV12" s="154" t="s">
        <v>360</v>
      </c>
      <c r="AW12" s="147" t="s">
        <v>399</v>
      </c>
      <c r="AX12" s="154" t="s">
        <v>334</v>
      </c>
      <c r="AY12" s="233"/>
      <c r="AZ12" s="147"/>
      <c r="BA12" s="147"/>
    </row>
    <row r="13" spans="1:53" ht="24.75" customHeight="1">
      <c r="A13" s="145"/>
      <c r="B13" s="147" t="s">
        <v>4</v>
      </c>
      <c r="C13" s="147" t="s">
        <v>14</v>
      </c>
      <c r="D13" s="147"/>
      <c r="E13" s="147" t="s">
        <v>26</v>
      </c>
      <c r="F13" s="161" t="s">
        <v>400</v>
      </c>
      <c r="G13" s="148" t="s">
        <v>401</v>
      </c>
      <c r="H13" s="147" t="s">
        <v>20</v>
      </c>
      <c r="I13" s="147"/>
      <c r="J13" s="147" t="s">
        <v>402</v>
      </c>
      <c r="K13" s="155" t="s">
        <v>37</v>
      </c>
      <c r="L13" s="147" t="s">
        <v>324</v>
      </c>
      <c r="M13" s="155" t="s">
        <v>402</v>
      </c>
      <c r="N13" s="147" t="s">
        <v>33</v>
      </c>
      <c r="O13" s="148" t="s">
        <v>403</v>
      </c>
      <c r="P13" s="148" t="s">
        <v>404</v>
      </c>
      <c r="Q13" s="155"/>
      <c r="R13" s="155"/>
      <c r="S13" s="147"/>
      <c r="T13" s="147"/>
      <c r="U13" s="147"/>
      <c r="V13" s="160">
        <f>86-137-1517-1047</f>
        <v>-2615</v>
      </c>
      <c r="W13" s="149"/>
      <c r="X13" s="161" t="s">
        <v>405</v>
      </c>
      <c r="Y13" s="161"/>
      <c r="Z13" s="161" t="s">
        <v>406</v>
      </c>
      <c r="AA13" s="148" t="s">
        <v>407</v>
      </c>
      <c r="AB13" s="157">
        <v>44042</v>
      </c>
      <c r="AC13" s="147"/>
      <c r="AD13" s="147"/>
      <c r="AE13" s="147"/>
      <c r="AF13" s="147"/>
      <c r="AG13" s="150"/>
      <c r="AH13" s="147"/>
      <c r="AI13" s="147"/>
      <c r="AJ13" s="147"/>
      <c r="AK13" s="147" t="s">
        <v>320</v>
      </c>
      <c r="AL13" s="147"/>
      <c r="AM13" s="150">
        <v>45959</v>
      </c>
      <c r="AN13" s="152" t="str" cm="1">
        <f t="array" ref="AN13">IFERROR(
  LOOKUP(
    2,
    1/((AB13:AM13&lt;&gt;"")*(ISNUMBER(AB13:AM13)+ISNONTEXT(AB13:AM13)&gt;0)),
    {10,20,30,40,45,50,60,70,75,80,90,100}
  ) &amp; "%",
  "0%"
)</f>
        <v>100%</v>
      </c>
      <c r="AO13" s="153" t="s">
        <v>309</v>
      </c>
      <c r="AP13" s="147" t="s">
        <v>331</v>
      </c>
      <c r="AQ13" s="147" t="s">
        <v>331</v>
      </c>
      <c r="AR13" s="147" t="s">
        <v>331</v>
      </c>
      <c r="AS13" s="147" t="s">
        <v>331</v>
      </c>
      <c r="AT13" s="154" t="s">
        <v>310</v>
      </c>
      <c r="AU13" s="147">
        <v>7</v>
      </c>
      <c r="AV13" s="147"/>
      <c r="AW13" s="147"/>
      <c r="AX13" s="154" t="s">
        <v>334</v>
      </c>
      <c r="AY13" s="233"/>
      <c r="AZ13" s="147"/>
      <c r="BA13" s="147"/>
    </row>
    <row r="14" spans="1:53" ht="24.75" customHeight="1">
      <c r="A14" s="145"/>
      <c r="B14" s="147" t="s">
        <v>4</v>
      </c>
      <c r="C14" s="147" t="s">
        <v>14</v>
      </c>
      <c r="D14" s="147"/>
      <c r="E14" s="147" t="s">
        <v>26</v>
      </c>
      <c r="F14" s="148" t="s">
        <v>408</v>
      </c>
      <c r="G14" s="148" t="s">
        <v>409</v>
      </c>
      <c r="H14" s="147" t="s">
        <v>20</v>
      </c>
      <c r="I14" s="147"/>
      <c r="J14" s="147" t="s">
        <v>324</v>
      </c>
      <c r="K14" s="155" t="s">
        <v>37</v>
      </c>
      <c r="L14" s="147" t="s">
        <v>324</v>
      </c>
      <c r="M14" s="155" t="s">
        <v>410</v>
      </c>
      <c r="N14" s="147" t="s">
        <v>337</v>
      </c>
      <c r="O14" s="148" t="s">
        <v>411</v>
      </c>
      <c r="P14" s="148" t="s">
        <v>412</v>
      </c>
      <c r="Q14" s="147"/>
      <c r="R14" s="147"/>
      <c r="S14" s="147"/>
      <c r="T14" s="147"/>
      <c r="U14" s="147"/>
      <c r="V14" s="155" t="s">
        <v>413</v>
      </c>
      <c r="W14" s="147" t="s">
        <v>414</v>
      </c>
      <c r="X14" s="161" t="s">
        <v>415</v>
      </c>
      <c r="Y14" s="161"/>
      <c r="Z14" s="148" t="s">
        <v>416</v>
      </c>
      <c r="AA14" s="148" t="s">
        <v>417</v>
      </c>
      <c r="AB14" s="157">
        <v>43857</v>
      </c>
      <c r="AC14" s="147"/>
      <c r="AD14" s="157">
        <v>43892</v>
      </c>
      <c r="AE14" s="147"/>
      <c r="AF14" s="147"/>
      <c r="AG14" s="150"/>
      <c r="AH14" s="147"/>
      <c r="AI14" s="147"/>
      <c r="AJ14" s="147"/>
      <c r="AK14" s="147" t="s">
        <v>320</v>
      </c>
      <c r="AL14" s="147"/>
      <c r="AM14" s="150">
        <v>45959</v>
      </c>
      <c r="AN14" s="152" t="str" cm="1">
        <f t="array" ref="AN14">IFERROR(
  LOOKUP(
    2,
    1/((AB14:AM14&lt;&gt;"")*(ISNUMBER(AB14:AM14)+ISNONTEXT(AB14:AM14)&gt;0)),
    {10,20,30,40,45,50,60,70,75,80,90,100}
  ) &amp; "%",
  "0%"
)</f>
        <v>100%</v>
      </c>
      <c r="AO14" s="153" t="s">
        <v>309</v>
      </c>
      <c r="AP14" s="147" t="s">
        <v>332</v>
      </c>
      <c r="AQ14" s="147" t="s">
        <v>398</v>
      </c>
      <c r="AR14" s="147" t="s">
        <v>332</v>
      </c>
      <c r="AS14" s="147" t="s">
        <v>332</v>
      </c>
      <c r="AT14" s="154" t="s">
        <v>333</v>
      </c>
      <c r="AU14" s="154">
        <v>15</v>
      </c>
      <c r="AV14" s="147"/>
      <c r="AW14" s="147"/>
      <c r="AX14" s="154" t="s">
        <v>334</v>
      </c>
      <c r="AY14" s="233"/>
      <c r="AZ14" s="147"/>
      <c r="BA14" s="147"/>
    </row>
    <row r="15" spans="1:53" ht="24.75" customHeight="1">
      <c r="A15" s="145"/>
      <c r="B15" s="147" t="s">
        <v>4</v>
      </c>
      <c r="C15" s="147" t="s">
        <v>14</v>
      </c>
      <c r="D15" s="147">
        <v>30</v>
      </c>
      <c r="E15" s="147" t="s">
        <v>26</v>
      </c>
      <c r="F15" s="148" t="s">
        <v>418</v>
      </c>
      <c r="G15" s="148" t="s">
        <v>419</v>
      </c>
      <c r="H15" s="147" t="s">
        <v>23</v>
      </c>
      <c r="I15" s="147"/>
      <c r="J15" s="147" t="s">
        <v>304</v>
      </c>
      <c r="K15" s="155" t="s">
        <v>37</v>
      </c>
      <c r="L15" s="147" t="s">
        <v>304</v>
      </c>
      <c r="M15" s="155" t="s">
        <v>384</v>
      </c>
      <c r="N15" s="147" t="s">
        <v>33</v>
      </c>
      <c r="O15" s="148" t="s">
        <v>420</v>
      </c>
      <c r="P15" s="148" t="s">
        <v>421</v>
      </c>
      <c r="Q15" s="147"/>
      <c r="R15" s="147"/>
      <c r="S15" s="147"/>
      <c r="T15" s="147"/>
      <c r="U15" s="147"/>
      <c r="V15" s="155"/>
      <c r="W15" s="147"/>
      <c r="X15" s="148"/>
      <c r="Y15" s="148"/>
      <c r="Z15" s="148" t="s">
        <v>422</v>
      </c>
      <c r="AA15" s="148" t="s">
        <v>423</v>
      </c>
      <c r="AB15" s="147"/>
      <c r="AC15" s="147"/>
      <c r="AD15" s="147"/>
      <c r="AE15" s="147"/>
      <c r="AF15" s="147"/>
      <c r="AG15" s="150"/>
      <c r="AH15" s="147"/>
      <c r="AI15" s="147"/>
      <c r="AJ15" s="147"/>
      <c r="AK15" s="147" t="s">
        <v>320</v>
      </c>
      <c r="AL15" s="147"/>
      <c r="AM15" s="150">
        <v>45959</v>
      </c>
      <c r="AN15" s="152" t="str" cm="1">
        <f t="array" ref="AN15">IFERROR(
  LOOKUP(
    2,
    1/((AB15:AM15&lt;&gt;"")*(ISNUMBER(AB15:AM15)+ISNONTEXT(AB15:AM15)&gt;0)),
    {10,20,30,40,45,50,60,70,75,80,90,100}
  ) &amp; "%",
  "0%"
)</f>
        <v>100%</v>
      </c>
      <c r="AO15" s="147" t="s">
        <v>424</v>
      </c>
      <c r="AP15" s="147" t="s">
        <v>389</v>
      </c>
      <c r="AQ15" s="147" t="s">
        <v>389</v>
      </c>
      <c r="AR15" s="147" t="s">
        <v>389</v>
      </c>
      <c r="AS15" s="147" t="s">
        <v>389</v>
      </c>
      <c r="AT15" s="154" t="s">
        <v>333</v>
      </c>
      <c r="AU15" s="154">
        <v>15</v>
      </c>
      <c r="AV15" s="147"/>
      <c r="AW15" s="147">
        <v>0</v>
      </c>
      <c r="AX15" s="147"/>
      <c r="AY15" s="233"/>
      <c r="AZ15" s="147"/>
      <c r="BA15" s="147"/>
    </row>
    <row r="16" spans="1:53" ht="24.75" customHeight="1">
      <c r="A16" s="145"/>
      <c r="B16" s="147" t="s">
        <v>4</v>
      </c>
      <c r="C16" s="147" t="s">
        <v>14</v>
      </c>
      <c r="D16" s="147"/>
      <c r="E16" s="147" t="s">
        <v>26</v>
      </c>
      <c r="F16" s="161" t="s">
        <v>425</v>
      </c>
      <c r="G16" s="148" t="s">
        <v>426</v>
      </c>
      <c r="H16" s="147" t="s">
        <v>23</v>
      </c>
      <c r="I16" s="147"/>
      <c r="J16" s="147" t="s">
        <v>304</v>
      </c>
      <c r="K16" s="155" t="s">
        <v>37</v>
      </c>
      <c r="L16" s="147" t="s">
        <v>304</v>
      </c>
      <c r="M16" s="155" t="s">
        <v>384</v>
      </c>
      <c r="N16" s="147" t="s">
        <v>32</v>
      </c>
      <c r="O16" s="148" t="s">
        <v>427</v>
      </c>
      <c r="P16" s="148" t="s">
        <v>428</v>
      </c>
      <c r="Q16" s="147"/>
      <c r="R16" s="147"/>
      <c r="S16" s="147"/>
      <c r="T16" s="147"/>
      <c r="U16" s="147"/>
      <c r="V16" s="155" t="s">
        <v>429</v>
      </c>
      <c r="W16" s="147"/>
      <c r="X16" s="161" t="s">
        <v>430</v>
      </c>
      <c r="Y16" s="161"/>
      <c r="Z16" s="148" t="s">
        <v>431</v>
      </c>
      <c r="AA16" s="148" t="s">
        <v>432</v>
      </c>
      <c r="AB16" s="147"/>
      <c r="AC16" s="147"/>
      <c r="AD16" s="147"/>
      <c r="AE16" s="147"/>
      <c r="AF16" s="147"/>
      <c r="AG16" s="150"/>
      <c r="AH16" s="147"/>
      <c r="AI16" s="147"/>
      <c r="AJ16" s="147"/>
      <c r="AK16" s="147" t="s">
        <v>320</v>
      </c>
      <c r="AL16" s="147"/>
      <c r="AM16" s="150">
        <v>45959</v>
      </c>
      <c r="AN16" s="152" t="str" cm="1">
        <f t="array" ref="AN16">IFERROR(
  LOOKUP(
    2,
    1/((AB16:AM16&lt;&gt;"")*(ISNUMBER(AB16:AM16)+ISNONTEXT(AB16:AM16)&gt;0)),
    {10,20,30,40,45,50,60,70,75,80,90,100}
  ) &amp; "%",
  "0%"
)</f>
        <v>100%</v>
      </c>
      <c r="AO16" s="147" t="s">
        <v>425</v>
      </c>
      <c r="AP16" s="147" t="s">
        <v>332</v>
      </c>
      <c r="AQ16" s="147" t="s">
        <v>398</v>
      </c>
      <c r="AR16" s="147" t="s">
        <v>332</v>
      </c>
      <c r="AS16" s="147" t="s">
        <v>332</v>
      </c>
      <c r="AT16" s="154" t="s">
        <v>310</v>
      </c>
      <c r="AU16" s="147">
        <v>5</v>
      </c>
      <c r="AV16" s="147"/>
      <c r="AW16" s="147">
        <v>0</v>
      </c>
      <c r="AX16" s="147"/>
      <c r="AY16" s="233"/>
      <c r="AZ16" s="147"/>
      <c r="BA16" s="147"/>
    </row>
    <row r="17" spans="1:53" ht="24.75" customHeight="1">
      <c r="A17" s="145"/>
      <c r="B17" s="147" t="s">
        <v>4</v>
      </c>
      <c r="C17" s="147" t="s">
        <v>14</v>
      </c>
      <c r="D17" s="147">
        <v>50</v>
      </c>
      <c r="E17" s="147" t="s">
        <v>26</v>
      </c>
      <c r="F17" s="148" t="s">
        <v>433</v>
      </c>
      <c r="G17" s="148" t="s">
        <v>434</v>
      </c>
      <c r="H17" s="147" t="s">
        <v>23</v>
      </c>
      <c r="I17" s="147"/>
      <c r="J17" s="147" t="s">
        <v>304</v>
      </c>
      <c r="K17" s="155" t="s">
        <v>37</v>
      </c>
      <c r="L17" s="147" t="s">
        <v>304</v>
      </c>
      <c r="M17" s="155" t="s">
        <v>384</v>
      </c>
      <c r="N17" s="147" t="s">
        <v>337</v>
      </c>
      <c r="O17" s="148" t="s">
        <v>435</v>
      </c>
      <c r="P17" s="148" t="s">
        <v>421</v>
      </c>
      <c r="Q17" s="147"/>
      <c r="R17" s="147"/>
      <c r="S17" s="147"/>
      <c r="T17" s="147"/>
      <c r="U17" s="147"/>
      <c r="V17" s="155" t="s">
        <v>436</v>
      </c>
      <c r="W17" s="147"/>
      <c r="X17" s="148" t="s">
        <v>437</v>
      </c>
      <c r="Y17" s="161"/>
      <c r="Z17" s="148" t="s">
        <v>438</v>
      </c>
      <c r="AA17" s="148" t="s">
        <v>439</v>
      </c>
      <c r="AB17" s="147"/>
      <c r="AC17" s="147"/>
      <c r="AD17" s="147"/>
      <c r="AE17" s="147"/>
      <c r="AF17" s="147"/>
      <c r="AG17" s="150"/>
      <c r="AH17" s="147"/>
      <c r="AI17" s="147"/>
      <c r="AJ17" s="147"/>
      <c r="AK17" s="147" t="s">
        <v>320</v>
      </c>
      <c r="AL17" s="147"/>
      <c r="AM17" s="150">
        <v>45959</v>
      </c>
      <c r="AN17" s="152" t="str" cm="1">
        <f t="array" ref="AN17">IFERROR(
  LOOKUP(
    2,
    1/((AB17:AM17&lt;&gt;"")*(ISNUMBER(AB17:AM17)+ISNONTEXT(AB17:AM17)&gt;0)),
    {10,20,30,40,45,50,60,70,75,80,90,100}
  ) &amp; "%",
  "0%"
)</f>
        <v>100%</v>
      </c>
      <c r="AO17" s="147" t="s">
        <v>433</v>
      </c>
      <c r="AP17" s="147" t="s">
        <v>389</v>
      </c>
      <c r="AQ17" s="147" t="s">
        <v>398</v>
      </c>
      <c r="AR17" s="147" t="s">
        <v>389</v>
      </c>
      <c r="AS17" s="147" t="s">
        <v>389</v>
      </c>
      <c r="AT17" s="154" t="s">
        <v>333</v>
      </c>
      <c r="AU17" s="147">
        <v>15</v>
      </c>
      <c r="AV17" s="147" t="s">
        <v>440</v>
      </c>
      <c r="AW17" s="162">
        <v>30000000</v>
      </c>
      <c r="AX17" s="162"/>
      <c r="AY17" s="233"/>
      <c r="AZ17" s="147"/>
      <c r="BA17" s="147"/>
    </row>
    <row r="18" spans="1:53" ht="24.75" customHeight="1">
      <c r="A18" s="145"/>
      <c r="B18" s="147" t="s">
        <v>4</v>
      </c>
      <c r="C18" s="147" t="s">
        <v>14</v>
      </c>
      <c r="D18" s="147">
        <v>20</v>
      </c>
      <c r="E18" s="147" t="s">
        <v>26</v>
      </c>
      <c r="F18" s="148" t="s">
        <v>441</v>
      </c>
      <c r="G18" s="148" t="s">
        <v>442</v>
      </c>
      <c r="H18" s="147" t="s">
        <v>23</v>
      </c>
      <c r="I18" s="147"/>
      <c r="J18" s="147" t="s">
        <v>304</v>
      </c>
      <c r="K18" s="155" t="s">
        <v>37</v>
      </c>
      <c r="L18" s="147" t="s">
        <v>304</v>
      </c>
      <c r="M18" s="155" t="s">
        <v>384</v>
      </c>
      <c r="N18" s="147" t="s">
        <v>337</v>
      </c>
      <c r="O18" s="148" t="s">
        <v>443</v>
      </c>
      <c r="P18" s="148" t="s">
        <v>444</v>
      </c>
      <c r="Q18" s="147"/>
      <c r="R18" s="147"/>
      <c r="S18" s="147"/>
      <c r="T18" s="147"/>
      <c r="U18" s="147"/>
      <c r="V18" s="155" t="s">
        <v>445</v>
      </c>
      <c r="W18" s="147"/>
      <c r="X18" s="148" t="s">
        <v>446</v>
      </c>
      <c r="Y18" s="161"/>
      <c r="Z18" s="148"/>
      <c r="AA18" s="148" t="s">
        <v>447</v>
      </c>
      <c r="AB18" s="147"/>
      <c r="AC18" s="147"/>
      <c r="AD18" s="147"/>
      <c r="AE18" s="147"/>
      <c r="AF18" s="147"/>
      <c r="AG18" s="150"/>
      <c r="AH18" s="147"/>
      <c r="AI18" s="147"/>
      <c r="AJ18" s="147"/>
      <c r="AK18" s="147" t="s">
        <v>320</v>
      </c>
      <c r="AL18" s="147"/>
      <c r="AM18" s="150">
        <v>45959</v>
      </c>
      <c r="AN18" s="152" t="str" cm="1">
        <f t="array" ref="AN18">IFERROR(
  LOOKUP(
    2,
    1/((AB18:AM18&lt;&gt;"")*(ISNUMBER(AB18:AM18)+ISNONTEXT(AB18:AM18)&gt;0)),
    {10,20,30,40,45,50,60,70,75,80,90,100}
  ) &amp; "%",
  "0%"
)</f>
        <v>100%</v>
      </c>
      <c r="AO18" s="147" t="s">
        <v>448</v>
      </c>
      <c r="AP18" s="147" t="s">
        <v>389</v>
      </c>
      <c r="AQ18" s="147" t="s">
        <v>398</v>
      </c>
      <c r="AR18" s="147" t="s">
        <v>331</v>
      </c>
      <c r="AS18" s="147" t="s">
        <v>331</v>
      </c>
      <c r="AT18" s="147" t="s">
        <v>449</v>
      </c>
      <c r="AU18" s="147">
        <v>31</v>
      </c>
      <c r="AV18" s="147"/>
      <c r="AW18" s="147">
        <v>0</v>
      </c>
      <c r="AX18" s="147"/>
      <c r="AY18" s="233"/>
      <c r="AZ18" s="147"/>
      <c r="BA18" s="147"/>
    </row>
    <row r="19" spans="1:53" ht="24.75" customHeight="1">
      <c r="A19" s="145"/>
      <c r="B19" s="147" t="s">
        <v>4</v>
      </c>
      <c r="C19" s="147" t="s">
        <v>14</v>
      </c>
      <c r="D19" s="147"/>
      <c r="E19" s="147"/>
      <c r="F19" s="148" t="s">
        <v>450</v>
      </c>
      <c r="G19" s="148" t="s">
        <v>451</v>
      </c>
      <c r="H19" s="147" t="s">
        <v>23</v>
      </c>
      <c r="I19" s="147"/>
      <c r="J19" s="147" t="s">
        <v>304</v>
      </c>
      <c r="K19" s="155" t="s">
        <v>37</v>
      </c>
      <c r="L19" s="147" t="s">
        <v>304</v>
      </c>
      <c r="M19" s="155" t="s">
        <v>452</v>
      </c>
      <c r="N19" s="147" t="s">
        <v>33</v>
      </c>
      <c r="O19" s="148"/>
      <c r="P19" s="148"/>
      <c r="Q19" s="147"/>
      <c r="R19" s="147"/>
      <c r="S19" s="147"/>
      <c r="T19" s="147"/>
      <c r="U19" s="147"/>
      <c r="V19" s="155"/>
      <c r="W19" s="147"/>
      <c r="X19" s="148"/>
      <c r="Y19" s="148"/>
      <c r="Z19" s="148" t="s">
        <v>453</v>
      </c>
      <c r="AA19" s="148"/>
      <c r="AB19" s="147"/>
      <c r="AC19" s="147"/>
      <c r="AD19" s="147"/>
      <c r="AE19" s="147"/>
      <c r="AF19" s="147"/>
      <c r="AG19" s="150"/>
      <c r="AH19" s="147"/>
      <c r="AI19" s="147"/>
      <c r="AJ19" s="147"/>
      <c r="AK19" s="147"/>
      <c r="AL19" s="147"/>
      <c r="AM19" s="147"/>
      <c r="AN19" s="152" t="str" cm="1">
        <f t="array" ref="AN19">IFERROR(
  LOOKUP(
    2,
    1/((AB19:AM19&lt;&gt;"")*(ISNUMBER(AB19:AM19)+ISNONTEXT(AB19:AM19)&gt;0)),
    {10,20,30,40,45,50,60,70,75,80,90,100}
  ) &amp; "%",
  "0%"
)</f>
        <v>0%</v>
      </c>
      <c r="AO19" s="147"/>
      <c r="AP19" s="147"/>
      <c r="AQ19" s="147"/>
      <c r="AR19" s="147"/>
      <c r="AS19" s="147"/>
      <c r="AT19" s="147"/>
      <c r="AU19" s="147"/>
      <c r="AV19" s="147"/>
      <c r="AW19" s="147"/>
      <c r="AX19" s="147"/>
      <c r="AY19" s="233"/>
      <c r="AZ19" s="147"/>
      <c r="BA19" s="147"/>
    </row>
    <row r="20" spans="1:53" ht="24.75" customHeight="1">
      <c r="A20" s="145"/>
      <c r="B20" s="147" t="s">
        <v>4</v>
      </c>
      <c r="C20" s="147" t="s">
        <v>14</v>
      </c>
      <c r="D20" s="147"/>
      <c r="E20" s="147" t="s">
        <v>27</v>
      </c>
      <c r="F20" s="148" t="s">
        <v>454</v>
      </c>
      <c r="G20" s="148" t="s">
        <v>455</v>
      </c>
      <c r="H20" s="147" t="s">
        <v>23</v>
      </c>
      <c r="I20" s="147"/>
      <c r="J20" s="147" t="s">
        <v>304</v>
      </c>
      <c r="K20" s="155" t="s">
        <v>37</v>
      </c>
      <c r="L20" s="147" t="s">
        <v>304</v>
      </c>
      <c r="M20" s="155" t="s">
        <v>384</v>
      </c>
      <c r="N20" s="147" t="s">
        <v>33</v>
      </c>
      <c r="O20" s="148" t="s">
        <v>456</v>
      </c>
      <c r="P20" s="148" t="s">
        <v>444</v>
      </c>
      <c r="Q20" s="147"/>
      <c r="R20" s="147"/>
      <c r="S20" s="147"/>
      <c r="T20" s="147"/>
      <c r="U20" s="147"/>
      <c r="V20" s="155"/>
      <c r="W20" s="147"/>
      <c r="X20" s="148" t="s">
        <v>457</v>
      </c>
      <c r="Y20" s="148"/>
      <c r="Z20" s="148"/>
      <c r="AA20" s="148" t="s">
        <v>458</v>
      </c>
      <c r="AB20" s="147"/>
      <c r="AC20" s="147"/>
      <c r="AD20" s="147"/>
      <c r="AE20" s="147"/>
      <c r="AF20" s="147"/>
      <c r="AG20" s="150"/>
      <c r="AH20" s="147"/>
      <c r="AI20" s="147"/>
      <c r="AJ20" s="147"/>
      <c r="AK20" s="147"/>
      <c r="AL20" s="147"/>
      <c r="AM20" s="147"/>
      <c r="AN20" s="152" t="str" cm="1">
        <f t="array" ref="AN20">IFERROR(
  LOOKUP(
    2,
    1/((AB20:AM20&lt;&gt;"")*(ISNUMBER(AB20:AM20)+ISNONTEXT(AB20:AM20)&gt;0)),
    {10,20,30,40,45,50,60,70,75,80,90,100}
  ) &amp; "%",
  "0%"
)</f>
        <v>0%</v>
      </c>
      <c r="AO20" s="147"/>
      <c r="AP20" s="147" t="s">
        <v>389</v>
      </c>
      <c r="AQ20" s="147" t="s">
        <v>389</v>
      </c>
      <c r="AR20" s="147" t="s">
        <v>389</v>
      </c>
      <c r="AS20" s="147" t="s">
        <v>389</v>
      </c>
      <c r="AT20" s="147" t="s">
        <v>449</v>
      </c>
      <c r="AU20" s="147">
        <v>31</v>
      </c>
      <c r="AV20" s="147"/>
      <c r="AW20" s="147"/>
      <c r="AX20" s="147"/>
      <c r="AY20" s="233"/>
      <c r="AZ20" s="147"/>
      <c r="BA20" s="147"/>
    </row>
    <row r="21" spans="1:53" ht="24.75" customHeight="1">
      <c r="A21" s="145"/>
      <c r="B21" s="147" t="s">
        <v>4</v>
      </c>
      <c r="C21" s="147" t="s">
        <v>14</v>
      </c>
      <c r="D21" s="147"/>
      <c r="E21" s="147" t="s">
        <v>26</v>
      </c>
      <c r="F21" s="161" t="s">
        <v>459</v>
      </c>
      <c r="G21" s="148" t="s">
        <v>460</v>
      </c>
      <c r="H21" s="147" t="s">
        <v>20</v>
      </c>
      <c r="I21" s="147"/>
      <c r="J21" s="147" t="s">
        <v>352</v>
      </c>
      <c r="K21" s="155" t="s">
        <v>37</v>
      </c>
      <c r="L21" s="147" t="s">
        <v>324</v>
      </c>
      <c r="M21" s="155" t="s">
        <v>313</v>
      </c>
      <c r="N21" s="147" t="s">
        <v>32</v>
      </c>
      <c r="O21" s="148" t="s">
        <v>461</v>
      </c>
      <c r="P21" s="148" t="s">
        <v>462</v>
      </c>
      <c r="Q21" s="147"/>
      <c r="R21" s="147"/>
      <c r="S21" s="147"/>
      <c r="T21" s="147"/>
      <c r="U21" s="147"/>
      <c r="V21" s="160" t="s">
        <v>463</v>
      </c>
      <c r="W21" s="149"/>
      <c r="X21" s="161" t="s">
        <v>464</v>
      </c>
      <c r="Y21" s="161"/>
      <c r="Z21" s="148"/>
      <c r="AA21" s="148" t="s">
        <v>465</v>
      </c>
      <c r="AB21" s="157">
        <v>45170</v>
      </c>
      <c r="AC21" s="157">
        <v>45195</v>
      </c>
      <c r="AD21" s="157">
        <v>45217</v>
      </c>
      <c r="AE21" s="157">
        <v>45217</v>
      </c>
      <c r="AF21" s="147"/>
      <c r="AG21" s="150"/>
      <c r="AH21" s="147"/>
      <c r="AI21" s="147"/>
      <c r="AJ21" s="147"/>
      <c r="AK21" s="147"/>
      <c r="AL21" s="147"/>
      <c r="AM21" s="150">
        <v>45959</v>
      </c>
      <c r="AN21" s="152" t="str" cm="1">
        <f t="array" ref="AN21">IFERROR(
  LOOKUP(
    2,
    1/((AB21:AM21&lt;&gt;"")*(ISNUMBER(AB21:AM21)+ISNONTEXT(AB21:AM21)&gt;0)),
    {10,20,30,40,45,50,60,70,75,80,90,100}
  ) &amp; "%",
  "0%"
)</f>
        <v>100%</v>
      </c>
      <c r="AO21" s="147" t="s">
        <v>466</v>
      </c>
      <c r="AP21" s="147" t="s">
        <v>331</v>
      </c>
      <c r="AQ21" s="147" t="s">
        <v>331</v>
      </c>
      <c r="AR21" s="147" t="s">
        <v>331</v>
      </c>
      <c r="AS21" s="147" t="s">
        <v>331</v>
      </c>
      <c r="AT21" s="154" t="s">
        <v>333</v>
      </c>
      <c r="AU21" s="147">
        <v>5</v>
      </c>
      <c r="AV21" s="147"/>
      <c r="AW21" s="147"/>
      <c r="AX21" s="154" t="s">
        <v>334</v>
      </c>
      <c r="AY21" s="233"/>
      <c r="AZ21" s="147"/>
      <c r="BA21" s="147"/>
    </row>
    <row r="22" spans="1:53" ht="24.75" customHeight="1">
      <c r="A22" s="145"/>
      <c r="B22" s="147" t="s">
        <v>4</v>
      </c>
      <c r="C22" s="147" t="s">
        <v>12</v>
      </c>
      <c r="D22" s="147">
        <v>100</v>
      </c>
      <c r="E22" s="147" t="s">
        <v>26</v>
      </c>
      <c r="F22" s="194" t="s">
        <v>467</v>
      </c>
      <c r="G22" s="148" t="s">
        <v>468</v>
      </c>
      <c r="H22" s="147" t="s">
        <v>21</v>
      </c>
      <c r="I22" s="147" t="s">
        <v>22</v>
      </c>
      <c r="J22" s="147" t="s">
        <v>469</v>
      </c>
      <c r="K22" s="155" t="s">
        <v>364</v>
      </c>
      <c r="L22" s="147" t="s">
        <v>469</v>
      </c>
      <c r="M22" s="155" t="s">
        <v>470</v>
      </c>
      <c r="N22" s="147" t="s">
        <v>33</v>
      </c>
      <c r="O22" s="148" t="s">
        <v>471</v>
      </c>
      <c r="P22" s="148" t="s">
        <v>19</v>
      </c>
      <c r="Q22" s="147"/>
      <c r="R22" s="147"/>
      <c r="S22" s="147"/>
      <c r="T22" s="147"/>
      <c r="U22" s="147"/>
      <c r="V22" s="155"/>
      <c r="W22" s="147"/>
      <c r="X22" s="148" t="s">
        <v>472</v>
      </c>
      <c r="Y22" s="148"/>
      <c r="Z22" s="148" t="s">
        <v>473</v>
      </c>
      <c r="AA22" s="148" t="s">
        <v>474</v>
      </c>
      <c r="AB22" s="147"/>
      <c r="AC22" s="147"/>
      <c r="AD22" s="147"/>
      <c r="AE22" s="147"/>
      <c r="AF22" s="147"/>
      <c r="AG22" s="150"/>
      <c r="AH22" s="147"/>
      <c r="AI22" s="147"/>
      <c r="AJ22" s="147"/>
      <c r="AK22" s="147"/>
      <c r="AL22" s="147"/>
      <c r="AM22" s="150">
        <v>45959</v>
      </c>
      <c r="AN22" s="152" t="str" cm="1">
        <f t="array" ref="AN22">IFERROR(
  LOOKUP(
    2,
    1/((AB22:AM22&lt;&gt;"")*(ISNUMBER(AB22:AM22)+ISNONTEXT(AB22:AM22)&gt;0)),
    {10,20,30,40,45,50,60,70,75,80,90,100}
  ) &amp; "%",
  "0%"
)</f>
        <v>100%</v>
      </c>
      <c r="AO22" s="147"/>
      <c r="AP22" s="147" t="s">
        <v>331</v>
      </c>
      <c r="AQ22" s="147" t="s">
        <v>331</v>
      </c>
      <c r="AR22" s="147" t="s">
        <v>331</v>
      </c>
      <c r="AS22" s="147" t="s">
        <v>331</v>
      </c>
      <c r="AT22" s="147" t="s">
        <v>449</v>
      </c>
      <c r="AU22" s="147">
        <v>31</v>
      </c>
      <c r="AV22" s="147"/>
      <c r="AW22" s="147"/>
      <c r="AX22" s="154" t="s">
        <v>334</v>
      </c>
      <c r="AY22" s="233" t="s">
        <v>475</v>
      </c>
      <c r="AZ22" s="147"/>
      <c r="BA22" s="147"/>
    </row>
    <row r="23" spans="1:53" ht="24.75" customHeight="1">
      <c r="A23" s="145"/>
      <c r="B23" s="147" t="s">
        <v>4</v>
      </c>
      <c r="C23" s="147" t="s">
        <v>14</v>
      </c>
      <c r="D23" s="147"/>
      <c r="E23" s="147" t="s">
        <v>27</v>
      </c>
      <c r="F23" s="148" t="s">
        <v>476</v>
      </c>
      <c r="G23" s="148" t="s">
        <v>477</v>
      </c>
      <c r="H23" s="147" t="s">
        <v>23</v>
      </c>
      <c r="I23" s="147"/>
      <c r="J23" s="147" t="s">
        <v>304</v>
      </c>
      <c r="K23" s="155" t="s">
        <v>37</v>
      </c>
      <c r="L23" s="147" t="s">
        <v>304</v>
      </c>
      <c r="M23" s="155" t="s">
        <v>384</v>
      </c>
      <c r="N23" s="147" t="s">
        <v>33</v>
      </c>
      <c r="O23" s="148" t="s">
        <v>478</v>
      </c>
      <c r="P23" s="148" t="s">
        <v>479</v>
      </c>
      <c r="Q23" s="147"/>
      <c r="R23" s="147"/>
      <c r="S23" s="147"/>
      <c r="T23" s="147"/>
      <c r="U23" s="147"/>
      <c r="V23" s="155"/>
      <c r="W23" s="147"/>
      <c r="X23" s="148" t="s">
        <v>480</v>
      </c>
      <c r="Y23" s="148"/>
      <c r="Z23" s="148" t="s">
        <v>481</v>
      </c>
      <c r="AA23" s="148"/>
      <c r="AB23" s="147"/>
      <c r="AC23" s="147"/>
      <c r="AD23" s="147"/>
      <c r="AE23" s="147"/>
      <c r="AF23" s="147"/>
      <c r="AG23" s="150"/>
      <c r="AH23" s="147"/>
      <c r="AI23" s="147"/>
      <c r="AJ23" s="147"/>
      <c r="AK23" s="147"/>
      <c r="AL23" s="147"/>
      <c r="AM23" s="147"/>
      <c r="AN23" s="152" t="str" cm="1">
        <f t="array" ref="AN23">IFERROR(
  LOOKUP(
    2,
    1/((AB23:AM23&lt;&gt;"")*(ISNUMBER(AB23:AM23)+ISNONTEXT(AB23:AM23)&gt;0)),
    {10,20,30,40,45,50,60,70,75,80,90,100}
  ) &amp; "%",
  "0%"
)</f>
        <v>0%</v>
      </c>
      <c r="AO23" s="147"/>
      <c r="AP23" s="147" t="s">
        <v>389</v>
      </c>
      <c r="AQ23" s="147" t="s">
        <v>389</v>
      </c>
      <c r="AR23" s="147" t="s">
        <v>389</v>
      </c>
      <c r="AS23" s="147" t="s">
        <v>389</v>
      </c>
      <c r="AT23" s="147"/>
      <c r="AU23" s="147"/>
      <c r="AV23" s="147"/>
      <c r="AW23" s="147"/>
      <c r="AX23" s="147"/>
      <c r="AY23" s="233"/>
      <c r="AZ23" s="147"/>
      <c r="BA23" s="147"/>
    </row>
    <row r="24" spans="1:53" ht="24.75" customHeight="1">
      <c r="A24" s="145"/>
      <c r="B24" s="147" t="s">
        <v>4</v>
      </c>
      <c r="C24" s="147" t="s">
        <v>14</v>
      </c>
      <c r="D24" s="147"/>
      <c r="E24" s="147" t="s">
        <v>27</v>
      </c>
      <c r="F24" s="148" t="s">
        <v>482</v>
      </c>
      <c r="G24" s="148" t="s">
        <v>483</v>
      </c>
      <c r="H24" s="147" t="s">
        <v>23</v>
      </c>
      <c r="I24" s="147"/>
      <c r="J24" s="147" t="s">
        <v>304</v>
      </c>
      <c r="K24" s="155" t="s">
        <v>37</v>
      </c>
      <c r="L24" s="147" t="s">
        <v>304</v>
      </c>
      <c r="M24" s="155" t="s">
        <v>384</v>
      </c>
      <c r="N24" s="147" t="s">
        <v>33</v>
      </c>
      <c r="O24" s="148" t="s">
        <v>484</v>
      </c>
      <c r="P24" s="148" t="s">
        <v>485</v>
      </c>
      <c r="Q24" s="147"/>
      <c r="R24" s="147"/>
      <c r="S24" s="147"/>
      <c r="T24" s="147"/>
      <c r="U24" s="147"/>
      <c r="V24" s="155"/>
      <c r="W24" s="147"/>
      <c r="X24" s="148" t="s">
        <v>486</v>
      </c>
      <c r="Y24" s="148"/>
      <c r="Z24" s="148" t="s">
        <v>487</v>
      </c>
      <c r="AA24" s="148"/>
      <c r="AB24" s="147"/>
      <c r="AC24" s="147"/>
      <c r="AD24" s="147"/>
      <c r="AE24" s="147"/>
      <c r="AF24" s="147"/>
      <c r="AG24" s="150"/>
      <c r="AH24" s="147"/>
      <c r="AI24" s="147"/>
      <c r="AJ24" s="147"/>
      <c r="AK24" s="147"/>
      <c r="AL24" s="147"/>
      <c r="AM24" s="147"/>
      <c r="AN24" s="152" t="str" cm="1">
        <f t="array" ref="AN24">IFERROR(
  LOOKUP(
    2,
    1/((AB24:AM24&lt;&gt;"")*(ISNUMBER(AB24:AM24)+ISNONTEXT(AB24:AM24)&gt;0)),
    {10,20,30,40,45,50,60,70,75,80,90,100}
  ) &amp; "%",
  "0%"
)</f>
        <v>0%</v>
      </c>
      <c r="AO24" s="147"/>
      <c r="AP24" s="147" t="s">
        <v>331</v>
      </c>
      <c r="AQ24" s="147" t="s">
        <v>398</v>
      </c>
      <c r="AR24" s="147" t="s">
        <v>331</v>
      </c>
      <c r="AS24" s="147" t="s">
        <v>331</v>
      </c>
      <c r="AT24" s="147" t="s">
        <v>449</v>
      </c>
      <c r="AU24" s="147">
        <v>31</v>
      </c>
      <c r="AV24" s="147"/>
      <c r="AW24" s="147">
        <v>0</v>
      </c>
      <c r="AX24" s="147"/>
      <c r="AY24" s="233"/>
      <c r="AZ24" s="147"/>
      <c r="BA24" s="147"/>
    </row>
    <row r="25" spans="1:53" ht="24.75" customHeight="1">
      <c r="A25" s="145"/>
      <c r="B25" s="147" t="s">
        <v>4</v>
      </c>
      <c r="C25" s="147" t="s">
        <v>14</v>
      </c>
      <c r="D25" s="147"/>
      <c r="E25" s="147" t="s">
        <v>27</v>
      </c>
      <c r="F25" s="148" t="s">
        <v>488</v>
      </c>
      <c r="G25" s="148" t="s">
        <v>489</v>
      </c>
      <c r="H25" s="147" t="s">
        <v>23</v>
      </c>
      <c r="I25" s="147"/>
      <c r="J25" s="147" t="s">
        <v>304</v>
      </c>
      <c r="K25" s="155" t="s">
        <v>37</v>
      </c>
      <c r="L25" s="147" t="s">
        <v>304</v>
      </c>
      <c r="M25" s="155" t="s">
        <v>384</v>
      </c>
      <c r="N25" s="147" t="s">
        <v>33</v>
      </c>
      <c r="O25" s="148" t="s">
        <v>490</v>
      </c>
      <c r="P25" s="148"/>
      <c r="Q25" s="147"/>
      <c r="R25" s="147"/>
      <c r="S25" s="147"/>
      <c r="T25" s="147"/>
      <c r="U25" s="147"/>
      <c r="V25" s="155"/>
      <c r="W25" s="147"/>
      <c r="X25" s="148"/>
      <c r="Y25" s="148"/>
      <c r="Z25" s="148" t="s">
        <v>491</v>
      </c>
      <c r="AA25" s="148"/>
      <c r="AB25" s="147"/>
      <c r="AC25" s="147"/>
      <c r="AD25" s="147"/>
      <c r="AE25" s="147"/>
      <c r="AF25" s="147"/>
      <c r="AG25" s="150"/>
      <c r="AH25" s="147"/>
      <c r="AI25" s="147"/>
      <c r="AJ25" s="147"/>
      <c r="AK25" s="147"/>
      <c r="AL25" s="147"/>
      <c r="AM25" s="147"/>
      <c r="AN25" s="152" t="str" cm="1">
        <f t="array" ref="AN25">IFERROR(
  LOOKUP(
    2,
    1/((AB25:AM25&lt;&gt;"")*(ISNUMBER(AB25:AM25)+ISNONTEXT(AB25:AM25)&gt;0)),
    {10,20,30,40,45,50,60,70,75,80,90,100}
  ) &amp; "%",
  "0%"
)</f>
        <v>0%</v>
      </c>
      <c r="AO25" s="147"/>
      <c r="AP25" s="147" t="s">
        <v>389</v>
      </c>
      <c r="AQ25" s="147" t="s">
        <v>389</v>
      </c>
      <c r="AR25" s="147" t="s">
        <v>389</v>
      </c>
      <c r="AS25" s="147" t="s">
        <v>389</v>
      </c>
      <c r="AT25" s="147" t="s">
        <v>333</v>
      </c>
      <c r="AU25" s="147">
        <v>15</v>
      </c>
      <c r="AV25" s="147"/>
      <c r="AW25" s="147"/>
      <c r="AX25" s="147"/>
      <c r="AY25" s="233"/>
      <c r="AZ25" s="147"/>
      <c r="BA25" s="147"/>
    </row>
    <row r="26" spans="1:53" ht="24.75" customHeight="1">
      <c r="A26" s="145"/>
      <c r="B26" s="147" t="s">
        <v>4</v>
      </c>
      <c r="C26" s="147" t="s">
        <v>14</v>
      </c>
      <c r="D26" s="147"/>
      <c r="E26" s="147" t="s">
        <v>27</v>
      </c>
      <c r="F26" s="148" t="s">
        <v>492</v>
      </c>
      <c r="G26" s="148" t="s">
        <v>493</v>
      </c>
      <c r="H26" s="147" t="s">
        <v>23</v>
      </c>
      <c r="I26" s="147"/>
      <c r="J26" s="147" t="s">
        <v>304</v>
      </c>
      <c r="K26" s="155" t="s">
        <v>37</v>
      </c>
      <c r="L26" s="147" t="s">
        <v>304</v>
      </c>
      <c r="M26" s="155" t="s">
        <v>384</v>
      </c>
      <c r="N26" s="147" t="s">
        <v>33</v>
      </c>
      <c r="O26" s="148" t="s">
        <v>494</v>
      </c>
      <c r="P26" s="148" t="s">
        <v>421</v>
      </c>
      <c r="Q26" s="147"/>
      <c r="R26" s="147"/>
      <c r="S26" s="147"/>
      <c r="T26" s="147"/>
      <c r="U26" s="147"/>
      <c r="V26" s="155"/>
      <c r="W26" s="147"/>
      <c r="X26" s="148" t="s">
        <v>495</v>
      </c>
      <c r="Y26" s="148"/>
      <c r="Z26" s="148" t="s">
        <v>496</v>
      </c>
      <c r="AA26" s="148"/>
      <c r="AB26" s="147"/>
      <c r="AC26" s="147"/>
      <c r="AD26" s="147"/>
      <c r="AE26" s="147"/>
      <c r="AF26" s="147"/>
      <c r="AG26" s="150"/>
      <c r="AH26" s="147"/>
      <c r="AI26" s="147"/>
      <c r="AJ26" s="147"/>
      <c r="AK26" s="147"/>
      <c r="AL26" s="147"/>
      <c r="AM26" s="147"/>
      <c r="AN26" s="152" t="str" cm="1">
        <f t="array" ref="AN26">IFERROR(
  LOOKUP(
    2,
    1/((AB26:AM26&lt;&gt;"")*(ISNUMBER(AB26:AM26)+ISNONTEXT(AB26:AM26)&gt;0)),
    {10,20,30,40,45,50,60,70,75,80,90,100}
  ) &amp; "%",
  "0%"
)</f>
        <v>0%</v>
      </c>
      <c r="AO26" s="147"/>
      <c r="AP26" s="147"/>
      <c r="AQ26" s="147"/>
      <c r="AR26" s="147"/>
      <c r="AS26" s="147"/>
      <c r="AT26" s="147"/>
      <c r="AU26" s="147"/>
      <c r="AV26" s="147"/>
      <c r="AW26" s="147"/>
      <c r="AX26" s="147"/>
      <c r="AY26" s="233"/>
      <c r="AZ26" s="147"/>
      <c r="BA26" s="147"/>
    </row>
    <row r="27" spans="1:53" ht="24.75" customHeight="1">
      <c r="A27" s="145"/>
      <c r="B27" s="147" t="s">
        <v>4</v>
      </c>
      <c r="C27" s="147" t="s">
        <v>14</v>
      </c>
      <c r="D27" s="147"/>
      <c r="E27" s="147" t="s">
        <v>27</v>
      </c>
      <c r="F27" s="161" t="s">
        <v>497</v>
      </c>
      <c r="G27" s="148" t="s">
        <v>498</v>
      </c>
      <c r="H27" s="147" t="s">
        <v>23</v>
      </c>
      <c r="I27" s="147"/>
      <c r="J27" s="147" t="s">
        <v>499</v>
      </c>
      <c r="K27" s="155" t="s">
        <v>37</v>
      </c>
      <c r="L27" s="147" t="s">
        <v>499</v>
      </c>
      <c r="M27" s="155" t="s">
        <v>500</v>
      </c>
      <c r="N27" s="147" t="s">
        <v>33</v>
      </c>
      <c r="O27" s="148" t="s">
        <v>501</v>
      </c>
      <c r="P27" s="148"/>
      <c r="Q27" s="147"/>
      <c r="R27" s="147"/>
      <c r="S27" s="147"/>
      <c r="T27" s="147"/>
      <c r="U27" s="147"/>
      <c r="V27" s="155"/>
      <c r="W27" s="147"/>
      <c r="X27" s="148"/>
      <c r="Y27" s="148"/>
      <c r="Z27" s="148" t="s">
        <v>502</v>
      </c>
      <c r="AA27" s="148"/>
      <c r="AB27" s="147"/>
      <c r="AC27" s="147"/>
      <c r="AD27" s="147"/>
      <c r="AE27" s="147"/>
      <c r="AF27" s="147"/>
      <c r="AG27" s="150"/>
      <c r="AH27" s="147"/>
      <c r="AI27" s="147"/>
      <c r="AJ27" s="147"/>
      <c r="AK27" s="147"/>
      <c r="AL27" s="147"/>
      <c r="AM27" s="147"/>
      <c r="AN27" s="152" t="str" cm="1">
        <f t="array" ref="AN27">IFERROR(
  LOOKUP(
    2,
    1/((AB27:AM27&lt;&gt;"")*(ISNUMBER(AB27:AM27)+ISNONTEXT(AB27:AM27)&gt;0)),
    {10,20,30,40,45,50,60,70,75,80,90,100}
  ) &amp; "%",
  "0%"
)</f>
        <v>0%</v>
      </c>
      <c r="AO27" s="147"/>
      <c r="AP27" s="147"/>
      <c r="AQ27" s="147"/>
      <c r="AR27" s="147"/>
      <c r="AS27" s="147"/>
      <c r="AT27" s="147"/>
      <c r="AU27" s="147"/>
      <c r="AV27" s="147"/>
      <c r="AW27" s="147"/>
      <c r="AX27" s="147"/>
      <c r="AY27" s="233"/>
      <c r="AZ27" s="147"/>
      <c r="BA27" s="147"/>
    </row>
    <row r="28" spans="1:53" ht="24.75" customHeight="1">
      <c r="A28" s="145"/>
      <c r="B28" s="147" t="s">
        <v>4</v>
      </c>
      <c r="C28" s="147" t="s">
        <v>14</v>
      </c>
      <c r="D28" s="147"/>
      <c r="E28" s="147" t="s">
        <v>27</v>
      </c>
      <c r="F28" s="148" t="s">
        <v>503</v>
      </c>
      <c r="G28" s="148" t="s">
        <v>504</v>
      </c>
      <c r="H28" s="147" t="s">
        <v>23</v>
      </c>
      <c r="I28" s="147"/>
      <c r="J28" s="147" t="s">
        <v>304</v>
      </c>
      <c r="K28" s="155" t="s">
        <v>37</v>
      </c>
      <c r="L28" s="147" t="s">
        <v>304</v>
      </c>
      <c r="M28" s="155" t="s">
        <v>384</v>
      </c>
      <c r="N28" s="147"/>
      <c r="O28" s="148" t="s">
        <v>505</v>
      </c>
      <c r="P28" s="148"/>
      <c r="Q28" s="147"/>
      <c r="R28" s="147"/>
      <c r="S28" s="147"/>
      <c r="T28" s="147"/>
      <c r="U28" s="147"/>
      <c r="V28" s="155"/>
      <c r="W28" s="147"/>
      <c r="X28" s="148"/>
      <c r="Y28" s="148"/>
      <c r="Z28" s="148"/>
      <c r="AA28" s="148"/>
      <c r="AB28" s="147"/>
      <c r="AC28" s="147"/>
      <c r="AD28" s="147"/>
      <c r="AE28" s="147"/>
      <c r="AF28" s="147"/>
      <c r="AG28" s="150"/>
      <c r="AH28" s="147"/>
      <c r="AI28" s="147"/>
      <c r="AJ28" s="147"/>
      <c r="AK28" s="147"/>
      <c r="AL28" s="147"/>
      <c r="AM28" s="147"/>
      <c r="AN28" s="152" t="str" cm="1">
        <f t="array" ref="AN28">IFERROR(
  LOOKUP(
    2,
    1/((AB28:AM28&lt;&gt;"")*(ISNUMBER(AB28:AM28)+ISNONTEXT(AB28:AM28)&gt;0)),
    {10,20,30,40,45,50,60,70,75,80,90,100}
  ) &amp; "%",
  "0%"
)</f>
        <v>0%</v>
      </c>
      <c r="AO28" s="147"/>
      <c r="AP28" s="147"/>
      <c r="AQ28" s="147"/>
      <c r="AR28" s="147"/>
      <c r="AS28" s="147"/>
      <c r="AT28" s="147"/>
      <c r="AU28" s="147"/>
      <c r="AV28" s="147"/>
      <c r="AW28" s="147"/>
      <c r="AX28" s="147"/>
      <c r="AY28" s="233"/>
      <c r="AZ28" s="147"/>
      <c r="BA28" s="147"/>
    </row>
    <row r="29" spans="1:53" ht="24.75" customHeight="1">
      <c r="A29" s="145"/>
      <c r="B29" s="147" t="s">
        <v>4</v>
      </c>
      <c r="C29" s="147" t="s">
        <v>14</v>
      </c>
      <c r="D29" s="147"/>
      <c r="E29" s="147" t="s">
        <v>506</v>
      </c>
      <c r="F29" s="148" t="s">
        <v>507</v>
      </c>
      <c r="G29" s="148" t="s">
        <v>508</v>
      </c>
      <c r="H29" s="147" t="s">
        <v>23</v>
      </c>
      <c r="I29" s="147"/>
      <c r="J29" s="147" t="s">
        <v>304</v>
      </c>
      <c r="K29" s="155" t="s">
        <v>37</v>
      </c>
      <c r="L29" s="147" t="s">
        <v>304</v>
      </c>
      <c r="M29" s="155" t="s">
        <v>384</v>
      </c>
      <c r="N29" s="147"/>
      <c r="O29" s="148" t="s">
        <v>509</v>
      </c>
      <c r="P29" s="148" t="s">
        <v>444</v>
      </c>
      <c r="Q29" s="147"/>
      <c r="R29" s="147"/>
      <c r="S29" s="147"/>
      <c r="T29" s="147"/>
      <c r="U29" s="147"/>
      <c r="V29" s="155"/>
      <c r="W29" s="147"/>
      <c r="X29" s="148" t="s">
        <v>510</v>
      </c>
      <c r="Y29" s="148"/>
      <c r="Z29" s="148"/>
      <c r="AA29" s="148"/>
      <c r="AB29" s="147"/>
      <c r="AC29" s="147"/>
      <c r="AD29" s="147"/>
      <c r="AE29" s="147"/>
      <c r="AF29" s="147"/>
      <c r="AG29" s="150"/>
      <c r="AH29" s="147"/>
      <c r="AI29" s="147"/>
      <c r="AJ29" s="147"/>
      <c r="AK29" s="147"/>
      <c r="AL29" s="147"/>
      <c r="AM29" s="147"/>
      <c r="AN29" s="152" t="str" cm="1">
        <f t="array" ref="AN29">IFERROR(
  LOOKUP(
    2,
    1/((AB29:AM29&lt;&gt;"")*(ISNUMBER(AB29:AM29)+ISNONTEXT(AB29:AM29)&gt;0)),
    {10,20,30,40,45,50,60,70,75,80,90,100}
  ) &amp; "%",
  "0%"
)</f>
        <v>0%</v>
      </c>
      <c r="AO29" s="147" t="s">
        <v>309</v>
      </c>
      <c r="AP29" s="147"/>
      <c r="AQ29" s="147"/>
      <c r="AR29" s="147"/>
      <c r="AS29" s="147"/>
      <c r="AT29" s="147"/>
      <c r="AU29" s="147"/>
      <c r="AV29" s="147"/>
      <c r="AW29" s="147"/>
      <c r="AX29" s="147"/>
      <c r="AY29" s="233"/>
      <c r="AZ29" s="147"/>
      <c r="BA29" s="147"/>
    </row>
    <row r="30" spans="1:53" s="2" customFormat="1" ht="24.75" customHeight="1">
      <c r="A30" s="145"/>
      <c r="B30" s="147" t="s">
        <v>4</v>
      </c>
      <c r="C30" s="147"/>
      <c r="D30" s="147"/>
      <c r="E30" s="147"/>
      <c r="F30" s="148" t="s">
        <v>511</v>
      </c>
      <c r="G30" s="148" t="s">
        <v>512</v>
      </c>
      <c r="H30" s="147" t="s">
        <v>23</v>
      </c>
      <c r="I30" s="147"/>
      <c r="J30" s="147"/>
      <c r="K30" s="155" t="s">
        <v>37</v>
      </c>
      <c r="L30" s="147" t="s">
        <v>410</v>
      </c>
      <c r="M30" s="155"/>
      <c r="N30" s="147"/>
      <c r="O30" s="148"/>
      <c r="P30" s="148"/>
      <c r="Q30" s="147"/>
      <c r="R30" s="147"/>
      <c r="S30" s="147"/>
      <c r="T30" s="147"/>
      <c r="U30" s="147"/>
      <c r="V30" s="155"/>
      <c r="W30" s="147"/>
      <c r="X30" s="148"/>
      <c r="Y30" s="148"/>
      <c r="Z30" s="148"/>
      <c r="AA30" s="148"/>
      <c r="AB30" s="147"/>
      <c r="AC30" s="147"/>
      <c r="AD30" s="147"/>
      <c r="AE30" s="147"/>
      <c r="AF30" s="147"/>
      <c r="AG30" s="150"/>
      <c r="AH30" s="147"/>
      <c r="AI30" s="147"/>
      <c r="AJ30" s="147"/>
      <c r="AK30" s="147"/>
      <c r="AL30" s="147"/>
      <c r="AM30" s="147"/>
      <c r="AN30" s="152" t="str" cm="1">
        <f t="array" ref="AN30">IFERROR(
  LOOKUP(
    2,
    1/((AB30:AM30&lt;&gt;"")*(ISNUMBER(AB30:AM30)+ISNONTEXT(AB30:AM30)&gt;0)),
    {10,20,30,40,45,50,60,70,75,80,90,100}
  ) &amp; "%",
  "0%"
)</f>
        <v>0%</v>
      </c>
      <c r="AO30" s="147"/>
      <c r="AP30" s="147"/>
      <c r="AQ30" s="147"/>
      <c r="AR30" s="147"/>
      <c r="AS30" s="147"/>
      <c r="AT30" s="147"/>
      <c r="AU30" s="147"/>
      <c r="AV30" s="147"/>
      <c r="AW30" s="147"/>
      <c r="AX30" s="147"/>
      <c r="AY30" s="233"/>
      <c r="AZ30" s="147"/>
      <c r="BA30" s="147"/>
    </row>
    <row r="31" spans="1:53" ht="24.75" customHeight="1">
      <c r="A31" s="145"/>
      <c r="B31" s="147" t="s">
        <v>4</v>
      </c>
      <c r="C31" s="147" t="s">
        <v>14</v>
      </c>
      <c r="D31" s="147"/>
      <c r="E31" s="147" t="s">
        <v>26</v>
      </c>
      <c r="F31" s="148" t="s">
        <v>513</v>
      </c>
      <c r="G31" s="148" t="s">
        <v>513</v>
      </c>
      <c r="H31" s="147" t="s">
        <v>23</v>
      </c>
      <c r="I31" s="147"/>
      <c r="J31" s="147" t="s">
        <v>304</v>
      </c>
      <c r="K31" s="155" t="s">
        <v>37</v>
      </c>
      <c r="L31" s="147" t="s">
        <v>304</v>
      </c>
      <c r="M31" s="155" t="s">
        <v>384</v>
      </c>
      <c r="N31" s="147"/>
      <c r="O31" s="148" t="s">
        <v>514</v>
      </c>
      <c r="P31" s="148" t="s">
        <v>515</v>
      </c>
      <c r="Q31" s="147"/>
      <c r="R31" s="147"/>
      <c r="S31" s="147"/>
      <c r="T31" s="147"/>
      <c r="U31" s="147"/>
      <c r="V31" s="155"/>
      <c r="W31" s="147"/>
      <c r="X31" s="148" t="s">
        <v>516</v>
      </c>
      <c r="Y31" s="148"/>
      <c r="Z31" s="148"/>
      <c r="AA31" s="148"/>
      <c r="AB31" s="147"/>
      <c r="AC31" s="147"/>
      <c r="AD31" s="147"/>
      <c r="AE31" s="147"/>
      <c r="AF31" s="147"/>
      <c r="AG31" s="150"/>
      <c r="AH31" s="147"/>
      <c r="AI31" s="147"/>
      <c r="AJ31" s="147"/>
      <c r="AK31" s="147"/>
      <c r="AL31" s="147"/>
      <c r="AM31" s="147"/>
      <c r="AN31" s="152" t="str" cm="1">
        <f t="array" ref="AN31">IFERROR(
  LOOKUP(
    2,
    1/((AB31:AM31&lt;&gt;"")*(ISNUMBER(AB31:AM31)+ISNONTEXT(AB31:AM31)&gt;0)),
    {10,20,30,40,45,50,60,70,75,80,90,100}
  ) &amp; "%",
  "0%"
)</f>
        <v>0%</v>
      </c>
      <c r="AO31" s="147" t="s">
        <v>513</v>
      </c>
      <c r="AP31" s="147"/>
      <c r="AQ31" s="147"/>
      <c r="AR31" s="147"/>
      <c r="AS31" s="147"/>
      <c r="AT31" s="147"/>
      <c r="AU31" s="147"/>
      <c r="AV31" s="147"/>
      <c r="AW31" s="147"/>
      <c r="AX31" s="147"/>
      <c r="AY31" s="233"/>
      <c r="AZ31" s="147"/>
      <c r="BA31" s="147"/>
    </row>
    <row r="32" spans="1:53" s="17" customFormat="1" ht="24.75" customHeight="1">
      <c r="A32" s="163"/>
      <c r="B32" s="164" t="s">
        <v>4</v>
      </c>
      <c r="C32" s="164" t="s">
        <v>14</v>
      </c>
      <c r="D32" s="164"/>
      <c r="E32" s="164" t="s">
        <v>27</v>
      </c>
      <c r="F32" s="195" t="s">
        <v>517</v>
      </c>
      <c r="G32" s="195" t="s">
        <v>517</v>
      </c>
      <c r="H32" s="147" t="s">
        <v>23</v>
      </c>
      <c r="I32" s="164"/>
      <c r="J32" s="147" t="s">
        <v>304</v>
      </c>
      <c r="K32" s="203" t="s">
        <v>37</v>
      </c>
      <c r="L32" s="164" t="s">
        <v>304</v>
      </c>
      <c r="M32" s="155" t="s">
        <v>384</v>
      </c>
      <c r="N32" s="164"/>
      <c r="O32" s="195" t="s">
        <v>518</v>
      </c>
      <c r="P32" s="195" t="s">
        <v>421</v>
      </c>
      <c r="Q32" s="164"/>
      <c r="R32" s="164"/>
      <c r="S32" s="164"/>
      <c r="T32" s="164"/>
      <c r="U32" s="164"/>
      <c r="V32" s="203"/>
      <c r="W32" s="164"/>
      <c r="X32" s="195" t="s">
        <v>519</v>
      </c>
      <c r="Y32" s="195"/>
      <c r="Z32" s="195"/>
      <c r="AA32" s="195"/>
      <c r="AB32" s="164"/>
      <c r="AC32" s="164"/>
      <c r="AD32" s="164"/>
      <c r="AE32" s="164"/>
      <c r="AF32" s="164"/>
      <c r="AG32" s="165"/>
      <c r="AH32" s="164"/>
      <c r="AI32" s="164"/>
      <c r="AJ32" s="164"/>
      <c r="AK32" s="164"/>
      <c r="AL32" s="164"/>
      <c r="AM32" s="164"/>
      <c r="AN32" s="166" t="str" cm="1">
        <f t="array" ref="AN32">IFERROR(
  LOOKUP(
    2,
    1/((AB32:AM32&lt;&gt;"")*(ISNUMBER(AB32:AM32)+ISNONTEXT(AB32:AM32)&gt;0)),
    {10,20,30,40,45,50,60,70,75,80,90,100}
  ) &amp; "%",
  "0%"
)</f>
        <v>0%</v>
      </c>
      <c r="AO32" s="164"/>
      <c r="AP32" s="164"/>
      <c r="AQ32" s="164"/>
      <c r="AR32" s="164"/>
      <c r="AS32" s="164"/>
      <c r="AT32" s="164"/>
      <c r="AU32" s="164"/>
      <c r="AV32" s="164"/>
      <c r="AW32" s="164"/>
      <c r="AX32" s="164"/>
      <c r="AY32" s="234"/>
      <c r="AZ32" s="164"/>
      <c r="BA32" s="164"/>
    </row>
    <row r="33" spans="1:53" s="2" customFormat="1" ht="24.75" customHeight="1">
      <c r="A33" s="145"/>
      <c r="B33" s="147" t="s">
        <v>4</v>
      </c>
      <c r="C33" s="147" t="s">
        <v>14</v>
      </c>
      <c r="D33" s="147"/>
      <c r="E33" s="147"/>
      <c r="F33" s="148" t="s">
        <v>520</v>
      </c>
      <c r="G33" s="148"/>
      <c r="H33" s="147" t="s">
        <v>23</v>
      </c>
      <c r="I33" s="147"/>
      <c r="J33" s="147"/>
      <c r="K33" s="155" t="s">
        <v>303</v>
      </c>
      <c r="L33" s="147" t="s">
        <v>303</v>
      </c>
      <c r="M33" s="155"/>
      <c r="N33" s="147"/>
      <c r="O33" s="148"/>
      <c r="P33" s="148"/>
      <c r="Q33" s="147"/>
      <c r="R33" s="147"/>
      <c r="S33" s="147"/>
      <c r="T33" s="147"/>
      <c r="U33" s="147"/>
      <c r="V33" s="155"/>
      <c r="W33" s="147"/>
      <c r="X33" s="148"/>
      <c r="Y33" s="148"/>
      <c r="Z33" s="148"/>
      <c r="AA33" s="148"/>
      <c r="AB33" s="147"/>
      <c r="AC33" s="147"/>
      <c r="AD33" s="147"/>
      <c r="AE33" s="147"/>
      <c r="AF33" s="147"/>
      <c r="AG33" s="150"/>
      <c r="AH33" s="147"/>
      <c r="AI33" s="147"/>
      <c r="AJ33" s="147"/>
      <c r="AK33" s="147"/>
      <c r="AL33" s="147"/>
      <c r="AM33" s="147"/>
      <c r="AN33" s="152" t="str" cm="1">
        <f t="array" ref="AN33">IFERROR(
  LOOKUP(
    2,
    1/((AB33:AM33&lt;&gt;"")*(ISNUMBER(AB33:AM33)+ISNONTEXT(AB33:AM33)&gt;0)),
    {10,20,30,40,45,50,60,70,75,80,90,100}
  ) &amp; "%",
  "0%"
)</f>
        <v>0%</v>
      </c>
      <c r="AO33" s="147"/>
      <c r="AP33" s="147"/>
      <c r="AQ33" s="147"/>
      <c r="AR33" s="147"/>
      <c r="AS33" s="147"/>
      <c r="AT33" s="147"/>
      <c r="AU33" s="147"/>
      <c r="AV33" s="147"/>
      <c r="AW33" s="147"/>
      <c r="AX33" s="147"/>
      <c r="AY33" s="233"/>
      <c r="AZ33" s="147"/>
      <c r="BA33" s="147"/>
    </row>
    <row r="34" spans="1:53" ht="24.75" customHeight="1">
      <c r="A34" s="145"/>
      <c r="B34" s="147" t="s">
        <v>4</v>
      </c>
      <c r="C34" s="147" t="s">
        <v>14</v>
      </c>
      <c r="D34" s="147"/>
      <c r="E34" s="147" t="s">
        <v>27</v>
      </c>
      <c r="F34" s="148" t="s">
        <v>521</v>
      </c>
      <c r="G34" s="148" t="s">
        <v>521</v>
      </c>
      <c r="H34" s="147" t="s">
        <v>23</v>
      </c>
      <c r="I34" s="147"/>
      <c r="J34" s="147" t="s">
        <v>304</v>
      </c>
      <c r="K34" s="155" t="s">
        <v>37</v>
      </c>
      <c r="L34" s="147" t="s">
        <v>304</v>
      </c>
      <c r="M34" s="155" t="s">
        <v>384</v>
      </c>
      <c r="N34" s="147"/>
      <c r="O34" s="148" t="s">
        <v>522</v>
      </c>
      <c r="P34" s="148" t="s">
        <v>523</v>
      </c>
      <c r="Q34" s="147"/>
      <c r="R34" s="147"/>
      <c r="S34" s="147"/>
      <c r="T34" s="147"/>
      <c r="U34" s="147"/>
      <c r="V34" s="155"/>
      <c r="W34" s="147"/>
      <c r="X34" s="148"/>
      <c r="Y34" s="148"/>
      <c r="Z34" s="148"/>
      <c r="AA34" s="148"/>
      <c r="AB34" s="147"/>
      <c r="AC34" s="147"/>
      <c r="AD34" s="147"/>
      <c r="AE34" s="147"/>
      <c r="AF34" s="147"/>
      <c r="AG34" s="150"/>
      <c r="AH34" s="147"/>
      <c r="AI34" s="147"/>
      <c r="AJ34" s="147"/>
      <c r="AK34" s="147"/>
      <c r="AL34" s="147"/>
      <c r="AM34" s="147"/>
      <c r="AN34" s="152" t="str" cm="1">
        <f t="array" ref="AN34">IFERROR(
  LOOKUP(
    2,
    1/((AB34:AM34&lt;&gt;"")*(ISNUMBER(AB34:AM34)+ISNONTEXT(AB34:AM34)&gt;0)),
    {10,20,30,40,45,50,60,70,75,80,90,100}
  ) &amp; "%",
  "0%"
)</f>
        <v>0%</v>
      </c>
      <c r="AO34" s="147"/>
      <c r="AP34" s="147"/>
      <c r="AQ34" s="147"/>
      <c r="AR34" s="147"/>
      <c r="AS34" s="147"/>
      <c r="AT34" s="147"/>
      <c r="AU34" s="147"/>
      <c r="AV34" s="147"/>
      <c r="AW34" s="147"/>
      <c r="AX34" s="147"/>
      <c r="AY34" s="233"/>
      <c r="AZ34" s="147"/>
      <c r="BA34" s="147"/>
    </row>
    <row r="35" spans="1:53" ht="24.75" customHeight="1">
      <c r="A35" s="145"/>
      <c r="B35" s="147" t="s">
        <v>4</v>
      </c>
      <c r="C35" s="147" t="s">
        <v>14</v>
      </c>
      <c r="D35" s="147"/>
      <c r="E35" s="147" t="s">
        <v>27</v>
      </c>
      <c r="F35" s="148" t="s">
        <v>524</v>
      </c>
      <c r="G35" s="148" t="s">
        <v>525</v>
      </c>
      <c r="H35" s="147" t="s">
        <v>23</v>
      </c>
      <c r="I35" s="147"/>
      <c r="J35" s="147" t="s">
        <v>304</v>
      </c>
      <c r="K35" s="155" t="s">
        <v>37</v>
      </c>
      <c r="L35" s="147" t="s">
        <v>304</v>
      </c>
      <c r="M35" s="155" t="s">
        <v>384</v>
      </c>
      <c r="N35" s="147"/>
      <c r="O35" s="148" t="s">
        <v>526</v>
      </c>
      <c r="P35" s="148"/>
      <c r="Q35" s="147"/>
      <c r="R35" s="147"/>
      <c r="S35" s="147"/>
      <c r="T35" s="147"/>
      <c r="U35" s="147"/>
      <c r="V35" s="155"/>
      <c r="W35" s="147"/>
      <c r="X35" s="148" t="s">
        <v>527</v>
      </c>
      <c r="Y35" s="148"/>
      <c r="Z35" s="148"/>
      <c r="AA35" s="148"/>
      <c r="AB35" s="147"/>
      <c r="AC35" s="147"/>
      <c r="AD35" s="147"/>
      <c r="AE35" s="147"/>
      <c r="AF35" s="147"/>
      <c r="AG35" s="150"/>
      <c r="AH35" s="147"/>
      <c r="AI35" s="147"/>
      <c r="AJ35" s="147"/>
      <c r="AK35" s="147"/>
      <c r="AL35" s="147"/>
      <c r="AM35" s="147"/>
      <c r="AN35" s="152" t="str" cm="1">
        <f t="array" ref="AN35">IFERROR(
  LOOKUP(
    2,
    1/((AB35:AM35&lt;&gt;"")*(ISNUMBER(AB35:AM35)+ISNONTEXT(AB35:AM35)&gt;0)),
    {10,20,30,40,45,50,60,70,75,80,90,100}
  ) &amp; "%",
  "0%"
)</f>
        <v>0%</v>
      </c>
      <c r="AO35" s="147"/>
      <c r="AP35" s="147"/>
      <c r="AQ35" s="147"/>
      <c r="AR35" s="147"/>
      <c r="AS35" s="147"/>
      <c r="AT35" s="147"/>
      <c r="AU35" s="147"/>
      <c r="AV35" s="147"/>
      <c r="AW35" s="147"/>
      <c r="AX35" s="147"/>
      <c r="AY35" s="233"/>
      <c r="AZ35" s="147"/>
      <c r="BA35" s="147"/>
    </row>
    <row r="36" spans="1:53" ht="24.75" customHeight="1">
      <c r="A36" s="145"/>
      <c r="B36" s="147" t="s">
        <v>2</v>
      </c>
      <c r="C36" s="147"/>
      <c r="D36" s="147"/>
      <c r="E36" s="147"/>
      <c r="F36" s="148" t="s">
        <v>528</v>
      </c>
      <c r="G36" s="148" t="s">
        <v>529</v>
      </c>
      <c r="H36" s="147" t="s">
        <v>20</v>
      </c>
      <c r="I36" s="147"/>
      <c r="J36" s="147" t="s">
        <v>499</v>
      </c>
      <c r="K36" s="155" t="s">
        <v>37</v>
      </c>
      <c r="L36" s="147" t="s">
        <v>499</v>
      </c>
      <c r="M36" s="155" t="s">
        <v>500</v>
      </c>
      <c r="N36" s="147" t="s">
        <v>33</v>
      </c>
      <c r="O36" s="148"/>
      <c r="P36" s="148"/>
      <c r="Q36" s="147"/>
      <c r="R36" s="147"/>
      <c r="S36" s="147"/>
      <c r="T36" s="147"/>
      <c r="U36" s="147"/>
      <c r="V36" s="155"/>
      <c r="W36" s="147"/>
      <c r="X36" s="148"/>
      <c r="Y36" s="148"/>
      <c r="Z36" s="148"/>
      <c r="AA36" s="148"/>
      <c r="AB36" s="147"/>
      <c r="AC36" s="147"/>
      <c r="AD36" s="147"/>
      <c r="AE36" s="147"/>
      <c r="AF36" s="147"/>
      <c r="AG36" s="150"/>
      <c r="AH36" s="147"/>
      <c r="AI36" s="147"/>
      <c r="AJ36" s="147"/>
      <c r="AK36" s="147"/>
      <c r="AL36" s="147"/>
      <c r="AM36" s="147"/>
      <c r="AN36" s="152" t="str" cm="1">
        <f t="array" ref="AN36">IFERROR(
  LOOKUP(
    2,
    1/((AB36:AM36&lt;&gt;"")*(ISNUMBER(AB36:AM36)+ISNONTEXT(AB36:AM36)&gt;0)),
    {10,20,30,40,45,50,60,70,75,80,90,100}
  ) &amp; "%",
  "0%"
)</f>
        <v>0%</v>
      </c>
      <c r="AO36" s="147"/>
      <c r="AP36" s="147"/>
      <c r="AQ36" s="147"/>
      <c r="AR36" s="147"/>
      <c r="AS36" s="147"/>
      <c r="AT36" s="147"/>
      <c r="AU36" s="147"/>
      <c r="AV36" s="147"/>
      <c r="AW36" s="147"/>
      <c r="AX36" s="147"/>
      <c r="AY36" s="233"/>
      <c r="AZ36" s="147"/>
      <c r="BA36" s="147"/>
    </row>
    <row r="37" spans="1:53" ht="24.75" customHeight="1">
      <c r="A37" s="145"/>
      <c r="B37" s="147" t="s">
        <v>4</v>
      </c>
      <c r="C37" s="147" t="s">
        <v>14</v>
      </c>
      <c r="D37" s="147"/>
      <c r="E37" s="147" t="s">
        <v>26</v>
      </c>
      <c r="F37" s="148" t="s">
        <v>530</v>
      </c>
      <c r="G37" s="148" t="s">
        <v>531</v>
      </c>
      <c r="H37" s="147" t="s">
        <v>23</v>
      </c>
      <c r="I37" s="147"/>
      <c r="J37" s="147" t="s">
        <v>304</v>
      </c>
      <c r="K37" s="155" t="s">
        <v>37</v>
      </c>
      <c r="L37" s="147" t="s">
        <v>304</v>
      </c>
      <c r="M37" s="155" t="s">
        <v>384</v>
      </c>
      <c r="N37" s="147"/>
      <c r="O37" s="148"/>
      <c r="P37" s="148"/>
      <c r="Q37" s="147"/>
      <c r="R37" s="147"/>
      <c r="S37" s="147"/>
      <c r="T37" s="147"/>
      <c r="U37" s="147"/>
      <c r="V37" s="155"/>
      <c r="W37" s="147"/>
      <c r="X37" s="148"/>
      <c r="Y37" s="148"/>
      <c r="Z37" s="148"/>
      <c r="AA37" s="148"/>
      <c r="AB37" s="147"/>
      <c r="AC37" s="147"/>
      <c r="AD37" s="147"/>
      <c r="AE37" s="147"/>
      <c r="AF37" s="147"/>
      <c r="AG37" s="150"/>
      <c r="AH37" s="147"/>
      <c r="AI37" s="147"/>
      <c r="AJ37" s="147"/>
      <c r="AK37" s="147"/>
      <c r="AL37" s="147"/>
      <c r="AM37" s="147"/>
      <c r="AN37" s="152" t="str" cm="1">
        <f t="array" ref="AN37">IFERROR(
  LOOKUP(
    2,
    1/((AB37:AM37&lt;&gt;"")*(ISNUMBER(AB37:AM37)+ISNONTEXT(AB37:AM37)&gt;0)),
    {10,20,30,40,45,50,60,70,75,80,90,100}
  ) &amp; "%",
  "0%"
)</f>
        <v>0%</v>
      </c>
      <c r="AO37" s="147" t="s">
        <v>309</v>
      </c>
      <c r="AP37" s="147"/>
      <c r="AQ37" s="147"/>
      <c r="AR37" s="147"/>
      <c r="AS37" s="147"/>
      <c r="AT37" s="147"/>
      <c r="AU37" s="147"/>
      <c r="AV37" s="147"/>
      <c r="AW37" s="147"/>
      <c r="AX37" s="147"/>
      <c r="AY37" s="233"/>
      <c r="AZ37" s="147"/>
      <c r="BA37" s="147"/>
    </row>
    <row r="38" spans="1:53" ht="24.75" customHeight="1">
      <c r="A38" s="145"/>
      <c r="B38" s="147" t="s">
        <v>4</v>
      </c>
      <c r="C38" s="147" t="s">
        <v>14</v>
      </c>
      <c r="D38" s="147"/>
      <c r="E38" s="147" t="s">
        <v>27</v>
      </c>
      <c r="F38" s="148" t="s">
        <v>532</v>
      </c>
      <c r="G38" s="148" t="s">
        <v>532</v>
      </c>
      <c r="H38" s="147" t="s">
        <v>23</v>
      </c>
      <c r="I38" s="147"/>
      <c r="J38" s="147" t="s">
        <v>304</v>
      </c>
      <c r="K38" s="155" t="s">
        <v>37</v>
      </c>
      <c r="L38" s="147" t="s">
        <v>304</v>
      </c>
      <c r="M38" s="155" t="s">
        <v>384</v>
      </c>
      <c r="N38" s="147"/>
      <c r="O38" s="148" t="s">
        <v>533</v>
      </c>
      <c r="P38" s="148" t="s">
        <v>534</v>
      </c>
      <c r="Q38" s="147"/>
      <c r="R38" s="147"/>
      <c r="S38" s="147"/>
      <c r="T38" s="147"/>
      <c r="U38" s="147"/>
      <c r="V38" s="155"/>
      <c r="W38" s="147"/>
      <c r="X38" s="148" t="s">
        <v>535</v>
      </c>
      <c r="Y38" s="148"/>
      <c r="Z38" s="148"/>
      <c r="AA38" s="148"/>
      <c r="AB38" s="147"/>
      <c r="AC38" s="147"/>
      <c r="AD38" s="147"/>
      <c r="AE38" s="147"/>
      <c r="AF38" s="147"/>
      <c r="AG38" s="150"/>
      <c r="AH38" s="147"/>
      <c r="AI38" s="147"/>
      <c r="AJ38" s="147"/>
      <c r="AK38" s="147"/>
      <c r="AL38" s="147"/>
      <c r="AM38" s="147"/>
      <c r="AN38" s="152" t="str" cm="1">
        <f t="array" ref="AN38">IFERROR(
  LOOKUP(
    2,
    1/((AB38:AM38&lt;&gt;"")*(ISNUMBER(AB38:AM38)+ISNONTEXT(AB38:AM38)&gt;0)),
    {10,20,30,40,45,50,60,70,75,80,90,100}
  ) &amp; "%",
  "0%"
)</f>
        <v>0%</v>
      </c>
      <c r="AO38" s="147"/>
      <c r="AP38" s="147"/>
      <c r="AQ38" s="147"/>
      <c r="AR38" s="147"/>
      <c r="AS38" s="147"/>
      <c r="AT38" s="147"/>
      <c r="AU38" s="147"/>
      <c r="AV38" s="147"/>
      <c r="AW38" s="147"/>
      <c r="AX38" s="147"/>
      <c r="AY38" s="233"/>
      <c r="AZ38" s="147"/>
      <c r="BA38" s="147"/>
    </row>
    <row r="39" spans="1:53" ht="24.75" customHeight="1">
      <c r="A39" s="145"/>
      <c r="B39" s="147" t="s">
        <v>4</v>
      </c>
      <c r="C39" s="147" t="s">
        <v>14</v>
      </c>
      <c r="D39" s="147"/>
      <c r="E39" s="147" t="s">
        <v>27</v>
      </c>
      <c r="F39" s="148" t="s">
        <v>536</v>
      </c>
      <c r="G39" s="148" t="s">
        <v>537</v>
      </c>
      <c r="H39" s="147" t="s">
        <v>23</v>
      </c>
      <c r="I39" s="147"/>
      <c r="J39" s="147" t="s">
        <v>304</v>
      </c>
      <c r="K39" s="155" t="s">
        <v>37</v>
      </c>
      <c r="L39" s="147" t="s">
        <v>304</v>
      </c>
      <c r="M39" s="155" t="s">
        <v>384</v>
      </c>
      <c r="N39" s="147"/>
      <c r="O39" s="148" t="s">
        <v>538</v>
      </c>
      <c r="P39" s="148" t="s">
        <v>444</v>
      </c>
      <c r="Q39" s="147"/>
      <c r="R39" s="147"/>
      <c r="S39" s="147"/>
      <c r="T39" s="147"/>
      <c r="U39" s="147"/>
      <c r="V39" s="155"/>
      <c r="W39" s="147"/>
      <c r="X39" s="148" t="s">
        <v>539</v>
      </c>
      <c r="Y39" s="148"/>
      <c r="Z39" s="148"/>
      <c r="AA39" s="148"/>
      <c r="AB39" s="147"/>
      <c r="AC39" s="147"/>
      <c r="AD39" s="147"/>
      <c r="AE39" s="147"/>
      <c r="AF39" s="147"/>
      <c r="AG39" s="150"/>
      <c r="AH39" s="147"/>
      <c r="AI39" s="147"/>
      <c r="AJ39" s="147"/>
      <c r="AK39" s="147"/>
      <c r="AL39" s="147"/>
      <c r="AM39" s="147"/>
      <c r="AN39" s="152" t="str" cm="1">
        <f t="array" ref="AN39">IFERROR(
  LOOKUP(
    2,
    1/((AB39:AM39&lt;&gt;"")*(ISNUMBER(AB39:AM39)+ISNONTEXT(AB39:AM39)&gt;0)),
    {10,20,30,40,45,50,60,70,75,80,90,100}
  ) &amp; "%",
  "0%"
)</f>
        <v>0%</v>
      </c>
      <c r="AO39" s="147"/>
      <c r="AP39" s="147"/>
      <c r="AQ39" s="147"/>
      <c r="AR39" s="147"/>
      <c r="AS39" s="147"/>
      <c r="AT39" s="147"/>
      <c r="AU39" s="147"/>
      <c r="AV39" s="147"/>
      <c r="AW39" s="147"/>
      <c r="AX39" s="147"/>
      <c r="AY39" s="233"/>
      <c r="AZ39" s="147"/>
      <c r="BA39" s="147"/>
    </row>
    <row r="40" spans="1:53" ht="24.75" customHeight="1">
      <c r="A40" s="145"/>
      <c r="B40" s="147" t="s">
        <v>4</v>
      </c>
      <c r="C40" s="147" t="s">
        <v>14</v>
      </c>
      <c r="D40" s="147"/>
      <c r="E40" s="147" t="s">
        <v>27</v>
      </c>
      <c r="F40" s="148" t="s">
        <v>540</v>
      </c>
      <c r="G40" s="148"/>
      <c r="H40" s="147" t="s">
        <v>23</v>
      </c>
      <c r="I40" s="147"/>
      <c r="J40" s="147" t="s">
        <v>304</v>
      </c>
      <c r="K40" s="155" t="s">
        <v>37</v>
      </c>
      <c r="L40" s="147" t="s">
        <v>304</v>
      </c>
      <c r="M40" s="155" t="s">
        <v>384</v>
      </c>
      <c r="N40" s="147"/>
      <c r="O40" s="148"/>
      <c r="P40" s="148"/>
      <c r="Q40" s="147"/>
      <c r="R40" s="147"/>
      <c r="S40" s="147"/>
      <c r="T40" s="147"/>
      <c r="U40" s="147"/>
      <c r="V40" s="155"/>
      <c r="W40" s="147"/>
      <c r="X40" s="148"/>
      <c r="Y40" s="148"/>
      <c r="Z40" s="148"/>
      <c r="AA40" s="148"/>
      <c r="AB40" s="147"/>
      <c r="AC40" s="147"/>
      <c r="AD40" s="147"/>
      <c r="AE40" s="147"/>
      <c r="AF40" s="147"/>
      <c r="AG40" s="150"/>
      <c r="AH40" s="147"/>
      <c r="AI40" s="147"/>
      <c r="AJ40" s="147"/>
      <c r="AK40" s="147"/>
      <c r="AL40" s="147"/>
      <c r="AM40" s="147"/>
      <c r="AN40" s="152" t="str" cm="1">
        <f t="array" ref="AN40">IFERROR(
  LOOKUP(
    2,
    1/((AB40:AM40&lt;&gt;"")*(ISNUMBER(AB40:AM40)+ISNONTEXT(AB40:AM40)&gt;0)),
    {10,20,30,40,45,50,60,70,75,80,90,100}
  ) &amp; "%",
  "0%"
)</f>
        <v>0%</v>
      </c>
      <c r="AO40" s="147"/>
      <c r="AP40" s="147"/>
      <c r="AQ40" s="147"/>
      <c r="AR40" s="147"/>
      <c r="AS40" s="147"/>
      <c r="AT40" s="147"/>
      <c r="AU40" s="147"/>
      <c r="AV40" s="147"/>
      <c r="AW40" s="147"/>
      <c r="AX40" s="147"/>
      <c r="AY40" s="233"/>
      <c r="AZ40" s="147"/>
      <c r="BA40" s="147"/>
    </row>
    <row r="41" spans="1:53" ht="24.75" customHeight="1">
      <c r="A41" s="145"/>
      <c r="B41" s="147" t="s">
        <v>4</v>
      </c>
      <c r="C41" s="147" t="s">
        <v>14</v>
      </c>
      <c r="D41" s="147"/>
      <c r="E41" s="147" t="s">
        <v>27</v>
      </c>
      <c r="F41" s="148" t="s">
        <v>541</v>
      </c>
      <c r="G41" s="148" t="s">
        <v>542</v>
      </c>
      <c r="H41" s="147" t="s">
        <v>23</v>
      </c>
      <c r="I41" s="147"/>
      <c r="J41" s="147" t="s">
        <v>304</v>
      </c>
      <c r="K41" s="155" t="s">
        <v>37</v>
      </c>
      <c r="L41" s="147" t="s">
        <v>304</v>
      </c>
      <c r="M41" s="155" t="s">
        <v>384</v>
      </c>
      <c r="N41" s="147"/>
      <c r="O41" s="148" t="s">
        <v>543</v>
      </c>
      <c r="P41" s="148" t="s">
        <v>544</v>
      </c>
      <c r="Q41" s="147"/>
      <c r="R41" s="147"/>
      <c r="S41" s="147"/>
      <c r="T41" s="147"/>
      <c r="U41" s="147"/>
      <c r="V41" s="155"/>
      <c r="W41" s="147"/>
      <c r="X41" s="148" t="s">
        <v>545</v>
      </c>
      <c r="Y41" s="148"/>
      <c r="Z41" s="148"/>
      <c r="AA41" s="148"/>
      <c r="AB41" s="147"/>
      <c r="AC41" s="147"/>
      <c r="AD41" s="147"/>
      <c r="AE41" s="147"/>
      <c r="AF41" s="147"/>
      <c r="AG41" s="150"/>
      <c r="AH41" s="147"/>
      <c r="AI41" s="147"/>
      <c r="AJ41" s="147"/>
      <c r="AK41" s="147"/>
      <c r="AL41" s="147"/>
      <c r="AM41" s="147"/>
      <c r="AN41" s="152" t="str" cm="1">
        <f t="array" ref="AN41">IFERROR(
  LOOKUP(
    2,
    1/((AB41:AM41&lt;&gt;"")*(ISNUMBER(AB41:AM41)+ISNONTEXT(AB41:AM41)&gt;0)),
    {10,20,30,40,45,50,60,70,75,80,90,100}
  ) &amp; "%",
  "0%"
)</f>
        <v>0%</v>
      </c>
      <c r="AO41" s="147"/>
      <c r="AP41" s="147"/>
      <c r="AQ41" s="147"/>
      <c r="AR41" s="147"/>
      <c r="AS41" s="147"/>
      <c r="AT41" s="147"/>
      <c r="AU41" s="147"/>
      <c r="AV41" s="147"/>
      <c r="AW41" s="147"/>
      <c r="AX41" s="147"/>
      <c r="AY41" s="233"/>
      <c r="AZ41" s="147"/>
      <c r="BA41" s="147"/>
    </row>
    <row r="42" spans="1:53" ht="24.75" customHeight="1">
      <c r="A42" s="145"/>
      <c r="B42" s="147" t="s">
        <v>4</v>
      </c>
      <c r="C42" s="147" t="s">
        <v>14</v>
      </c>
      <c r="D42" s="147"/>
      <c r="E42" s="147" t="s">
        <v>27</v>
      </c>
      <c r="F42" s="148" t="s">
        <v>546</v>
      </c>
      <c r="G42" s="148"/>
      <c r="H42" s="147" t="s">
        <v>23</v>
      </c>
      <c r="I42" s="147"/>
      <c r="J42" s="147" t="s">
        <v>304</v>
      </c>
      <c r="K42" s="155" t="s">
        <v>37</v>
      </c>
      <c r="L42" s="147" t="s">
        <v>304</v>
      </c>
      <c r="M42" s="155" t="s">
        <v>384</v>
      </c>
      <c r="N42" s="147"/>
      <c r="O42" s="148"/>
      <c r="P42" s="148"/>
      <c r="Q42" s="147"/>
      <c r="R42" s="147"/>
      <c r="S42" s="147"/>
      <c r="T42" s="147"/>
      <c r="U42" s="147"/>
      <c r="V42" s="155"/>
      <c r="W42" s="147"/>
      <c r="X42" s="148"/>
      <c r="Y42" s="148"/>
      <c r="Z42" s="148"/>
      <c r="AA42" s="148"/>
      <c r="AB42" s="147"/>
      <c r="AC42" s="147"/>
      <c r="AD42" s="147"/>
      <c r="AE42" s="147"/>
      <c r="AF42" s="147"/>
      <c r="AG42" s="150"/>
      <c r="AH42" s="147"/>
      <c r="AI42" s="147"/>
      <c r="AJ42" s="147"/>
      <c r="AK42" s="147"/>
      <c r="AL42" s="147"/>
      <c r="AM42" s="147"/>
      <c r="AN42" s="152" t="str" cm="1">
        <f t="array" ref="AN42">IFERROR(
  LOOKUP(
    2,
    1/((AB42:AM42&lt;&gt;"")*(ISNUMBER(AB42:AM42)+ISNONTEXT(AB42:AM42)&gt;0)),
    {10,20,30,40,45,50,60,70,75,80,90,100}
  ) &amp; "%",
  "0%"
)</f>
        <v>0%</v>
      </c>
      <c r="AO42" s="147"/>
      <c r="AP42" s="147"/>
      <c r="AQ42" s="147"/>
      <c r="AR42" s="147"/>
      <c r="AS42" s="147"/>
      <c r="AT42" s="147"/>
      <c r="AU42" s="147"/>
      <c r="AV42" s="147"/>
      <c r="AW42" s="147"/>
      <c r="AX42" s="147"/>
      <c r="AY42" s="233"/>
      <c r="AZ42" s="147"/>
      <c r="BA42" s="147"/>
    </row>
    <row r="43" spans="1:53" ht="24.75" customHeight="1">
      <c r="A43" s="145"/>
      <c r="B43" s="147" t="s">
        <v>4</v>
      </c>
      <c r="C43" s="147" t="s">
        <v>14</v>
      </c>
      <c r="D43" s="147"/>
      <c r="E43" s="147" t="s">
        <v>27</v>
      </c>
      <c r="F43" s="148" t="s">
        <v>547</v>
      </c>
      <c r="G43" s="148" t="s">
        <v>547</v>
      </c>
      <c r="H43" s="147" t="s">
        <v>23</v>
      </c>
      <c r="I43" s="147"/>
      <c r="J43" s="147" t="s">
        <v>304</v>
      </c>
      <c r="K43" s="155" t="s">
        <v>37</v>
      </c>
      <c r="L43" s="147" t="s">
        <v>304</v>
      </c>
      <c r="M43" s="155" t="s">
        <v>384</v>
      </c>
      <c r="N43" s="147"/>
      <c r="O43" s="148" t="s">
        <v>548</v>
      </c>
      <c r="P43" s="148" t="s">
        <v>549</v>
      </c>
      <c r="Q43" s="147"/>
      <c r="R43" s="147"/>
      <c r="S43" s="147"/>
      <c r="T43" s="147"/>
      <c r="U43" s="147"/>
      <c r="V43" s="155"/>
      <c r="W43" s="147"/>
      <c r="X43" s="148" t="s">
        <v>550</v>
      </c>
      <c r="Y43" s="148"/>
      <c r="Z43" s="148"/>
      <c r="AA43" s="148"/>
      <c r="AB43" s="147"/>
      <c r="AC43" s="147"/>
      <c r="AD43" s="147"/>
      <c r="AE43" s="147"/>
      <c r="AF43" s="147"/>
      <c r="AG43" s="150"/>
      <c r="AH43" s="147"/>
      <c r="AI43" s="147"/>
      <c r="AJ43" s="147"/>
      <c r="AK43" s="147"/>
      <c r="AL43" s="147"/>
      <c r="AM43" s="147"/>
      <c r="AN43" s="152" t="str" cm="1">
        <f t="array" ref="AN43">IFERROR(
  LOOKUP(
    2,
    1/((AB43:AM43&lt;&gt;"")*(ISNUMBER(AB43:AM43)+ISNONTEXT(AB43:AM43)&gt;0)),
    {10,20,30,40,45,50,60,70,75,80,90,100}
  ) &amp; "%",
  "0%"
)</f>
        <v>0%</v>
      </c>
      <c r="AO43" s="147"/>
      <c r="AP43" s="147"/>
      <c r="AQ43" s="147"/>
      <c r="AR43" s="147"/>
      <c r="AS43" s="147"/>
      <c r="AT43" s="147"/>
      <c r="AU43" s="147"/>
      <c r="AV43" s="147"/>
      <c r="AW43" s="147"/>
      <c r="AX43" s="147"/>
      <c r="AY43" s="233"/>
      <c r="AZ43" s="147"/>
      <c r="BA43" s="147"/>
    </row>
    <row r="44" spans="1:53" ht="24.75" customHeight="1">
      <c r="A44" s="145"/>
      <c r="B44" s="147" t="s">
        <v>4</v>
      </c>
      <c r="C44" s="147" t="s">
        <v>14</v>
      </c>
      <c r="D44" s="147"/>
      <c r="E44" s="147" t="s">
        <v>26</v>
      </c>
      <c r="F44" s="148" t="s">
        <v>551</v>
      </c>
      <c r="G44" s="148" t="s">
        <v>552</v>
      </c>
      <c r="H44" s="147" t="s">
        <v>23</v>
      </c>
      <c r="I44" s="147"/>
      <c r="J44" s="147" t="s">
        <v>304</v>
      </c>
      <c r="K44" s="155" t="s">
        <v>37</v>
      </c>
      <c r="L44" s="147" t="s">
        <v>304</v>
      </c>
      <c r="M44" s="155" t="s">
        <v>384</v>
      </c>
      <c r="N44" s="147"/>
      <c r="O44" s="148" t="s">
        <v>553</v>
      </c>
      <c r="P44" s="148" t="s">
        <v>421</v>
      </c>
      <c r="Q44" s="147"/>
      <c r="R44" s="147"/>
      <c r="S44" s="147"/>
      <c r="T44" s="147"/>
      <c r="U44" s="147"/>
      <c r="V44" s="155"/>
      <c r="W44" s="147"/>
      <c r="X44" s="148" t="s">
        <v>554</v>
      </c>
      <c r="Y44" s="148"/>
      <c r="Z44" s="148" t="s">
        <v>555</v>
      </c>
      <c r="AA44" s="148"/>
      <c r="AB44" s="147"/>
      <c r="AC44" s="147"/>
      <c r="AD44" s="147"/>
      <c r="AE44" s="147"/>
      <c r="AF44" s="147"/>
      <c r="AG44" s="150"/>
      <c r="AH44" s="147"/>
      <c r="AI44" s="147"/>
      <c r="AJ44" s="147"/>
      <c r="AK44" s="147"/>
      <c r="AL44" s="147"/>
      <c r="AM44" s="147"/>
      <c r="AN44" s="152" t="str" cm="1">
        <f t="array" ref="AN44">IFERROR(
  LOOKUP(
    2,
    1/((AB44:AM44&lt;&gt;"")*(ISNUMBER(AB44:AM44)+ISNONTEXT(AB44:AM44)&gt;0)),
    {10,20,30,40,45,50,60,70,75,80,90,100}
  ) &amp; "%",
  "0%"
)</f>
        <v>0%</v>
      </c>
      <c r="AO44" s="147" t="s">
        <v>309</v>
      </c>
      <c r="AP44" s="147"/>
      <c r="AQ44" s="147"/>
      <c r="AR44" s="147"/>
      <c r="AS44" s="147"/>
      <c r="AT44" s="147"/>
      <c r="AU44" s="147"/>
      <c r="AV44" s="147"/>
      <c r="AW44" s="147"/>
      <c r="AX44" s="147"/>
      <c r="AY44" s="233"/>
      <c r="AZ44" s="147"/>
      <c r="BA44" s="147"/>
    </row>
    <row r="45" spans="1:53" ht="24.75" customHeight="1">
      <c r="A45" s="145"/>
      <c r="B45" s="147" t="s">
        <v>4</v>
      </c>
      <c r="C45" s="147" t="s">
        <v>14</v>
      </c>
      <c r="D45" s="147"/>
      <c r="E45" s="147" t="s">
        <v>27</v>
      </c>
      <c r="F45" s="148" t="s">
        <v>556</v>
      </c>
      <c r="G45" s="148" t="s">
        <v>557</v>
      </c>
      <c r="H45" s="147" t="s">
        <v>23</v>
      </c>
      <c r="I45" s="147"/>
      <c r="J45" s="147" t="s">
        <v>304</v>
      </c>
      <c r="K45" s="155" t="s">
        <v>37</v>
      </c>
      <c r="L45" s="147" t="s">
        <v>304</v>
      </c>
      <c r="M45" s="155" t="s">
        <v>384</v>
      </c>
      <c r="N45" s="147"/>
      <c r="O45" s="148" t="s">
        <v>558</v>
      </c>
      <c r="P45" s="148" t="s">
        <v>559</v>
      </c>
      <c r="Q45" s="147"/>
      <c r="R45" s="147"/>
      <c r="S45" s="147"/>
      <c r="T45" s="147"/>
      <c r="U45" s="147"/>
      <c r="V45" s="155"/>
      <c r="W45" s="147"/>
      <c r="X45" s="148" t="s">
        <v>560</v>
      </c>
      <c r="Y45" s="148"/>
      <c r="Z45" s="148"/>
      <c r="AA45" s="148"/>
      <c r="AB45" s="147"/>
      <c r="AC45" s="147"/>
      <c r="AD45" s="147"/>
      <c r="AE45" s="147"/>
      <c r="AF45" s="147"/>
      <c r="AG45" s="150"/>
      <c r="AH45" s="147"/>
      <c r="AI45" s="147"/>
      <c r="AJ45" s="147"/>
      <c r="AK45" s="147"/>
      <c r="AL45" s="147"/>
      <c r="AM45" s="147"/>
      <c r="AN45" s="152" t="str" cm="1">
        <f t="array" ref="AN45">IFERROR(
  LOOKUP(
    2,
    1/((AB45:AM45&lt;&gt;"")*(ISNUMBER(AB45:AM45)+ISNONTEXT(AB45:AM45)&gt;0)),
    {10,20,30,40,45,50,60,70,75,80,90,100}
  ) &amp; "%",
  "0%"
)</f>
        <v>0%</v>
      </c>
      <c r="AO45" s="147"/>
      <c r="AP45" s="147"/>
      <c r="AQ45" s="147"/>
      <c r="AR45" s="147"/>
      <c r="AS45" s="147"/>
      <c r="AT45" s="147"/>
      <c r="AU45" s="147"/>
      <c r="AV45" s="147"/>
      <c r="AW45" s="147"/>
      <c r="AX45" s="147"/>
      <c r="AY45" s="233"/>
      <c r="AZ45" s="147"/>
      <c r="BA45" s="147"/>
    </row>
    <row r="46" spans="1:53" ht="24.75" customHeight="1">
      <c r="A46" s="145"/>
      <c r="B46" s="147" t="s">
        <v>3</v>
      </c>
      <c r="C46" s="147"/>
      <c r="D46" s="147"/>
      <c r="E46" s="147" t="s">
        <v>26</v>
      </c>
      <c r="F46" s="161" t="s">
        <v>561</v>
      </c>
      <c r="G46" s="148" t="s">
        <v>562</v>
      </c>
      <c r="H46" s="147" t="s">
        <v>20</v>
      </c>
      <c r="I46" s="147"/>
      <c r="J46" s="147" t="s">
        <v>352</v>
      </c>
      <c r="K46" s="155" t="s">
        <v>37</v>
      </c>
      <c r="L46" s="147" t="s">
        <v>563</v>
      </c>
      <c r="M46" s="155" t="s">
        <v>564</v>
      </c>
      <c r="N46" s="147" t="s">
        <v>33</v>
      </c>
      <c r="O46" s="148" t="s">
        <v>565</v>
      </c>
      <c r="P46" s="148" t="s">
        <v>566</v>
      </c>
      <c r="Q46" s="147"/>
      <c r="R46" s="147"/>
      <c r="S46" s="147"/>
      <c r="T46" s="147"/>
      <c r="U46" s="147"/>
      <c r="V46" s="155" t="s">
        <v>567</v>
      </c>
      <c r="W46" s="147"/>
      <c r="X46" s="148" t="s">
        <v>568</v>
      </c>
      <c r="Y46" s="148"/>
      <c r="Z46" s="213" t="s">
        <v>569</v>
      </c>
      <c r="AA46" s="148" t="s">
        <v>570</v>
      </c>
      <c r="AB46" s="157">
        <v>45890</v>
      </c>
      <c r="AC46" s="147"/>
      <c r="AD46" s="147"/>
      <c r="AE46" s="147"/>
      <c r="AF46" s="147"/>
      <c r="AG46" s="150"/>
      <c r="AH46" s="147"/>
      <c r="AI46" s="147"/>
      <c r="AJ46" s="147"/>
      <c r="AK46" s="147"/>
      <c r="AL46" s="147"/>
      <c r="AM46" s="147"/>
      <c r="AN46" s="152" t="str" cm="1">
        <f t="array" ref="AN46">IFERROR(
  LOOKUP(
    2,
    1/((AB46:AM46&lt;&gt;"")*(ISNUMBER(AB46:AM46)+ISNONTEXT(AB46:AM46)&gt;0)),
    {10,20,30,40,45,50,60,70,75,80,90,100}
  ) &amp; "%",
  "0%"
)</f>
        <v>10%</v>
      </c>
      <c r="AO46" s="147"/>
      <c r="AP46" s="147"/>
      <c r="AQ46" s="147"/>
      <c r="AR46" s="155"/>
      <c r="AS46" s="155"/>
      <c r="AT46" s="155"/>
      <c r="AU46" s="155"/>
      <c r="AV46" s="155"/>
      <c r="AW46" s="155"/>
      <c r="AX46" s="155"/>
      <c r="AY46" s="233"/>
      <c r="AZ46" s="147"/>
      <c r="BA46" s="147"/>
    </row>
    <row r="47" spans="1:53" ht="24.75" customHeight="1">
      <c r="A47" s="145"/>
      <c r="B47" s="147" t="s">
        <v>3</v>
      </c>
      <c r="C47" s="147"/>
      <c r="D47" s="147"/>
      <c r="E47" s="147" t="s">
        <v>26</v>
      </c>
      <c r="F47" s="148" t="s">
        <v>571</v>
      </c>
      <c r="G47" s="148" t="s">
        <v>572</v>
      </c>
      <c r="H47" s="147" t="s">
        <v>20</v>
      </c>
      <c r="I47" s="147"/>
      <c r="J47" s="147" t="s">
        <v>352</v>
      </c>
      <c r="K47" s="155" t="s">
        <v>37</v>
      </c>
      <c r="L47" s="147" t="s">
        <v>563</v>
      </c>
      <c r="M47" s="155" t="s">
        <v>573</v>
      </c>
      <c r="N47" s="147" t="s">
        <v>33</v>
      </c>
      <c r="O47" s="148" t="s">
        <v>574</v>
      </c>
      <c r="P47" s="148" t="s">
        <v>575</v>
      </c>
      <c r="Q47" s="147"/>
      <c r="R47" s="147"/>
      <c r="S47" s="147"/>
      <c r="T47" s="147"/>
      <c r="U47" s="147"/>
      <c r="V47" s="155" t="s">
        <v>576</v>
      </c>
      <c r="W47" s="147"/>
      <c r="X47" s="148" t="s">
        <v>577</v>
      </c>
      <c r="Y47" s="161"/>
      <c r="Z47" s="148"/>
      <c r="AA47" s="148" t="s">
        <v>578</v>
      </c>
      <c r="AB47" s="157">
        <v>45890</v>
      </c>
      <c r="AC47" s="147"/>
      <c r="AD47" s="147"/>
      <c r="AE47" s="147"/>
      <c r="AF47" s="147"/>
      <c r="AG47" s="150"/>
      <c r="AH47" s="147"/>
      <c r="AI47" s="147"/>
      <c r="AJ47" s="147"/>
      <c r="AK47" s="147"/>
      <c r="AL47" s="147"/>
      <c r="AM47" s="147"/>
      <c r="AN47" s="152" t="str" cm="1">
        <f t="array" ref="AN47">IFERROR(
  LOOKUP(
    2,
    1/((AB47:AM47&lt;&gt;"")*(ISNUMBER(AB47:AM47)+ISNONTEXT(AB47:AM47)&gt;0)),
    {10,20,30,40,45,50,60,70,75,80,90,100}
  ) &amp; "%",
  "0%"
)</f>
        <v>10%</v>
      </c>
      <c r="AO47" s="147"/>
      <c r="AP47" s="147"/>
      <c r="AQ47" s="147"/>
      <c r="AR47" s="155"/>
      <c r="AS47" s="155"/>
      <c r="AT47" s="155"/>
      <c r="AU47" s="155"/>
      <c r="AV47" s="155"/>
      <c r="AW47" s="155"/>
      <c r="AX47" s="155"/>
      <c r="AY47" s="233"/>
      <c r="AZ47" s="147"/>
      <c r="BA47" s="147"/>
    </row>
    <row r="48" spans="1:53" ht="24.75" customHeight="1">
      <c r="A48" s="145"/>
      <c r="B48" s="147" t="s">
        <v>2</v>
      </c>
      <c r="C48" s="147"/>
      <c r="D48" s="147"/>
      <c r="E48" s="147" t="s">
        <v>26</v>
      </c>
      <c r="F48" s="148" t="s">
        <v>579</v>
      </c>
      <c r="G48" s="148" t="s">
        <v>580</v>
      </c>
      <c r="H48" s="147" t="s">
        <v>20</v>
      </c>
      <c r="I48" s="147"/>
      <c r="J48" s="147" t="s">
        <v>563</v>
      </c>
      <c r="K48" s="155" t="s">
        <v>37</v>
      </c>
      <c r="L48" s="147" t="s">
        <v>563</v>
      </c>
      <c r="M48" s="155" t="s">
        <v>581</v>
      </c>
      <c r="N48" s="147" t="s">
        <v>33</v>
      </c>
      <c r="O48" s="148"/>
      <c r="P48" s="148"/>
      <c r="Q48" s="147"/>
      <c r="R48" s="147"/>
      <c r="S48" s="147"/>
      <c r="T48" s="147"/>
      <c r="U48" s="147"/>
      <c r="V48" s="155" t="s">
        <v>582</v>
      </c>
      <c r="W48" s="147"/>
      <c r="X48" s="148" t="s">
        <v>583</v>
      </c>
      <c r="Y48" s="148"/>
      <c r="Z48" s="148"/>
      <c r="AA48" s="148"/>
      <c r="AB48" s="157">
        <v>45890</v>
      </c>
      <c r="AC48" s="147"/>
      <c r="AD48" s="147"/>
      <c r="AE48" s="147"/>
      <c r="AF48" s="147"/>
      <c r="AG48" s="150"/>
      <c r="AH48" s="147"/>
      <c r="AI48" s="147"/>
      <c r="AJ48" s="147"/>
      <c r="AK48" s="147"/>
      <c r="AL48" s="147"/>
      <c r="AM48" s="147"/>
      <c r="AN48" s="152" t="str" cm="1">
        <f t="array" ref="AN48">IFERROR(
  LOOKUP(
    2,
    1/((AB48:AM48&lt;&gt;"")*(ISNUMBER(AB48:AM48)+ISNONTEXT(AB48:AM48)&gt;0)),
    {10,20,30,40,45,50,60,70,75,80,90,100}
  ) &amp; "%",
  "0%"
)</f>
        <v>10%</v>
      </c>
      <c r="AO48" s="147"/>
      <c r="AP48" s="147"/>
      <c r="AQ48" s="147"/>
      <c r="AR48" s="155"/>
      <c r="AS48" s="155"/>
      <c r="AT48" s="155"/>
      <c r="AU48" s="155"/>
      <c r="AV48" s="155"/>
      <c r="AW48" s="155"/>
      <c r="AX48" s="155"/>
      <c r="AY48" s="233"/>
      <c r="AZ48" s="147"/>
      <c r="BA48" s="147"/>
    </row>
    <row r="49" spans="1:53" ht="24.75" customHeight="1">
      <c r="A49" s="145"/>
      <c r="B49" s="147" t="s">
        <v>3</v>
      </c>
      <c r="C49" s="147" t="s">
        <v>13</v>
      </c>
      <c r="D49" s="147"/>
      <c r="E49" s="147" t="s">
        <v>26</v>
      </c>
      <c r="F49" s="161" t="s">
        <v>584</v>
      </c>
      <c r="G49" s="148" t="s">
        <v>585</v>
      </c>
      <c r="H49" s="147" t="s">
        <v>20</v>
      </c>
      <c r="I49" s="147"/>
      <c r="J49" s="147" t="s">
        <v>499</v>
      </c>
      <c r="K49" s="155" t="s">
        <v>37</v>
      </c>
      <c r="L49" s="147" t="s">
        <v>499</v>
      </c>
      <c r="M49" s="155" t="s">
        <v>500</v>
      </c>
      <c r="N49" s="147" t="s">
        <v>33</v>
      </c>
      <c r="O49" s="148" t="s">
        <v>586</v>
      </c>
      <c r="P49" s="148" t="s">
        <v>587</v>
      </c>
      <c r="Q49" s="147"/>
      <c r="R49" s="147"/>
      <c r="S49" s="147"/>
      <c r="T49" s="147"/>
      <c r="U49" s="147"/>
      <c r="V49" s="155" t="s">
        <v>588</v>
      </c>
      <c r="W49" s="167"/>
      <c r="X49" s="168" t="s">
        <v>589</v>
      </c>
      <c r="Y49" s="168"/>
      <c r="Z49" s="168"/>
      <c r="AA49" s="159" t="s">
        <v>590</v>
      </c>
      <c r="AB49" s="169">
        <v>45877</v>
      </c>
      <c r="AC49" s="169">
        <v>45912</v>
      </c>
      <c r="AD49" s="169"/>
      <c r="AE49" s="169"/>
      <c r="AF49" s="169"/>
      <c r="AG49" s="169"/>
      <c r="AH49" s="169"/>
      <c r="AI49" s="169"/>
      <c r="AJ49" s="169"/>
      <c r="AK49" s="147"/>
      <c r="AL49" s="147"/>
      <c r="AM49" s="147"/>
      <c r="AN49" s="152" t="str" cm="1">
        <f t="array" ref="AN49">IFERROR(
  LOOKUP(
    2,
    1/((AB49:AM49&lt;&gt;"")*(ISNUMBER(AB49:AM49)+ISNONTEXT(AB49:AM49)&gt;0)),
    {10,20,30,40,45,50,60,70,75,80,90,100}
  ) &amp; "%",
  "0%"
)</f>
        <v>20%</v>
      </c>
      <c r="AO49" s="153"/>
      <c r="AP49" s="153"/>
      <c r="AQ49" s="153"/>
      <c r="AR49" s="147"/>
      <c r="AS49" s="147"/>
      <c r="AT49" s="147"/>
      <c r="AU49" s="147"/>
      <c r="AV49" s="147"/>
      <c r="AW49" s="147"/>
      <c r="AX49" s="147"/>
      <c r="AY49" s="233"/>
      <c r="AZ49" s="147"/>
      <c r="BA49" s="147"/>
    </row>
    <row r="50" spans="1:53" ht="24.75" customHeight="1">
      <c r="A50" s="145"/>
      <c r="B50" s="147" t="s">
        <v>3</v>
      </c>
      <c r="C50" s="147" t="s">
        <v>13</v>
      </c>
      <c r="D50" s="147"/>
      <c r="E50" s="147" t="s">
        <v>26</v>
      </c>
      <c r="F50" s="161" t="s">
        <v>591</v>
      </c>
      <c r="G50" s="148" t="s">
        <v>592</v>
      </c>
      <c r="H50" s="147" t="s">
        <v>20</v>
      </c>
      <c r="I50" s="147"/>
      <c r="J50" s="147" t="s">
        <v>499</v>
      </c>
      <c r="K50" s="155" t="s">
        <v>37</v>
      </c>
      <c r="L50" s="147" t="s">
        <v>499</v>
      </c>
      <c r="M50" s="155" t="s">
        <v>500</v>
      </c>
      <c r="N50" s="147" t="s">
        <v>33</v>
      </c>
      <c r="O50" s="148" t="s">
        <v>593</v>
      </c>
      <c r="P50" s="148" t="s">
        <v>594</v>
      </c>
      <c r="Q50" s="147"/>
      <c r="R50" s="147"/>
      <c r="S50" s="147"/>
      <c r="T50" s="147"/>
      <c r="U50" s="147"/>
      <c r="V50" s="171" t="s">
        <v>595</v>
      </c>
      <c r="W50" s="167"/>
      <c r="X50" s="168" t="s">
        <v>596</v>
      </c>
      <c r="Y50" s="168"/>
      <c r="Z50" s="168"/>
      <c r="AA50" s="159" t="s">
        <v>597</v>
      </c>
      <c r="AB50" s="157">
        <v>45875</v>
      </c>
      <c r="AC50" s="153"/>
      <c r="AD50" s="153"/>
      <c r="AE50" s="153"/>
      <c r="AF50" s="153"/>
      <c r="AG50" s="169"/>
      <c r="AH50" s="153"/>
      <c r="AI50" s="153"/>
      <c r="AJ50" s="153"/>
      <c r="AK50" s="147"/>
      <c r="AL50" s="147"/>
      <c r="AM50" s="147"/>
      <c r="AN50" s="152" t="str" cm="1">
        <f t="array" ref="AN50">IFERROR(
  LOOKUP(
    2,
    1/((AB50:AM50&lt;&gt;"")*(ISNUMBER(AB50:AM50)+ISNONTEXT(AB50:AM50)&gt;0)),
    {10,20,30,40,45,50,60,70,75,80,90,100}
  ) &amp; "%",
  "0%"
)</f>
        <v>10%</v>
      </c>
      <c r="AO50" s="153"/>
      <c r="AP50" s="153"/>
      <c r="AQ50" s="153"/>
      <c r="AR50" s="155"/>
      <c r="AS50" s="155"/>
      <c r="AT50" s="155"/>
      <c r="AU50" s="155"/>
      <c r="AV50" s="155"/>
      <c r="AW50" s="155"/>
      <c r="AX50" s="155"/>
      <c r="AY50" s="233"/>
      <c r="AZ50" s="147"/>
      <c r="BA50" s="147"/>
    </row>
    <row r="51" spans="1:53" ht="24.75" customHeight="1">
      <c r="A51" s="145"/>
      <c r="B51" s="147" t="s">
        <v>3</v>
      </c>
      <c r="C51" s="147" t="s">
        <v>14</v>
      </c>
      <c r="D51" s="147"/>
      <c r="E51" s="147" t="s">
        <v>26</v>
      </c>
      <c r="F51" s="161" t="s">
        <v>598</v>
      </c>
      <c r="G51" s="148" t="s">
        <v>599</v>
      </c>
      <c r="H51" s="147" t="s">
        <v>20</v>
      </c>
      <c r="I51" s="147"/>
      <c r="J51" s="147" t="s">
        <v>499</v>
      </c>
      <c r="K51" s="155" t="s">
        <v>37</v>
      </c>
      <c r="L51" s="147" t="s">
        <v>499</v>
      </c>
      <c r="M51" s="155" t="s">
        <v>500</v>
      </c>
      <c r="N51" s="147" t="s">
        <v>33</v>
      </c>
      <c r="O51" s="148" t="s">
        <v>600</v>
      </c>
      <c r="P51" s="148" t="s">
        <v>601</v>
      </c>
      <c r="Q51" s="147"/>
      <c r="R51" s="147"/>
      <c r="S51" s="147"/>
      <c r="T51" s="147"/>
      <c r="U51" s="147"/>
      <c r="V51" s="171" t="s">
        <v>602</v>
      </c>
      <c r="W51" s="167"/>
      <c r="X51" s="168" t="s">
        <v>603</v>
      </c>
      <c r="Y51" s="168"/>
      <c r="Z51" s="168"/>
      <c r="AA51" s="159" t="s">
        <v>604</v>
      </c>
      <c r="AB51" s="157">
        <v>45863</v>
      </c>
      <c r="AC51" s="153"/>
      <c r="AD51" s="153"/>
      <c r="AE51" s="153"/>
      <c r="AF51" s="153"/>
      <c r="AG51" s="169"/>
      <c r="AH51" s="153"/>
      <c r="AI51" s="153"/>
      <c r="AJ51" s="153"/>
      <c r="AK51" s="147"/>
      <c r="AL51" s="147"/>
      <c r="AM51" s="147"/>
      <c r="AN51" s="152" t="str" cm="1">
        <f t="array" ref="AN51">IFERROR(
  LOOKUP(
    2,
    1/((AB51:AM51&lt;&gt;"")*(ISNUMBER(AB51:AM51)+ISNONTEXT(AB51:AM51)&gt;0)),
    {10,20,30,40,45,50,60,70,75,80,90,100}
  ) &amp; "%",
  "0%"
)</f>
        <v>10%</v>
      </c>
      <c r="AO51" s="153"/>
      <c r="AP51" s="153"/>
      <c r="AQ51" s="153"/>
      <c r="AR51" s="147"/>
      <c r="AS51" s="147"/>
      <c r="AT51" s="147"/>
      <c r="AU51" s="147"/>
      <c r="AV51" s="147"/>
      <c r="AW51" s="147"/>
      <c r="AX51" s="147"/>
      <c r="AY51" s="233"/>
      <c r="AZ51" s="147"/>
      <c r="BA51" s="147"/>
    </row>
    <row r="52" spans="1:53" ht="24.75" customHeight="1">
      <c r="A52" s="145"/>
      <c r="B52" s="147" t="s">
        <v>2</v>
      </c>
      <c r="C52" s="147"/>
      <c r="D52" s="147"/>
      <c r="E52" s="147"/>
      <c r="F52" s="161" t="s">
        <v>605</v>
      </c>
      <c r="G52" s="201" t="s">
        <v>606</v>
      </c>
      <c r="H52" s="147" t="s">
        <v>20</v>
      </c>
      <c r="I52" s="147"/>
      <c r="J52" s="147" t="s">
        <v>499</v>
      </c>
      <c r="K52" s="155" t="s">
        <v>37</v>
      </c>
      <c r="L52" s="147" t="s">
        <v>499</v>
      </c>
      <c r="M52" s="155" t="s">
        <v>500</v>
      </c>
      <c r="N52" s="147" t="s">
        <v>33</v>
      </c>
      <c r="O52" s="148" t="s">
        <v>607</v>
      </c>
      <c r="P52" s="148" t="s">
        <v>608</v>
      </c>
      <c r="Q52" s="147"/>
      <c r="R52" s="147"/>
      <c r="S52" s="147"/>
      <c r="T52" s="147"/>
      <c r="U52" s="147"/>
      <c r="V52" s="155"/>
      <c r="W52" s="147"/>
      <c r="X52" s="168" t="s">
        <v>609</v>
      </c>
      <c r="Y52" s="168"/>
      <c r="Z52" s="168"/>
      <c r="AA52" s="168"/>
      <c r="AB52" s="157">
        <v>45866</v>
      </c>
      <c r="AC52" s="153"/>
      <c r="AD52" s="153"/>
      <c r="AE52" s="153"/>
      <c r="AF52" s="153"/>
      <c r="AG52" s="169"/>
      <c r="AH52" s="153"/>
      <c r="AI52" s="153"/>
      <c r="AJ52" s="153"/>
      <c r="AK52" s="147"/>
      <c r="AL52" s="147"/>
      <c r="AM52" s="147"/>
      <c r="AN52" s="152" t="str" cm="1">
        <f t="array" ref="AN52">IFERROR(
  LOOKUP(
    2,
    1/((AB52:AM52&lt;&gt;"")*(ISNUMBER(AB52:AM52)+ISNONTEXT(AB52:AM52)&gt;0)),
    {10,20,30,40,45,50,60,70,75,80,90,100}
  ) &amp; "%",
  "0%"
)</f>
        <v>10%</v>
      </c>
      <c r="AO52" s="153"/>
      <c r="AP52" s="153"/>
      <c r="AQ52" s="153"/>
      <c r="AR52" s="147"/>
      <c r="AS52" s="147"/>
      <c r="AT52" s="147"/>
      <c r="AU52" s="147"/>
      <c r="AV52" s="147"/>
      <c r="AW52" s="147"/>
      <c r="AX52" s="147"/>
      <c r="AY52" s="233"/>
      <c r="AZ52" s="147"/>
      <c r="BA52" s="147"/>
    </row>
    <row r="53" spans="1:53" ht="24.75" customHeight="1">
      <c r="A53" s="145"/>
      <c r="B53" s="147" t="s">
        <v>2</v>
      </c>
      <c r="C53" s="147"/>
      <c r="D53" s="147"/>
      <c r="E53" s="147"/>
      <c r="F53" s="148" t="s">
        <v>610</v>
      </c>
      <c r="G53" s="148" t="s">
        <v>611</v>
      </c>
      <c r="H53" s="147" t="s">
        <v>20</v>
      </c>
      <c r="I53" s="147"/>
      <c r="J53" s="147" t="s">
        <v>499</v>
      </c>
      <c r="K53" s="155" t="s">
        <v>37</v>
      </c>
      <c r="L53" s="147" t="s">
        <v>499</v>
      </c>
      <c r="M53" s="155" t="s">
        <v>500</v>
      </c>
      <c r="N53" s="147" t="s">
        <v>33</v>
      </c>
      <c r="O53" s="148"/>
      <c r="P53" s="148"/>
      <c r="Q53" s="147"/>
      <c r="R53" s="147"/>
      <c r="S53" s="147"/>
      <c r="T53" s="147"/>
      <c r="U53" s="147"/>
      <c r="V53" s="155"/>
      <c r="W53" s="147"/>
      <c r="X53" s="168" t="s">
        <v>612</v>
      </c>
      <c r="Y53" s="168"/>
      <c r="Z53" s="168"/>
      <c r="AA53" s="168"/>
      <c r="AB53" s="157">
        <v>45866</v>
      </c>
      <c r="AC53" s="153"/>
      <c r="AD53" s="153"/>
      <c r="AE53" s="153"/>
      <c r="AF53" s="153"/>
      <c r="AG53" s="169"/>
      <c r="AH53" s="153"/>
      <c r="AI53" s="153"/>
      <c r="AJ53" s="153"/>
      <c r="AK53" s="147"/>
      <c r="AL53" s="147"/>
      <c r="AM53" s="147"/>
      <c r="AN53" s="152" t="str" cm="1">
        <f t="array" ref="AN53">IFERROR(
  LOOKUP(
    2,
    1/((AB53:AM53&lt;&gt;"")*(ISNUMBER(AB53:AM53)+ISNONTEXT(AB53:AM53)&gt;0)),
    {10,20,30,40,45,50,60,70,75,80,90,100}
  ) &amp; "%",
  "0%"
)</f>
        <v>10%</v>
      </c>
      <c r="AO53" s="153"/>
      <c r="AP53" s="153"/>
      <c r="AQ53" s="153"/>
      <c r="AR53" s="147"/>
      <c r="AS53" s="147"/>
      <c r="AT53" s="147"/>
      <c r="AU53" s="147"/>
      <c r="AV53" s="147"/>
      <c r="AW53" s="147"/>
      <c r="AX53" s="147"/>
      <c r="AY53" s="233"/>
      <c r="AZ53" s="147"/>
      <c r="BA53" s="147"/>
    </row>
    <row r="54" spans="1:53" ht="24.75" customHeight="1">
      <c r="A54" s="145"/>
      <c r="B54" s="147" t="s">
        <v>2</v>
      </c>
      <c r="C54" s="147"/>
      <c r="D54" s="147"/>
      <c r="E54" s="147"/>
      <c r="F54" s="148" t="s">
        <v>613</v>
      </c>
      <c r="G54" s="148" t="s">
        <v>614</v>
      </c>
      <c r="H54" s="147" t="s">
        <v>20</v>
      </c>
      <c r="I54" s="147"/>
      <c r="J54" s="147" t="s">
        <v>499</v>
      </c>
      <c r="K54" s="155" t="s">
        <v>37</v>
      </c>
      <c r="L54" s="147" t="s">
        <v>499</v>
      </c>
      <c r="M54" s="155" t="s">
        <v>500</v>
      </c>
      <c r="N54" s="147" t="s">
        <v>33</v>
      </c>
      <c r="O54" s="148"/>
      <c r="P54" s="148"/>
      <c r="Q54" s="147"/>
      <c r="R54" s="147"/>
      <c r="S54" s="147"/>
      <c r="T54" s="147"/>
      <c r="U54" s="147"/>
      <c r="V54" s="155"/>
      <c r="W54" s="147"/>
      <c r="X54" s="168" t="s">
        <v>615</v>
      </c>
      <c r="Y54" s="168"/>
      <c r="Z54" s="168"/>
      <c r="AA54" s="168"/>
      <c r="AB54" s="157">
        <v>45873</v>
      </c>
      <c r="AC54" s="153"/>
      <c r="AD54" s="153"/>
      <c r="AE54" s="153"/>
      <c r="AF54" s="153"/>
      <c r="AG54" s="169"/>
      <c r="AH54" s="153"/>
      <c r="AI54" s="153"/>
      <c r="AJ54" s="153"/>
      <c r="AK54" s="147"/>
      <c r="AL54" s="147"/>
      <c r="AM54" s="147"/>
      <c r="AN54" s="152" t="str" cm="1">
        <f t="array" ref="AN54">IFERROR(
  LOOKUP(
    2,
    1/((AB54:AM54&lt;&gt;"")*(ISNUMBER(AB54:AM54)+ISNONTEXT(AB54:AM54)&gt;0)),
    {10,20,30,40,45,50,60,70,75,80,90,100}
  ) &amp; "%",
  "0%"
)</f>
        <v>10%</v>
      </c>
      <c r="AO54" s="153"/>
      <c r="AP54" s="153"/>
      <c r="AQ54" s="153"/>
      <c r="AR54" s="147"/>
      <c r="AS54" s="147"/>
      <c r="AT54" s="147"/>
      <c r="AU54" s="147"/>
      <c r="AV54" s="147"/>
      <c r="AW54" s="147"/>
      <c r="AX54" s="147"/>
      <c r="AY54" s="233"/>
      <c r="AZ54" s="147"/>
      <c r="BA54" s="147"/>
    </row>
    <row r="55" spans="1:53" ht="24.75" customHeight="1">
      <c r="A55" s="145"/>
      <c r="B55" s="147" t="s">
        <v>2</v>
      </c>
      <c r="C55" s="147"/>
      <c r="D55" s="147"/>
      <c r="E55" s="147"/>
      <c r="F55" s="148" t="s">
        <v>616</v>
      </c>
      <c r="G55" s="202" t="s">
        <v>617</v>
      </c>
      <c r="H55" s="147" t="s">
        <v>20</v>
      </c>
      <c r="I55" s="147"/>
      <c r="J55" s="147" t="s">
        <v>499</v>
      </c>
      <c r="K55" s="155" t="s">
        <v>37</v>
      </c>
      <c r="L55" s="147" t="s">
        <v>499</v>
      </c>
      <c r="M55" s="155" t="s">
        <v>500</v>
      </c>
      <c r="N55" s="147" t="s">
        <v>33</v>
      </c>
      <c r="O55" s="148"/>
      <c r="P55" s="148"/>
      <c r="Q55" s="147"/>
      <c r="R55" s="147"/>
      <c r="S55" s="147"/>
      <c r="T55" s="147"/>
      <c r="U55" s="147"/>
      <c r="V55" s="155"/>
      <c r="W55" s="147"/>
      <c r="X55" s="148"/>
      <c r="Y55" s="148"/>
      <c r="Z55" s="148"/>
      <c r="AA55" s="148"/>
      <c r="AB55" s="157">
        <v>45873</v>
      </c>
      <c r="AC55" s="147"/>
      <c r="AD55" s="147"/>
      <c r="AE55" s="147"/>
      <c r="AF55" s="147"/>
      <c r="AG55" s="150"/>
      <c r="AH55" s="147"/>
      <c r="AI55" s="147"/>
      <c r="AJ55" s="147"/>
      <c r="AK55" s="147"/>
      <c r="AL55" s="147"/>
      <c r="AM55" s="147"/>
      <c r="AN55" s="152" t="str" cm="1">
        <f t="array" ref="AN55">IFERROR(
  LOOKUP(
    2,
    1/((AB55:AM55&lt;&gt;"")*(ISNUMBER(AB55:AM55)+ISNONTEXT(AB55:AM55)&gt;0)),
    {10,20,30,40,45,50,60,70,75,80,90,100}
  ) &amp; "%",
  "0%"
)</f>
        <v>10%</v>
      </c>
      <c r="AO55" s="147"/>
      <c r="AP55" s="147"/>
      <c r="AQ55" s="147"/>
      <c r="AR55" s="147"/>
      <c r="AS55" s="147"/>
      <c r="AT55" s="147"/>
      <c r="AU55" s="147"/>
      <c r="AV55" s="147"/>
      <c r="AW55" s="147"/>
      <c r="AX55" s="147"/>
      <c r="AY55" s="233"/>
      <c r="AZ55" s="147"/>
      <c r="BA55" s="147"/>
    </row>
    <row r="56" spans="1:53" ht="24.75" customHeight="1">
      <c r="A56" s="145"/>
      <c r="B56" s="147" t="s">
        <v>2</v>
      </c>
      <c r="C56" s="147"/>
      <c r="D56" s="147"/>
      <c r="E56" s="147"/>
      <c r="F56" s="161" t="s">
        <v>618</v>
      </c>
      <c r="G56" s="148" t="s">
        <v>619</v>
      </c>
      <c r="H56" s="147" t="s">
        <v>20</v>
      </c>
      <c r="I56" s="147"/>
      <c r="J56" s="147" t="s">
        <v>499</v>
      </c>
      <c r="K56" s="155" t="s">
        <v>37</v>
      </c>
      <c r="L56" s="147" t="s">
        <v>499</v>
      </c>
      <c r="M56" s="155" t="s">
        <v>500</v>
      </c>
      <c r="N56" s="147" t="s">
        <v>33</v>
      </c>
      <c r="O56" s="148" t="s">
        <v>620</v>
      </c>
      <c r="P56" s="148" t="s">
        <v>621</v>
      </c>
      <c r="Q56" s="147"/>
      <c r="R56" s="147"/>
      <c r="S56" s="147"/>
      <c r="T56" s="147"/>
      <c r="U56" s="147"/>
      <c r="V56" s="155"/>
      <c r="W56" s="147"/>
      <c r="X56" s="168" t="s">
        <v>622</v>
      </c>
      <c r="Y56" s="168"/>
      <c r="Z56" s="168"/>
      <c r="AA56" s="168" t="s">
        <v>623</v>
      </c>
      <c r="AB56" s="157">
        <v>45860</v>
      </c>
      <c r="AC56" s="153"/>
      <c r="AD56" s="153"/>
      <c r="AE56" s="153"/>
      <c r="AF56" s="153"/>
      <c r="AG56" s="169"/>
      <c r="AH56" s="153"/>
      <c r="AI56" s="153"/>
      <c r="AJ56" s="153"/>
      <c r="AK56" s="147"/>
      <c r="AL56" s="147"/>
      <c r="AM56" s="147"/>
      <c r="AN56" s="152" t="str" cm="1">
        <f t="array" ref="AN56">IFERROR(
  LOOKUP(
    2,
    1/((AB56:AM56&lt;&gt;"")*(ISNUMBER(AB56:AM56)+ISNONTEXT(AB56:AM56)&gt;0)),
    {10,20,30,40,45,50,60,70,75,80,90,100}
  ) &amp; "%",
  "0%"
)</f>
        <v>10%</v>
      </c>
      <c r="AO56" s="153"/>
      <c r="AP56" s="153"/>
      <c r="AQ56" s="153"/>
      <c r="AR56" s="155"/>
      <c r="AS56" s="155"/>
      <c r="AT56" s="155"/>
      <c r="AU56" s="155"/>
      <c r="AV56" s="155"/>
      <c r="AW56" s="155"/>
      <c r="AX56" s="155"/>
      <c r="AY56" s="233"/>
      <c r="AZ56" s="147"/>
      <c r="BA56" s="147"/>
    </row>
    <row r="57" spans="1:53" ht="24.75" customHeight="1">
      <c r="A57" s="170"/>
      <c r="B57" s="147" t="s">
        <v>3</v>
      </c>
      <c r="C57" s="147"/>
      <c r="D57" s="147"/>
      <c r="E57" s="147" t="s">
        <v>26</v>
      </c>
      <c r="F57" s="161" t="s">
        <v>624</v>
      </c>
      <c r="G57" s="148" t="s">
        <v>625</v>
      </c>
      <c r="H57" s="147" t="s">
        <v>20</v>
      </c>
      <c r="I57" s="147"/>
      <c r="J57" s="147" t="s">
        <v>499</v>
      </c>
      <c r="K57" s="155" t="s">
        <v>37</v>
      </c>
      <c r="L57" s="147" t="s">
        <v>499</v>
      </c>
      <c r="M57" s="155" t="s">
        <v>500</v>
      </c>
      <c r="N57" s="147" t="s">
        <v>33</v>
      </c>
      <c r="O57" s="148" t="s">
        <v>626</v>
      </c>
      <c r="P57" s="148" t="s">
        <v>627</v>
      </c>
      <c r="Q57" s="147"/>
      <c r="R57" s="147"/>
      <c r="S57" s="147"/>
      <c r="T57" s="147"/>
      <c r="U57" s="147"/>
      <c r="V57" s="171" t="s">
        <v>628</v>
      </c>
      <c r="W57" s="171"/>
      <c r="X57" s="168" t="s">
        <v>629</v>
      </c>
      <c r="Y57" s="168"/>
      <c r="Z57" s="168"/>
      <c r="AA57" s="159" t="s">
        <v>630</v>
      </c>
      <c r="AB57" s="157">
        <v>45874</v>
      </c>
      <c r="AC57" s="153"/>
      <c r="AD57" s="157">
        <v>45946</v>
      </c>
      <c r="AE57" s="153"/>
      <c r="AF57" s="169">
        <v>45992</v>
      </c>
      <c r="AG57" s="169"/>
      <c r="AH57" s="153"/>
      <c r="AI57" s="153"/>
      <c r="AJ57" s="153"/>
      <c r="AK57" s="147"/>
      <c r="AL57" s="147"/>
      <c r="AM57" s="147"/>
      <c r="AN57" s="152" t="str" cm="1">
        <f t="array" ref="AN57">IFERROR(
  LOOKUP(
    2,
    1/((AB57:AM57&lt;&gt;"")*(ISNUMBER(AB57:AM57)+ISNONTEXT(AB57:AM57)&gt;0)),
    {10,20,30,40,45,50,60,70,75,80,90,100}
  ) &amp; "%",
  "0%"
)</f>
        <v>45%</v>
      </c>
      <c r="AO57" s="153"/>
      <c r="AP57" s="153"/>
      <c r="AQ57" s="153"/>
      <c r="AR57" s="155"/>
      <c r="AS57" s="155"/>
      <c r="AT57" s="155"/>
      <c r="AU57" s="155"/>
      <c r="AV57" s="155"/>
      <c r="AW57" s="155">
        <v>0</v>
      </c>
      <c r="AX57" s="155"/>
      <c r="AY57" s="233"/>
      <c r="AZ57" s="147"/>
      <c r="BA57" s="147"/>
    </row>
    <row r="58" spans="1:53" ht="24.75" customHeight="1">
      <c r="A58" s="170"/>
      <c r="B58" s="147" t="s">
        <v>2</v>
      </c>
      <c r="C58" s="147"/>
      <c r="D58" s="147"/>
      <c r="E58" s="147"/>
      <c r="F58" s="148" t="s">
        <v>631</v>
      </c>
      <c r="G58" s="148" t="s">
        <v>632</v>
      </c>
      <c r="H58" s="147" t="s">
        <v>20</v>
      </c>
      <c r="I58" s="147"/>
      <c r="J58" s="147" t="s">
        <v>324</v>
      </c>
      <c r="K58" s="155" t="s">
        <v>37</v>
      </c>
      <c r="L58" s="147" t="s">
        <v>324</v>
      </c>
      <c r="M58" s="155" t="s">
        <v>633</v>
      </c>
      <c r="N58" s="147" t="s">
        <v>33</v>
      </c>
      <c r="O58" s="148" t="s">
        <v>634</v>
      </c>
      <c r="P58" s="148" t="s">
        <v>635</v>
      </c>
      <c r="Q58" s="147"/>
      <c r="R58" s="147"/>
      <c r="S58" s="147"/>
      <c r="T58" s="147"/>
      <c r="U58" s="147"/>
      <c r="V58" s="206" t="s">
        <v>636</v>
      </c>
      <c r="W58" s="147"/>
      <c r="X58" s="161" t="s">
        <v>637</v>
      </c>
      <c r="Y58" s="148"/>
      <c r="Z58" s="148" t="s">
        <v>638</v>
      </c>
      <c r="AA58" s="182" t="s">
        <v>639</v>
      </c>
      <c r="AB58" s="147"/>
      <c r="AC58" s="147"/>
      <c r="AD58" s="147"/>
      <c r="AE58" s="147"/>
      <c r="AF58" s="147"/>
      <c r="AG58" s="150"/>
      <c r="AH58" s="147"/>
      <c r="AI58" s="147"/>
      <c r="AJ58" s="147"/>
      <c r="AK58" s="147"/>
      <c r="AL58" s="147"/>
      <c r="AM58" s="147"/>
      <c r="AN58" s="152" t="str" cm="1">
        <f t="array" ref="AN58">IFERROR(
  LOOKUP(
    2,
    1/((AB58:AM58&lt;&gt;"")*(ISNUMBER(AB58:AM58)+ISNONTEXT(AB58:AM58)&gt;0)),
    {10,20,30,40,45,50,60,70,75,80,90,100}
  ) &amp; "%",
  "0%"
)</f>
        <v>0%</v>
      </c>
      <c r="AO58" s="147"/>
      <c r="AP58" s="147"/>
      <c r="AQ58" s="147"/>
      <c r="AR58" s="147"/>
      <c r="AS58" s="147"/>
      <c r="AT58" s="147"/>
      <c r="AU58" s="147"/>
      <c r="AV58" s="147"/>
      <c r="AW58" s="147"/>
      <c r="AX58" s="147"/>
      <c r="AY58" s="233"/>
      <c r="AZ58" s="147"/>
      <c r="BA58" s="147"/>
    </row>
    <row r="59" spans="1:53" s="24" customFormat="1" ht="24.75" customHeight="1">
      <c r="A59" s="172"/>
      <c r="B59" s="164" t="s">
        <v>2</v>
      </c>
      <c r="C59" s="164" t="s">
        <v>13</v>
      </c>
      <c r="D59" s="164"/>
      <c r="E59" s="164" t="s">
        <v>26</v>
      </c>
      <c r="F59" s="195" t="s">
        <v>640</v>
      </c>
      <c r="G59" s="195" t="s">
        <v>641</v>
      </c>
      <c r="H59" s="147" t="s">
        <v>23</v>
      </c>
      <c r="I59" s="164"/>
      <c r="J59" s="164" t="s">
        <v>39</v>
      </c>
      <c r="K59" s="203" t="s">
        <v>37</v>
      </c>
      <c r="L59" s="164" t="s">
        <v>39</v>
      </c>
      <c r="M59" s="203" t="s">
        <v>39</v>
      </c>
      <c r="N59" s="164" t="s">
        <v>642</v>
      </c>
      <c r="O59" s="195"/>
      <c r="P59" s="195"/>
      <c r="Q59" s="164"/>
      <c r="R59" s="164"/>
      <c r="S59" s="164" t="s">
        <v>643</v>
      </c>
      <c r="T59" s="164"/>
      <c r="U59" s="164"/>
      <c r="V59" s="203"/>
      <c r="W59" s="164"/>
      <c r="X59" s="195"/>
      <c r="Y59" s="195"/>
      <c r="Z59" s="195"/>
      <c r="AA59" s="195"/>
      <c r="AB59" s="164"/>
      <c r="AC59" s="164"/>
      <c r="AD59" s="164"/>
      <c r="AE59" s="164"/>
      <c r="AF59" s="164"/>
      <c r="AG59" s="165"/>
      <c r="AH59" s="164"/>
      <c r="AI59" s="164"/>
      <c r="AJ59" s="164"/>
      <c r="AK59" s="164"/>
      <c r="AL59" s="164"/>
      <c r="AM59" s="164"/>
      <c r="AN59" s="166" t="str" cm="1">
        <f t="array" ref="AN59">IFERROR(
  LOOKUP(
    2,
    1/((AB59:AM59&lt;&gt;"")*(ISNUMBER(AB59:AM59)+ISNONTEXT(AB59:AM59)&gt;0)),
    {10,20,30,40,45,50,60,70,75,80,90,100}
  ) &amp; "%",
  "0%"
)</f>
        <v>0%</v>
      </c>
      <c r="AO59" s="164"/>
      <c r="AP59" s="164"/>
      <c r="AQ59" s="164"/>
      <c r="AR59" s="164"/>
      <c r="AS59" s="164"/>
      <c r="AT59" s="164"/>
      <c r="AU59" s="164"/>
      <c r="AV59" s="164"/>
      <c r="AW59" s="164"/>
      <c r="AX59" s="164"/>
      <c r="AY59" s="234"/>
      <c r="AZ59" s="164"/>
      <c r="BA59" s="164"/>
    </row>
    <row r="60" spans="1:53" ht="24.75" customHeight="1">
      <c r="A60" s="170"/>
      <c r="B60" s="147" t="s">
        <v>644</v>
      </c>
      <c r="C60" s="147"/>
      <c r="D60" s="147"/>
      <c r="E60" s="147"/>
      <c r="F60" s="148" t="s">
        <v>645</v>
      </c>
      <c r="G60" s="148"/>
      <c r="H60" s="147" t="s">
        <v>20</v>
      </c>
      <c r="I60" s="147"/>
      <c r="J60" s="147" t="s">
        <v>499</v>
      </c>
      <c r="K60" s="155" t="s">
        <v>37</v>
      </c>
      <c r="L60" s="147" t="s">
        <v>499</v>
      </c>
      <c r="M60" s="155" t="s">
        <v>500</v>
      </c>
      <c r="N60" s="147" t="s">
        <v>646</v>
      </c>
      <c r="O60" s="148" t="s">
        <v>647</v>
      </c>
      <c r="P60" s="148" t="s">
        <v>444</v>
      </c>
      <c r="Q60" s="147"/>
      <c r="R60" s="147"/>
      <c r="S60" s="147"/>
      <c r="T60" s="147"/>
      <c r="U60" s="147"/>
      <c r="V60" s="155"/>
      <c r="W60" s="147"/>
      <c r="X60" s="148" t="s">
        <v>648</v>
      </c>
      <c r="Y60" s="148"/>
      <c r="Z60" s="148" t="s">
        <v>649</v>
      </c>
      <c r="AA60" s="148"/>
      <c r="AB60" s="147"/>
      <c r="AC60" s="147"/>
      <c r="AD60" s="147"/>
      <c r="AE60" s="147"/>
      <c r="AF60" s="147"/>
      <c r="AG60" s="147"/>
      <c r="AH60" s="147"/>
      <c r="AI60" s="147"/>
      <c r="AJ60" s="147"/>
      <c r="AK60" s="147"/>
      <c r="AL60" s="147"/>
      <c r="AM60" s="147"/>
      <c r="AN60" s="152" t="str" cm="1">
        <f t="array" ref="AN60">IFERROR(
  LOOKUP(
    2,
    1/((AB60:AM60&lt;&gt;"")*(ISNUMBER(AB60:AM60)+ISNONTEXT(AB60:AM60)&gt;0)),
    {10,20,30,40,45,50,60,70,75,80,90,100}
  ) &amp; "%",
  "0%"
)</f>
        <v>0%</v>
      </c>
      <c r="AO60" s="147"/>
      <c r="AP60" s="147"/>
      <c r="AQ60" s="147"/>
      <c r="AR60" s="147"/>
      <c r="AS60" s="147"/>
      <c r="AT60" s="147"/>
      <c r="AU60" s="147"/>
      <c r="AV60" s="147"/>
      <c r="AW60" s="147"/>
      <c r="AX60" s="147"/>
      <c r="AY60" s="233"/>
      <c r="AZ60" s="147"/>
      <c r="BA60" s="147"/>
    </row>
    <row r="61" spans="1:53" ht="24.75" customHeight="1">
      <c r="A61" s="170"/>
      <c r="B61" s="147" t="s">
        <v>4</v>
      </c>
      <c r="C61" s="147" t="s">
        <v>14</v>
      </c>
      <c r="D61" s="147"/>
      <c r="E61" s="147" t="s">
        <v>26</v>
      </c>
      <c r="F61" s="168" t="s">
        <v>650</v>
      </c>
      <c r="G61" s="148" t="s">
        <v>651</v>
      </c>
      <c r="H61" s="147" t="s">
        <v>20</v>
      </c>
      <c r="I61" s="147"/>
      <c r="J61" s="147" t="s">
        <v>352</v>
      </c>
      <c r="K61" s="155" t="s">
        <v>37</v>
      </c>
      <c r="L61" s="147" t="s">
        <v>324</v>
      </c>
      <c r="M61" s="155" t="s">
        <v>325</v>
      </c>
      <c r="N61" s="147" t="s">
        <v>32</v>
      </c>
      <c r="O61" s="148" t="s">
        <v>652</v>
      </c>
      <c r="P61" s="148" t="s">
        <v>653</v>
      </c>
      <c r="Q61" s="147"/>
      <c r="R61" s="147"/>
      <c r="S61" s="147"/>
      <c r="T61" s="147"/>
      <c r="U61" s="147"/>
      <c r="V61" s="155" t="s">
        <v>654</v>
      </c>
      <c r="W61" s="147"/>
      <c r="X61" s="161" t="s">
        <v>655</v>
      </c>
      <c r="Y61" s="161"/>
      <c r="Z61" s="148"/>
      <c r="AA61" s="173" t="s">
        <v>656</v>
      </c>
      <c r="AB61" s="157">
        <v>45820</v>
      </c>
      <c r="AC61" s="157">
        <v>45869</v>
      </c>
      <c r="AD61" s="157">
        <v>45875</v>
      </c>
      <c r="AE61" s="157">
        <v>45874</v>
      </c>
      <c r="AF61" s="157">
        <v>45931</v>
      </c>
      <c r="AG61" s="157">
        <v>45908</v>
      </c>
      <c r="AH61" s="157">
        <v>45930</v>
      </c>
      <c r="AI61" s="157">
        <v>45952</v>
      </c>
      <c r="AJ61" s="147"/>
      <c r="AK61" s="150">
        <v>45960</v>
      </c>
      <c r="AL61" s="150">
        <v>45961</v>
      </c>
      <c r="AM61" s="147"/>
      <c r="AN61" s="152" t="str" cm="1">
        <f t="array" ref="AN61">IFERROR(
  LOOKUP(
    2,
    1/((AB61:AM61&lt;&gt;"")*(ISNUMBER(AB61:AM61)+ISNONTEXT(AB61:AM61)&gt;0)),
    {10,20,30,40,45,50,60,70,75,80,90,100}
  ) &amp; "%",
  "0%"
)</f>
        <v>90%</v>
      </c>
      <c r="AO61" s="147" t="s">
        <v>657</v>
      </c>
      <c r="AP61" s="147" t="s">
        <v>331</v>
      </c>
      <c r="AQ61" s="147" t="s">
        <v>331</v>
      </c>
      <c r="AR61" s="147" t="s">
        <v>331</v>
      </c>
      <c r="AS61" s="147" t="s">
        <v>331</v>
      </c>
      <c r="AT61" s="147" t="s">
        <v>658</v>
      </c>
      <c r="AU61" s="147"/>
      <c r="AV61" s="147"/>
      <c r="AW61" s="174" t="s">
        <v>659</v>
      </c>
      <c r="AX61" s="154" t="s">
        <v>334</v>
      </c>
      <c r="AY61" s="233"/>
      <c r="AZ61" s="147"/>
      <c r="BA61" s="147"/>
    </row>
    <row r="62" spans="1:53" ht="24.75" customHeight="1">
      <c r="A62" s="170"/>
      <c r="B62" s="147" t="s">
        <v>2</v>
      </c>
      <c r="C62" s="147"/>
      <c r="D62" s="147"/>
      <c r="E62" s="147" t="s">
        <v>26</v>
      </c>
      <c r="F62" s="148" t="s">
        <v>660</v>
      </c>
      <c r="G62" s="148" t="s">
        <v>661</v>
      </c>
      <c r="H62" s="147" t="s">
        <v>20</v>
      </c>
      <c r="I62" s="147"/>
      <c r="J62" s="147" t="s">
        <v>352</v>
      </c>
      <c r="K62" s="155" t="s">
        <v>37</v>
      </c>
      <c r="L62" s="147" t="s">
        <v>563</v>
      </c>
      <c r="M62" s="155" t="s">
        <v>662</v>
      </c>
      <c r="N62" s="147" t="s">
        <v>32</v>
      </c>
      <c r="O62" s="148" t="s">
        <v>663</v>
      </c>
      <c r="P62" s="148" t="s">
        <v>608</v>
      </c>
      <c r="Q62" s="147"/>
      <c r="R62" s="147"/>
      <c r="S62" s="147"/>
      <c r="T62" s="147"/>
      <c r="U62" s="147"/>
      <c r="V62" s="155" t="s">
        <v>664</v>
      </c>
      <c r="W62" s="147"/>
      <c r="X62" s="161" t="s">
        <v>665</v>
      </c>
      <c r="Y62" s="161"/>
      <c r="Z62" s="148"/>
      <c r="AA62" s="148" t="s">
        <v>666</v>
      </c>
      <c r="AB62" s="157">
        <v>45898</v>
      </c>
      <c r="AC62" s="147"/>
      <c r="AD62" s="147"/>
      <c r="AE62" s="147"/>
      <c r="AF62" s="147"/>
      <c r="AG62" s="147"/>
      <c r="AH62" s="147"/>
      <c r="AI62" s="147"/>
      <c r="AJ62" s="147"/>
      <c r="AK62" s="147"/>
      <c r="AL62" s="147"/>
      <c r="AM62" s="147"/>
      <c r="AN62" s="152" t="str" cm="1">
        <f t="array" ref="AN62">IFERROR(
  LOOKUP(
    2,
    1/((AB62:AM62&lt;&gt;"")*(ISNUMBER(AB62:AM62)+ISNONTEXT(AB62:AM62)&gt;0)),
    {10,20,30,40,45,50,60,70,75,80,90,100}
  ) &amp; "%",
  "0%"
)</f>
        <v>10%</v>
      </c>
      <c r="AO62" s="147"/>
      <c r="AP62" s="147"/>
      <c r="AQ62" s="147"/>
      <c r="AR62" s="147"/>
      <c r="AS62" s="147"/>
      <c r="AT62" s="147"/>
      <c r="AU62" s="147"/>
      <c r="AV62" s="147"/>
      <c r="AW62" s="147"/>
      <c r="AX62" s="147"/>
      <c r="AY62" s="233"/>
      <c r="AZ62" s="147"/>
      <c r="BA62" s="147"/>
    </row>
    <row r="63" spans="1:53" ht="24.75" customHeight="1">
      <c r="A63" s="170"/>
      <c r="B63" s="147" t="s">
        <v>2</v>
      </c>
      <c r="C63" s="147"/>
      <c r="D63" s="147"/>
      <c r="E63" s="147" t="s">
        <v>26</v>
      </c>
      <c r="F63" s="148" t="s">
        <v>667</v>
      </c>
      <c r="G63" s="148" t="s">
        <v>668</v>
      </c>
      <c r="H63" s="147" t="s">
        <v>20</v>
      </c>
      <c r="I63" s="147"/>
      <c r="J63" s="147" t="s">
        <v>352</v>
      </c>
      <c r="K63" s="155" t="s">
        <v>37</v>
      </c>
      <c r="L63" s="147" t="s">
        <v>563</v>
      </c>
      <c r="M63" s="155" t="s">
        <v>669</v>
      </c>
      <c r="N63" s="147" t="s">
        <v>33</v>
      </c>
      <c r="O63" s="148"/>
      <c r="P63" s="148"/>
      <c r="Q63" s="147"/>
      <c r="R63" s="147"/>
      <c r="S63" s="147"/>
      <c r="T63" s="147"/>
      <c r="U63" s="147"/>
      <c r="V63" s="155"/>
      <c r="W63" s="147"/>
      <c r="X63" s="148"/>
      <c r="Y63" s="148"/>
      <c r="Z63" s="148"/>
      <c r="AA63" s="148"/>
      <c r="AB63" s="157">
        <v>45874</v>
      </c>
      <c r="AC63" s="147"/>
      <c r="AD63" s="147"/>
      <c r="AE63" s="147"/>
      <c r="AF63" s="147"/>
      <c r="AG63" s="147"/>
      <c r="AH63" s="147"/>
      <c r="AI63" s="147"/>
      <c r="AJ63" s="147"/>
      <c r="AK63" s="147"/>
      <c r="AL63" s="147"/>
      <c r="AM63" s="147"/>
      <c r="AN63" s="152" t="str" cm="1">
        <f t="array" ref="AN63">IFERROR(
  LOOKUP(
    2,
    1/((AB63:AM63&lt;&gt;"")*(ISNUMBER(AB63:AM63)+ISNONTEXT(AB63:AM63)&gt;0)),
    {10,20,30,40,45,50,60,70,75,80,90,100}
  ) &amp; "%",
  "0%"
)</f>
        <v>10%</v>
      </c>
      <c r="AO63" s="147"/>
      <c r="AP63" s="147"/>
      <c r="AQ63" s="147"/>
      <c r="AR63" s="147"/>
      <c r="AS63" s="147"/>
      <c r="AT63" s="147"/>
      <c r="AU63" s="147"/>
      <c r="AV63" s="147"/>
      <c r="AW63" s="147"/>
      <c r="AX63" s="147"/>
      <c r="AY63" s="233"/>
      <c r="AZ63" s="147"/>
      <c r="BA63" s="147"/>
    </row>
    <row r="64" spans="1:53" ht="24.75" customHeight="1">
      <c r="A64" s="170"/>
      <c r="B64" s="147" t="s">
        <v>4</v>
      </c>
      <c r="C64" s="147" t="s">
        <v>14</v>
      </c>
      <c r="D64" s="147"/>
      <c r="E64" s="147" t="s">
        <v>26</v>
      </c>
      <c r="F64" s="161" t="s">
        <v>670</v>
      </c>
      <c r="G64" s="148" t="s">
        <v>671</v>
      </c>
      <c r="H64" s="147" t="s">
        <v>20</v>
      </c>
      <c r="I64" s="147"/>
      <c r="J64" s="147" t="s">
        <v>352</v>
      </c>
      <c r="K64" s="155" t="s">
        <v>37</v>
      </c>
      <c r="L64" s="147" t="s">
        <v>324</v>
      </c>
      <c r="M64" s="155" t="s">
        <v>672</v>
      </c>
      <c r="N64" s="147" t="s">
        <v>32</v>
      </c>
      <c r="O64" s="148" t="s">
        <v>673</v>
      </c>
      <c r="P64" s="148" t="s">
        <v>674</v>
      </c>
      <c r="Q64" s="147"/>
      <c r="R64" s="147"/>
      <c r="S64" s="147"/>
      <c r="T64" s="147"/>
      <c r="U64" s="147"/>
      <c r="V64" s="155" t="s">
        <v>675</v>
      </c>
      <c r="W64" s="147"/>
      <c r="X64" s="161" t="s">
        <v>676</v>
      </c>
      <c r="Y64" s="161"/>
      <c r="Z64" s="148"/>
      <c r="AA64" s="148" t="s">
        <v>677</v>
      </c>
      <c r="AB64" s="157">
        <v>45811</v>
      </c>
      <c r="AC64" s="157">
        <v>45877</v>
      </c>
      <c r="AD64" s="157">
        <v>45926</v>
      </c>
      <c r="AE64" s="147"/>
      <c r="AF64" s="157">
        <v>45960</v>
      </c>
      <c r="AG64" s="157">
        <v>45915</v>
      </c>
      <c r="AH64" s="157">
        <v>45943</v>
      </c>
      <c r="AI64" s="157">
        <v>45947</v>
      </c>
      <c r="AJ64" s="147"/>
      <c r="AK64" s="157">
        <v>45951</v>
      </c>
      <c r="AL64" s="157">
        <v>45951</v>
      </c>
      <c r="AM64" s="175">
        <v>45965</v>
      </c>
      <c r="AN64" s="152" t="str" cm="1">
        <f t="array" ref="AN64">IFERROR(
  LOOKUP(
    2,
    1/((AB64:AM64&lt;&gt;"")*(ISNUMBER(AB64:AM64)+ISNONTEXT(AB64:AM64)&gt;0)),
    {10,20,30,40,45,50,60,70,75,80,90,100}
  ) &amp; "%",
  "0%"
)</f>
        <v>100%</v>
      </c>
      <c r="AO64" s="147" t="s">
        <v>678</v>
      </c>
      <c r="AP64" s="147" t="s">
        <v>331</v>
      </c>
      <c r="AQ64" s="147" t="s">
        <v>331</v>
      </c>
      <c r="AR64" s="147" t="s">
        <v>331</v>
      </c>
      <c r="AS64" s="147" t="s">
        <v>331</v>
      </c>
      <c r="AT64" s="147" t="s">
        <v>658</v>
      </c>
      <c r="AU64" s="147">
        <v>15</v>
      </c>
      <c r="AV64" s="147" t="s">
        <v>679</v>
      </c>
      <c r="AW64" s="147" t="s">
        <v>680</v>
      </c>
      <c r="AX64" s="154" t="s">
        <v>334</v>
      </c>
      <c r="AY64" s="233"/>
      <c r="AZ64" s="147"/>
      <c r="BA64" s="147"/>
    </row>
    <row r="65" spans="1:53" s="2" customFormat="1" ht="24.75" customHeight="1">
      <c r="A65" s="170"/>
      <c r="B65" s="147" t="s">
        <v>2</v>
      </c>
      <c r="C65" s="147"/>
      <c r="D65" s="147"/>
      <c r="E65" s="147" t="s">
        <v>26</v>
      </c>
      <c r="F65" s="148" t="s">
        <v>681</v>
      </c>
      <c r="G65" s="148" t="s">
        <v>681</v>
      </c>
      <c r="H65" s="147" t="s">
        <v>21</v>
      </c>
      <c r="I65" s="147" t="s">
        <v>22</v>
      </c>
      <c r="J65" s="147" t="s">
        <v>682</v>
      </c>
      <c r="K65" s="155" t="s">
        <v>303</v>
      </c>
      <c r="L65" s="147" t="s">
        <v>682</v>
      </c>
      <c r="M65" s="155" t="s">
        <v>683</v>
      </c>
      <c r="N65" s="147" t="s">
        <v>35</v>
      </c>
      <c r="O65" s="148" t="s">
        <v>684</v>
      </c>
      <c r="P65" s="148"/>
      <c r="Q65" s="147"/>
      <c r="R65" s="147"/>
      <c r="S65" s="147"/>
      <c r="T65" s="147"/>
      <c r="U65" s="147"/>
      <c r="V65" s="155"/>
      <c r="W65" s="147"/>
      <c r="X65" s="161" t="s">
        <v>685</v>
      </c>
      <c r="Y65" s="161"/>
      <c r="Z65" s="161" t="s">
        <v>686</v>
      </c>
      <c r="AA65" s="148"/>
      <c r="AB65" s="150">
        <v>45993</v>
      </c>
      <c r="AC65" s="147"/>
      <c r="AD65" s="147"/>
      <c r="AE65" s="147"/>
      <c r="AF65" s="147"/>
      <c r="AG65" s="147"/>
      <c r="AH65" s="147"/>
      <c r="AI65" s="147"/>
      <c r="AJ65" s="147"/>
      <c r="AK65" s="147"/>
      <c r="AL65" s="147"/>
      <c r="AM65" s="147"/>
      <c r="AN65" s="152" t="str" cm="1">
        <f t="array" ref="AN65">IFERROR(
  LOOKUP(
    2,
    1/((AB65:AM65&lt;&gt;"")*(ISNUMBER(AB65:AM65)+ISNONTEXT(AB65:AM65)&gt;0)),
    {10,20,30,40,45,50,60,70,75,80,90,100}
  ) &amp; "%",
  "0%"
)</f>
        <v>10%</v>
      </c>
      <c r="AO65" s="147"/>
      <c r="AP65" s="147"/>
      <c r="AQ65" s="147"/>
      <c r="AR65" s="147"/>
      <c r="AS65" s="147"/>
      <c r="AT65" s="147"/>
      <c r="AU65" s="147"/>
      <c r="AV65" s="147"/>
      <c r="AW65" s="147"/>
      <c r="AX65" s="147"/>
      <c r="AY65" s="233" t="s">
        <v>687</v>
      </c>
      <c r="AZ65" s="147"/>
      <c r="BA65" s="147"/>
    </row>
    <row r="66" spans="1:53" s="2" customFormat="1" ht="24.75" customHeight="1">
      <c r="A66" s="170"/>
      <c r="B66" s="147" t="s">
        <v>2</v>
      </c>
      <c r="C66" s="147"/>
      <c r="D66" s="147"/>
      <c r="E66" s="147" t="s">
        <v>26</v>
      </c>
      <c r="F66" s="148" t="s">
        <v>688</v>
      </c>
      <c r="G66" s="148" t="s">
        <v>688</v>
      </c>
      <c r="H66" s="147" t="s">
        <v>21</v>
      </c>
      <c r="I66" s="147" t="s">
        <v>22</v>
      </c>
      <c r="J66" s="147" t="s">
        <v>39</v>
      </c>
      <c r="K66" s="155" t="s">
        <v>303</v>
      </c>
      <c r="L66" s="147" t="s">
        <v>39</v>
      </c>
      <c r="M66" s="155" t="s">
        <v>39</v>
      </c>
      <c r="N66" s="147" t="s">
        <v>689</v>
      </c>
      <c r="O66" s="148"/>
      <c r="P66" s="148"/>
      <c r="Q66" s="147"/>
      <c r="R66" s="147"/>
      <c r="S66" s="147"/>
      <c r="T66" s="147"/>
      <c r="U66" s="147"/>
      <c r="V66" s="155"/>
      <c r="W66" s="147"/>
      <c r="X66" s="148"/>
      <c r="Y66" s="148"/>
      <c r="Z66" s="148" t="s">
        <v>690</v>
      </c>
      <c r="AA66" s="148"/>
      <c r="AB66" s="147"/>
      <c r="AC66" s="147"/>
      <c r="AD66" s="147"/>
      <c r="AE66" s="147"/>
      <c r="AF66" s="147"/>
      <c r="AG66" s="147"/>
      <c r="AH66" s="147"/>
      <c r="AI66" s="147"/>
      <c r="AJ66" s="147"/>
      <c r="AK66" s="147"/>
      <c r="AL66" s="147"/>
      <c r="AM66" s="147"/>
      <c r="AN66" s="152" t="str" cm="1">
        <f t="array" ref="AN66">IFERROR(
  LOOKUP(
    2,
    1/((AB66:AM66&lt;&gt;"")*(ISNUMBER(AB66:AM66)+ISNONTEXT(AB66:AM66)&gt;0)),
    {10,20,30,40,45,50,60,70,75,80,90,100}
  ) &amp; "%",
  "0%"
)</f>
        <v>0%</v>
      </c>
      <c r="AO66" s="147"/>
      <c r="AP66" s="147"/>
      <c r="AQ66" s="147"/>
      <c r="AR66" s="147"/>
      <c r="AS66" s="147"/>
      <c r="AT66" s="147"/>
      <c r="AU66" s="147"/>
      <c r="AV66" s="147"/>
      <c r="AW66" s="147"/>
      <c r="AX66" s="147"/>
      <c r="AY66" s="233"/>
      <c r="AZ66" s="147"/>
      <c r="BA66" s="147"/>
    </row>
    <row r="67" spans="1:53" ht="24.75" customHeight="1">
      <c r="A67" s="170"/>
      <c r="B67" s="147" t="s">
        <v>2</v>
      </c>
      <c r="C67" s="147"/>
      <c r="D67" s="147"/>
      <c r="E67" s="147" t="s">
        <v>26</v>
      </c>
      <c r="F67" s="196"/>
      <c r="G67" s="148" t="s">
        <v>691</v>
      </c>
      <c r="H67" s="147" t="s">
        <v>20</v>
      </c>
      <c r="I67" s="147"/>
      <c r="J67" s="147" t="s">
        <v>324</v>
      </c>
      <c r="K67" s="155" t="s">
        <v>37</v>
      </c>
      <c r="L67" s="147" t="s">
        <v>324</v>
      </c>
      <c r="M67" s="155" t="s">
        <v>672</v>
      </c>
      <c r="N67" s="147" t="s">
        <v>32</v>
      </c>
      <c r="O67" s="148" t="s">
        <v>692</v>
      </c>
      <c r="P67" s="148" t="s">
        <v>693</v>
      </c>
      <c r="Q67" s="147"/>
      <c r="R67" s="147"/>
      <c r="S67" s="147"/>
      <c r="T67" s="147"/>
      <c r="U67" s="147"/>
      <c r="V67" s="155" t="s">
        <v>694</v>
      </c>
      <c r="W67" s="147"/>
      <c r="X67" s="148" t="s">
        <v>695</v>
      </c>
      <c r="Y67" s="148"/>
      <c r="Z67" s="148"/>
      <c r="AA67" s="148" t="s">
        <v>696</v>
      </c>
      <c r="AB67" s="157">
        <v>45895</v>
      </c>
      <c r="AC67" s="147"/>
      <c r="AD67" s="147"/>
      <c r="AE67" s="147"/>
      <c r="AF67" s="147"/>
      <c r="AG67" s="147"/>
      <c r="AH67" s="147"/>
      <c r="AI67" s="147"/>
      <c r="AJ67" s="147"/>
      <c r="AK67" s="147"/>
      <c r="AL67" s="147"/>
      <c r="AM67" s="147"/>
      <c r="AN67" s="152" t="str" cm="1">
        <f t="array" ref="AN67">IFERROR(
  LOOKUP(
    2,
    1/((AB67:AM67&lt;&gt;"")*(ISNUMBER(AB67:AM67)+ISNONTEXT(AB67:AM67)&gt;0)),
    {10,20,30,40,45,50,60,70,75,80,90,100}
  ) &amp; "%",
  "0%"
)</f>
        <v>10%</v>
      </c>
      <c r="AO67" s="147"/>
      <c r="AP67" s="147"/>
      <c r="AQ67" s="147"/>
      <c r="AR67" s="147"/>
      <c r="AS67" s="147"/>
      <c r="AT67" s="147"/>
      <c r="AU67" s="147"/>
      <c r="AV67" s="147"/>
      <c r="AW67" s="147"/>
      <c r="AX67" s="147"/>
      <c r="AY67" s="233"/>
      <c r="AZ67" s="147"/>
      <c r="BA67" s="147"/>
    </row>
    <row r="68" spans="1:53" s="2" customFormat="1" ht="24.75" customHeight="1">
      <c r="A68" s="170"/>
      <c r="B68" s="147" t="s">
        <v>697</v>
      </c>
      <c r="C68" s="147"/>
      <c r="D68" s="147"/>
      <c r="E68" s="147"/>
      <c r="F68" s="195" t="s">
        <v>698</v>
      </c>
      <c r="G68" s="148"/>
      <c r="H68" s="147" t="s">
        <v>20</v>
      </c>
      <c r="I68" s="147"/>
      <c r="J68" s="147"/>
      <c r="K68" s="155" t="s">
        <v>37</v>
      </c>
      <c r="L68" s="147"/>
      <c r="M68" s="155"/>
      <c r="N68" s="147"/>
      <c r="O68" s="148"/>
      <c r="P68" s="148"/>
      <c r="Q68" s="147"/>
      <c r="R68" s="147"/>
      <c r="S68" s="147"/>
      <c r="T68" s="147"/>
      <c r="U68" s="147"/>
      <c r="V68" s="155"/>
      <c r="W68" s="147"/>
      <c r="X68" s="148"/>
      <c r="Y68" s="148"/>
      <c r="Z68" s="148"/>
      <c r="AA68" s="148"/>
      <c r="AB68" s="147"/>
      <c r="AC68" s="147"/>
      <c r="AD68" s="147"/>
      <c r="AE68" s="147"/>
      <c r="AF68" s="147"/>
      <c r="AG68" s="147"/>
      <c r="AH68" s="147"/>
      <c r="AI68" s="147"/>
      <c r="AJ68" s="147"/>
      <c r="AK68" s="147"/>
      <c r="AL68" s="147"/>
      <c r="AM68" s="147"/>
      <c r="AN68" s="152" t="str" cm="1">
        <f t="array" ref="AN68">IFERROR(
  LOOKUP(
    2,
    1/((AB68:AM68&lt;&gt;"")*(ISNUMBER(AB68:AM68)+ISNONTEXT(AB68:AM68)&gt;0)),
    {10,20,30,40,45,50,60,70,75,80,90,100}
  ) &amp; "%",
  "0%"
)</f>
        <v>0%</v>
      </c>
      <c r="AO68" s="147"/>
      <c r="AP68" s="147"/>
      <c r="AQ68" s="147"/>
      <c r="AR68" s="147"/>
      <c r="AS68" s="147"/>
      <c r="AT68" s="147"/>
      <c r="AU68" s="147"/>
      <c r="AV68" s="147"/>
      <c r="AW68" s="147"/>
      <c r="AX68" s="147"/>
      <c r="AY68" s="233"/>
      <c r="AZ68" s="147"/>
      <c r="BA68" s="147"/>
    </row>
    <row r="69" spans="1:53" ht="24.75" customHeight="1">
      <c r="A69" s="170"/>
      <c r="B69" s="147" t="s">
        <v>697</v>
      </c>
      <c r="C69" s="147"/>
      <c r="D69" s="147"/>
      <c r="E69" s="147" t="s">
        <v>26</v>
      </c>
      <c r="F69" s="196" t="s">
        <v>699</v>
      </c>
      <c r="G69" s="148" t="s">
        <v>700</v>
      </c>
      <c r="H69" s="147" t="s">
        <v>20</v>
      </c>
      <c r="I69" s="147"/>
      <c r="J69" s="147" t="s">
        <v>701</v>
      </c>
      <c r="K69" s="155" t="s">
        <v>37</v>
      </c>
      <c r="L69" s="147" t="s">
        <v>324</v>
      </c>
      <c r="M69" s="155" t="s">
        <v>402</v>
      </c>
      <c r="N69" s="147" t="s">
        <v>32</v>
      </c>
      <c r="O69" s="148" t="s">
        <v>702</v>
      </c>
      <c r="P69" s="148" t="s">
        <v>703</v>
      </c>
      <c r="Q69" s="155"/>
      <c r="R69" s="155"/>
      <c r="S69" s="155"/>
      <c r="T69" s="155"/>
      <c r="U69" s="155"/>
      <c r="V69" s="155" t="s">
        <v>704</v>
      </c>
      <c r="W69" s="147"/>
      <c r="X69" s="161" t="s">
        <v>705</v>
      </c>
      <c r="Y69" s="161"/>
      <c r="Z69" s="161" t="s">
        <v>706</v>
      </c>
      <c r="AA69" s="148" t="s">
        <v>707</v>
      </c>
      <c r="AB69" s="157">
        <v>45907</v>
      </c>
      <c r="AC69" s="157">
        <v>45957</v>
      </c>
      <c r="AD69" s="147"/>
      <c r="AE69" s="147"/>
      <c r="AF69" s="147"/>
      <c r="AG69" s="147"/>
      <c r="AH69" s="147"/>
      <c r="AI69" s="147"/>
      <c r="AJ69" s="147"/>
      <c r="AK69" s="147"/>
      <c r="AL69" s="147"/>
      <c r="AM69" s="147"/>
      <c r="AN69" s="152" t="str" cm="1">
        <f t="array" ref="AN69">IFERROR(
  LOOKUP(
    2,
    1/((AB69:AM69&lt;&gt;"")*(ISNUMBER(AB69:AM69)+ISNONTEXT(AB69:AM69)&gt;0)),
    {10,20,30,40,45,50,60,70,75,80,90,100}
  ) &amp; "%",
  "0%"
)</f>
        <v>20%</v>
      </c>
      <c r="AO69" s="147"/>
      <c r="AP69" s="147"/>
      <c r="AQ69" s="147"/>
      <c r="AR69" s="147"/>
      <c r="AS69" s="147"/>
      <c r="AT69" s="147"/>
      <c r="AU69" s="147"/>
      <c r="AV69" s="147"/>
      <c r="AW69" s="147"/>
      <c r="AX69" s="147"/>
      <c r="AY69" s="233"/>
      <c r="AZ69" s="147"/>
      <c r="BA69" s="147"/>
    </row>
    <row r="70" spans="1:53" s="2" customFormat="1" ht="24.75" customHeight="1">
      <c r="A70" s="170"/>
      <c r="B70" s="147" t="s">
        <v>2</v>
      </c>
      <c r="C70" s="147"/>
      <c r="D70" s="147"/>
      <c r="E70" s="147" t="s">
        <v>29</v>
      </c>
      <c r="F70" s="148" t="s">
        <v>708</v>
      </c>
      <c r="G70" s="148" t="s">
        <v>709</v>
      </c>
      <c r="H70" s="147" t="s">
        <v>20</v>
      </c>
      <c r="I70" s="147"/>
      <c r="J70" s="147" t="s">
        <v>198</v>
      </c>
      <c r="K70" s="155" t="s">
        <v>303</v>
      </c>
      <c r="L70" s="147" t="s">
        <v>198</v>
      </c>
      <c r="M70" s="155" t="s">
        <v>710</v>
      </c>
      <c r="N70" s="147" t="s">
        <v>711</v>
      </c>
      <c r="O70" s="148"/>
      <c r="P70" s="148"/>
      <c r="Q70" s="147"/>
      <c r="R70" s="147"/>
      <c r="S70" s="147"/>
      <c r="T70" s="147"/>
      <c r="U70" s="147"/>
      <c r="V70" s="155"/>
      <c r="W70" s="147"/>
      <c r="X70" s="148"/>
      <c r="Y70" s="148"/>
      <c r="Z70" s="148"/>
      <c r="AA70" s="148"/>
      <c r="AB70" s="157">
        <v>45924</v>
      </c>
      <c r="AC70" s="147"/>
      <c r="AD70" s="147"/>
      <c r="AE70" s="147"/>
      <c r="AF70" s="147"/>
      <c r="AG70" s="147"/>
      <c r="AH70" s="147"/>
      <c r="AI70" s="147"/>
      <c r="AJ70" s="147"/>
      <c r="AK70" s="147"/>
      <c r="AL70" s="147"/>
      <c r="AM70" s="147"/>
      <c r="AN70" s="152" t="str" cm="1">
        <f t="array" ref="AN70">IFERROR(
  LOOKUP(
    2,
    1/((AB70:AM70&lt;&gt;"")*(ISNUMBER(AB70:AM70)+ISNONTEXT(AB70:AM70)&gt;0)),
    {10,20,30,40,45,50,60,70,75,80,90,100}
  ) &amp; "%",
  "0%"
)</f>
        <v>10%</v>
      </c>
      <c r="AO70" s="147"/>
      <c r="AP70" s="147"/>
      <c r="AQ70" s="147"/>
      <c r="AR70" s="147"/>
      <c r="AS70" s="147"/>
      <c r="AT70" s="147"/>
      <c r="AU70" s="147"/>
      <c r="AV70" s="147"/>
      <c r="AW70" s="147"/>
      <c r="AX70" s="147"/>
      <c r="AY70" s="233"/>
      <c r="AZ70" s="147"/>
      <c r="BA70" s="147"/>
    </row>
    <row r="71" spans="1:53" ht="24.75" customHeight="1">
      <c r="A71" s="170"/>
      <c r="B71" s="147" t="s">
        <v>3</v>
      </c>
      <c r="C71" s="147"/>
      <c r="D71" s="147"/>
      <c r="E71" s="147" t="s">
        <v>26</v>
      </c>
      <c r="F71" s="195" t="s">
        <v>712</v>
      </c>
      <c r="G71" s="148" t="s">
        <v>713</v>
      </c>
      <c r="H71" s="147" t="s">
        <v>20</v>
      </c>
      <c r="I71" s="147"/>
      <c r="J71" s="147" t="s">
        <v>324</v>
      </c>
      <c r="K71" s="155" t="s">
        <v>37</v>
      </c>
      <c r="L71" s="147" t="s">
        <v>324</v>
      </c>
      <c r="M71" s="155" t="s">
        <v>672</v>
      </c>
      <c r="N71" s="147" t="s">
        <v>32</v>
      </c>
      <c r="O71" s="148" t="s">
        <v>714</v>
      </c>
      <c r="P71" s="148" t="s">
        <v>715</v>
      </c>
      <c r="Q71" s="147"/>
      <c r="R71" s="147"/>
      <c r="S71" s="147"/>
      <c r="T71" s="147"/>
      <c r="U71" s="147"/>
      <c r="V71" s="155" t="s">
        <v>716</v>
      </c>
      <c r="W71" s="147"/>
      <c r="X71" s="161" t="s">
        <v>717</v>
      </c>
      <c r="Y71" s="161"/>
      <c r="Z71" s="148"/>
      <c r="AA71" s="148" t="s">
        <v>718</v>
      </c>
      <c r="AB71" s="157">
        <v>45820</v>
      </c>
      <c r="AC71" s="147"/>
      <c r="AD71" s="147"/>
      <c r="AE71" s="147"/>
      <c r="AF71" s="147"/>
      <c r="AG71" s="147"/>
      <c r="AH71" s="147"/>
      <c r="AI71" s="147"/>
      <c r="AJ71" s="147"/>
      <c r="AK71" s="147"/>
      <c r="AL71" s="147"/>
      <c r="AM71" s="147"/>
      <c r="AN71" s="152" t="str" cm="1">
        <f t="array" ref="AN71">IFERROR(
  LOOKUP(
    2,
    1/((AB71:AM71&lt;&gt;"")*(ISNUMBER(AB71:AM71)+ISNONTEXT(AB71:AM71)&gt;0)),
    {10,20,30,40,45,50,60,70,75,80,90,100}
  ) &amp; "%",
  "0%"
)</f>
        <v>10%</v>
      </c>
      <c r="AO71" s="147"/>
      <c r="AP71" s="147"/>
      <c r="AQ71" s="147"/>
      <c r="AR71" s="147"/>
      <c r="AS71" s="147"/>
      <c r="AT71" s="147"/>
      <c r="AU71" s="147"/>
      <c r="AV71" s="147"/>
      <c r="AW71" s="147"/>
      <c r="AX71" s="147"/>
      <c r="AY71" s="233"/>
      <c r="AZ71" s="147"/>
      <c r="BA71" s="147"/>
    </row>
    <row r="72" spans="1:53" s="2" customFormat="1" ht="24.75" customHeight="1">
      <c r="A72" s="170"/>
      <c r="B72" s="147" t="s">
        <v>2</v>
      </c>
      <c r="C72" s="147"/>
      <c r="D72" s="147"/>
      <c r="E72" s="147"/>
      <c r="F72" s="148" t="s">
        <v>719</v>
      </c>
      <c r="G72" s="148" t="s">
        <v>720</v>
      </c>
      <c r="H72" s="147" t="s">
        <v>21</v>
      </c>
      <c r="I72" s="147" t="s">
        <v>22</v>
      </c>
      <c r="J72" s="147" t="s">
        <v>721</v>
      </c>
      <c r="K72" s="155" t="s">
        <v>303</v>
      </c>
      <c r="L72" s="147" t="s">
        <v>721</v>
      </c>
      <c r="M72" s="155" t="s">
        <v>313</v>
      </c>
      <c r="N72" s="147"/>
      <c r="O72" s="159" t="s">
        <v>722</v>
      </c>
      <c r="P72" s="159" t="s">
        <v>723</v>
      </c>
      <c r="Q72" s="176"/>
      <c r="R72" s="176"/>
      <c r="S72" s="176"/>
      <c r="T72" s="176"/>
      <c r="U72" s="176"/>
      <c r="V72" s="155"/>
      <c r="W72" s="147"/>
      <c r="X72" s="161" t="s">
        <v>724</v>
      </c>
      <c r="Y72" s="161"/>
      <c r="Z72" s="161"/>
      <c r="AA72" s="161"/>
      <c r="AB72" s="157">
        <v>45897</v>
      </c>
      <c r="AC72" s="154"/>
      <c r="AD72" s="154"/>
      <c r="AE72" s="154"/>
      <c r="AF72" s="154"/>
      <c r="AG72" s="154"/>
      <c r="AH72" s="154"/>
      <c r="AI72" s="154"/>
      <c r="AJ72" s="154"/>
      <c r="AK72" s="147"/>
      <c r="AL72" s="147"/>
      <c r="AM72" s="147"/>
      <c r="AN72" s="152" t="str" cm="1">
        <f t="array" ref="AN72">IFERROR(
  LOOKUP(
    2,
    1/((AB72:AM72&lt;&gt;"")*(ISNUMBER(AB72:AM72)+ISNONTEXT(AB72:AM72)&gt;0)),
    {10,20,30,40,45,50,60,70,75,80,90,100}
  ) &amp; "%",
  "0%"
)</f>
        <v>10%</v>
      </c>
      <c r="AO72" s="154"/>
      <c r="AP72" s="154"/>
      <c r="AQ72" s="154"/>
      <c r="AR72" s="147"/>
      <c r="AS72" s="147"/>
      <c r="AT72" s="147"/>
      <c r="AU72" s="147"/>
      <c r="AV72" s="147"/>
      <c r="AW72" s="147"/>
      <c r="AX72" s="147"/>
      <c r="AY72" s="233"/>
      <c r="AZ72" s="147"/>
      <c r="BA72" s="147"/>
    </row>
    <row r="73" spans="1:53" ht="24.75" customHeight="1">
      <c r="A73" s="170"/>
      <c r="B73" s="147" t="s">
        <v>4</v>
      </c>
      <c r="C73" s="147"/>
      <c r="D73" s="147"/>
      <c r="E73" s="147" t="s">
        <v>26</v>
      </c>
      <c r="F73" s="196" t="s">
        <v>725</v>
      </c>
      <c r="G73" s="148" t="s">
        <v>726</v>
      </c>
      <c r="H73" s="147" t="s">
        <v>20</v>
      </c>
      <c r="I73" s="147"/>
      <c r="J73" s="147" t="s">
        <v>499</v>
      </c>
      <c r="K73" s="155" t="s">
        <v>37</v>
      </c>
      <c r="L73" s="147" t="s">
        <v>499</v>
      </c>
      <c r="M73" s="155" t="s">
        <v>727</v>
      </c>
      <c r="N73" s="147" t="s">
        <v>33</v>
      </c>
      <c r="O73" s="148" t="s">
        <v>728</v>
      </c>
      <c r="P73" s="148"/>
      <c r="Q73" s="147"/>
      <c r="R73" s="147"/>
      <c r="S73" s="147"/>
      <c r="T73" s="147"/>
      <c r="U73" s="147"/>
      <c r="V73" s="155"/>
      <c r="W73" s="147"/>
      <c r="X73" s="161" t="s">
        <v>729</v>
      </c>
      <c r="Y73" s="161"/>
      <c r="Z73" s="148"/>
      <c r="AA73" s="148" t="s">
        <v>730</v>
      </c>
      <c r="AB73" s="157">
        <v>45718</v>
      </c>
      <c r="AC73" s="157">
        <v>45918</v>
      </c>
      <c r="AD73" s="153"/>
      <c r="AE73" s="153"/>
      <c r="AF73" s="169"/>
      <c r="AG73" s="153"/>
      <c r="AH73" s="157">
        <v>45915</v>
      </c>
      <c r="AI73" s="153"/>
      <c r="AJ73" s="153"/>
      <c r="AK73" s="157">
        <v>45968</v>
      </c>
      <c r="AL73" s="147"/>
      <c r="AM73" s="147"/>
      <c r="AN73" s="152" t="str" cm="1">
        <f t="array" ref="AN73">IFERROR(
  LOOKUP(
    2,
    1/((AB73:AM73&lt;&gt;"")*(ISNUMBER(AB73:AM73)+ISNONTEXT(AB73:AM73)&gt;0)),
    {10,20,30,40,45,50,60,70,75,80,90,100}
  ) &amp; "%",
  "0%"
)</f>
        <v>80%</v>
      </c>
      <c r="AO73" s="153" t="s">
        <v>725</v>
      </c>
      <c r="AP73" s="147" t="s">
        <v>331</v>
      </c>
      <c r="AQ73" s="147" t="s">
        <v>331</v>
      </c>
      <c r="AR73" s="147" t="s">
        <v>331</v>
      </c>
      <c r="AS73" s="147" t="s">
        <v>331</v>
      </c>
      <c r="AT73" s="147" t="s">
        <v>658</v>
      </c>
      <c r="AU73" s="147"/>
      <c r="AV73" s="147"/>
      <c r="AW73" s="147" t="s">
        <v>381</v>
      </c>
      <c r="AX73" s="154" t="s">
        <v>334</v>
      </c>
      <c r="AY73" s="233"/>
      <c r="AZ73" s="147"/>
      <c r="BA73" s="147"/>
    </row>
    <row r="74" spans="1:53" ht="24.75" customHeight="1">
      <c r="A74" s="170"/>
      <c r="B74" s="147" t="s">
        <v>3</v>
      </c>
      <c r="C74" s="147"/>
      <c r="D74" s="147"/>
      <c r="E74" s="147" t="s">
        <v>26</v>
      </c>
      <c r="F74" s="196" t="s">
        <v>731</v>
      </c>
      <c r="G74" s="148" t="s">
        <v>732</v>
      </c>
      <c r="H74" s="147" t="s">
        <v>20</v>
      </c>
      <c r="I74" s="147"/>
      <c r="J74" s="147" t="s">
        <v>352</v>
      </c>
      <c r="K74" s="155" t="s">
        <v>37</v>
      </c>
      <c r="L74" s="147" t="s">
        <v>324</v>
      </c>
      <c r="M74" s="155" t="s">
        <v>313</v>
      </c>
      <c r="N74" s="147" t="s">
        <v>32</v>
      </c>
      <c r="O74" s="148" t="s">
        <v>733</v>
      </c>
      <c r="P74" s="148" t="s">
        <v>734</v>
      </c>
      <c r="Q74" s="147"/>
      <c r="R74" s="147"/>
      <c r="S74" s="147"/>
      <c r="T74" s="147"/>
      <c r="U74" s="147"/>
      <c r="V74" s="171" t="s">
        <v>735</v>
      </c>
      <c r="W74" s="167"/>
      <c r="X74" s="168" t="s">
        <v>736</v>
      </c>
      <c r="Y74" s="168"/>
      <c r="Z74" s="168"/>
      <c r="AA74" s="177" t="s">
        <v>737</v>
      </c>
      <c r="AB74" s="157">
        <v>45890</v>
      </c>
      <c r="AC74" s="157">
        <v>45922</v>
      </c>
      <c r="AD74" s="153"/>
      <c r="AE74" s="153"/>
      <c r="AF74" s="169">
        <v>45955</v>
      </c>
      <c r="AG74" s="169">
        <v>46013</v>
      </c>
      <c r="AH74" s="153"/>
      <c r="AI74" s="153"/>
      <c r="AJ74" s="153"/>
      <c r="AK74" s="147"/>
      <c r="AL74" s="147"/>
      <c r="AM74" s="147"/>
      <c r="AN74" s="152" t="str" cm="1">
        <f t="array" ref="AN74">IFERROR(
  LOOKUP(
    2,
    1/((AB74:AM74&lt;&gt;"")*(ISNUMBER(AB74:AM74)+ISNONTEXT(AB74:AM74)&gt;0)),
    {10,20,30,40,45,50,60,70,75,80,90,100}
  ) &amp; "%",
  "0%"
)</f>
        <v>50%</v>
      </c>
      <c r="AO74" s="153" t="s">
        <v>731</v>
      </c>
      <c r="AP74" s="153"/>
      <c r="AQ74" s="153"/>
      <c r="AR74" s="178"/>
      <c r="AS74" s="178"/>
      <c r="AT74" s="178"/>
      <c r="AU74" s="178"/>
      <c r="AV74" s="178"/>
      <c r="AW74" s="178"/>
      <c r="AX74" s="178"/>
      <c r="AY74" s="233"/>
      <c r="AZ74" s="147"/>
      <c r="BA74" s="147"/>
    </row>
    <row r="75" spans="1:53" ht="24.75" customHeight="1">
      <c r="A75" s="170"/>
      <c r="B75" s="147" t="s">
        <v>3</v>
      </c>
      <c r="C75" s="147"/>
      <c r="D75" s="147"/>
      <c r="E75" s="147" t="s">
        <v>26</v>
      </c>
      <c r="F75" s="196" t="s">
        <v>738</v>
      </c>
      <c r="G75" s="148" t="s">
        <v>739</v>
      </c>
      <c r="H75" s="147" t="s">
        <v>20</v>
      </c>
      <c r="I75" s="147"/>
      <c r="J75" s="147" t="s">
        <v>352</v>
      </c>
      <c r="K75" s="155" t="s">
        <v>37</v>
      </c>
      <c r="L75" s="147" t="s">
        <v>563</v>
      </c>
      <c r="M75" s="155" t="s">
        <v>564</v>
      </c>
      <c r="N75" s="147" t="s">
        <v>32</v>
      </c>
      <c r="O75" s="148" t="s">
        <v>740</v>
      </c>
      <c r="P75" s="148" t="s">
        <v>741</v>
      </c>
      <c r="Q75" s="155"/>
      <c r="R75" s="155"/>
      <c r="S75" s="155"/>
      <c r="T75" s="155"/>
      <c r="U75" s="155"/>
      <c r="V75" s="171" t="s">
        <v>742</v>
      </c>
      <c r="W75" s="167"/>
      <c r="X75" s="168"/>
      <c r="Y75" s="168"/>
      <c r="Z75" s="168" t="s">
        <v>743</v>
      </c>
      <c r="AA75" s="168"/>
      <c r="AB75" s="157">
        <v>45139</v>
      </c>
      <c r="AC75" s="153"/>
      <c r="AD75" s="153"/>
      <c r="AE75" s="153"/>
      <c r="AF75" s="153"/>
      <c r="AG75" s="153"/>
      <c r="AH75" s="153"/>
      <c r="AI75" s="153"/>
      <c r="AJ75" s="153"/>
      <c r="AK75" s="147"/>
      <c r="AL75" s="147"/>
      <c r="AM75" s="147"/>
      <c r="AN75" s="152" t="str" cm="1">
        <f t="array" ref="AN75">IFERROR(
  LOOKUP(
    2,
    1/((AB75:AM75&lt;&gt;"")*(ISNUMBER(AB75:AM75)+ISNONTEXT(AB75:AM75)&gt;0)),
    {10,20,30,40,45,50,60,70,75,80,90,100}
  ) &amp; "%",
  "0%"
)</f>
        <v>10%</v>
      </c>
      <c r="AO75" s="153"/>
      <c r="AP75" s="153"/>
      <c r="AQ75" s="153"/>
      <c r="AR75" s="178"/>
      <c r="AS75" s="178"/>
      <c r="AT75" s="178"/>
      <c r="AU75" s="178"/>
      <c r="AV75" s="178"/>
      <c r="AW75" s="178"/>
      <c r="AX75" s="178"/>
      <c r="AY75" s="233"/>
      <c r="AZ75" s="147"/>
      <c r="BA75" s="147"/>
    </row>
    <row r="76" spans="1:53" ht="24.75" customHeight="1">
      <c r="A76" s="170"/>
      <c r="B76" s="147" t="s">
        <v>3</v>
      </c>
      <c r="C76" s="147"/>
      <c r="D76" s="147"/>
      <c r="E76" s="147" t="s">
        <v>26</v>
      </c>
      <c r="F76" s="196" t="s">
        <v>744</v>
      </c>
      <c r="G76" s="148" t="s">
        <v>745</v>
      </c>
      <c r="H76" s="147" t="s">
        <v>20</v>
      </c>
      <c r="I76" s="147"/>
      <c r="J76" s="147" t="s">
        <v>499</v>
      </c>
      <c r="K76" s="155" t="s">
        <v>37</v>
      </c>
      <c r="L76" s="147" t="s">
        <v>499</v>
      </c>
      <c r="M76" s="155" t="s">
        <v>500</v>
      </c>
      <c r="N76" s="147" t="s">
        <v>32</v>
      </c>
      <c r="O76" s="148" t="s">
        <v>746</v>
      </c>
      <c r="P76" s="148" t="s">
        <v>747</v>
      </c>
      <c r="Q76" s="155"/>
      <c r="R76" s="155"/>
      <c r="S76" s="155"/>
      <c r="T76" s="155"/>
      <c r="U76" s="155"/>
      <c r="V76" s="171" t="s">
        <v>748</v>
      </c>
      <c r="W76" s="167"/>
      <c r="X76" s="168" t="s">
        <v>749</v>
      </c>
      <c r="Y76" s="168"/>
      <c r="Z76" s="168"/>
      <c r="AA76" s="168"/>
      <c r="AB76" s="157">
        <v>45912</v>
      </c>
      <c r="AC76" s="153"/>
      <c r="AD76" s="153"/>
      <c r="AE76" s="153"/>
      <c r="AF76" s="153"/>
      <c r="AG76" s="153"/>
      <c r="AH76" s="153"/>
      <c r="AI76" s="153"/>
      <c r="AJ76" s="153"/>
      <c r="AK76" s="147"/>
      <c r="AL76" s="147"/>
      <c r="AM76" s="147"/>
      <c r="AN76" s="152" t="str" cm="1">
        <f t="array" ref="AN76">IFERROR(
  LOOKUP(
    2,
    1/((AB76:AM76&lt;&gt;"")*(ISNUMBER(AB76:AM76)+ISNONTEXT(AB76:AM76)&gt;0)),
    {10,20,30,40,45,50,60,70,75,80,90,100}
  ) &amp; "%",
  "0%"
)</f>
        <v>10%</v>
      </c>
      <c r="AO76" s="153"/>
      <c r="AP76" s="153"/>
      <c r="AQ76" s="153"/>
      <c r="AR76" s="178"/>
      <c r="AS76" s="178"/>
      <c r="AT76" s="178"/>
      <c r="AU76" s="178"/>
      <c r="AV76" s="178"/>
      <c r="AW76" s="178"/>
      <c r="AX76" s="178"/>
      <c r="AY76" s="233"/>
      <c r="AZ76" s="147"/>
      <c r="BA76" s="147"/>
    </row>
    <row r="77" spans="1:53" ht="24.75" customHeight="1">
      <c r="A77" s="170"/>
      <c r="B77" s="147" t="s">
        <v>750</v>
      </c>
      <c r="C77" s="147" t="s">
        <v>13</v>
      </c>
      <c r="D77" s="147"/>
      <c r="E77" s="147" t="s">
        <v>26</v>
      </c>
      <c r="F77" s="196" t="s">
        <v>751</v>
      </c>
      <c r="G77" s="148" t="s">
        <v>752</v>
      </c>
      <c r="H77" s="147" t="s">
        <v>20</v>
      </c>
      <c r="I77" s="147"/>
      <c r="J77" s="147" t="s">
        <v>352</v>
      </c>
      <c r="K77" s="155" t="s">
        <v>37</v>
      </c>
      <c r="L77" s="147" t="s">
        <v>563</v>
      </c>
      <c r="M77" s="155" t="s">
        <v>753</v>
      </c>
      <c r="N77" s="147" t="s">
        <v>33</v>
      </c>
      <c r="O77" s="148" t="s">
        <v>754</v>
      </c>
      <c r="P77" s="148" t="s">
        <v>755</v>
      </c>
      <c r="Q77" s="147"/>
      <c r="R77" s="147"/>
      <c r="S77" s="147"/>
      <c r="T77" s="147"/>
      <c r="U77" s="147"/>
      <c r="V77" s="171" t="s">
        <v>756</v>
      </c>
      <c r="W77" s="167"/>
      <c r="X77" s="168" t="s">
        <v>757</v>
      </c>
      <c r="Y77" s="168"/>
      <c r="Z77" s="168"/>
      <c r="AA77" s="159" t="s">
        <v>758</v>
      </c>
      <c r="AB77" s="169">
        <v>45855</v>
      </c>
      <c r="AC77" s="153"/>
      <c r="AD77" s="153"/>
      <c r="AE77" s="153"/>
      <c r="AF77" s="169">
        <v>45962</v>
      </c>
      <c r="AG77" s="169">
        <v>45962</v>
      </c>
      <c r="AH77" s="153"/>
      <c r="AI77" s="153"/>
      <c r="AJ77" s="153"/>
      <c r="AK77" s="147"/>
      <c r="AL77" s="147"/>
      <c r="AM77" s="147"/>
      <c r="AN77" s="152" t="str" cm="1">
        <f t="array" ref="AN77">IFERROR(
  LOOKUP(
    2,
    1/((AB77:AM77&lt;&gt;"")*(ISNUMBER(AB77:AM77)+ISNONTEXT(AB77:AM77)&gt;0)),
    {10,20,30,40,45,50,60,70,75,80,90,100}
  ) &amp; "%",
  "0%"
)</f>
        <v>50%</v>
      </c>
      <c r="AO77" s="153" t="s">
        <v>309</v>
      </c>
      <c r="AP77" s="147" t="s">
        <v>398</v>
      </c>
      <c r="AQ77" s="147" t="s">
        <v>398</v>
      </c>
      <c r="AR77" s="147" t="s">
        <v>398</v>
      </c>
      <c r="AS77" s="147" t="s">
        <v>398</v>
      </c>
      <c r="AT77" s="147" t="s">
        <v>658</v>
      </c>
      <c r="AU77" s="178"/>
      <c r="AV77" s="178"/>
      <c r="AW77" s="174" t="s">
        <v>759</v>
      </c>
      <c r="AX77" s="174"/>
      <c r="AY77" s="233"/>
      <c r="AZ77" s="147"/>
      <c r="BA77" s="147"/>
    </row>
    <row r="78" spans="1:53" ht="24.75" customHeight="1">
      <c r="A78" s="170"/>
      <c r="B78" s="147" t="s">
        <v>750</v>
      </c>
      <c r="C78" s="147" t="s">
        <v>14</v>
      </c>
      <c r="D78" s="147"/>
      <c r="E78" s="147" t="s">
        <v>26</v>
      </c>
      <c r="F78" s="196" t="s">
        <v>760</v>
      </c>
      <c r="G78" s="148" t="s">
        <v>761</v>
      </c>
      <c r="H78" s="147" t="s">
        <v>20</v>
      </c>
      <c r="I78" s="147"/>
      <c r="J78" s="147" t="s">
        <v>499</v>
      </c>
      <c r="K78" s="155" t="s">
        <v>37</v>
      </c>
      <c r="L78" s="147" t="s">
        <v>499</v>
      </c>
      <c r="M78" s="155" t="s">
        <v>762</v>
      </c>
      <c r="N78" s="147" t="s">
        <v>32</v>
      </c>
      <c r="O78" s="148" t="s">
        <v>763</v>
      </c>
      <c r="P78" s="148" t="s">
        <v>764</v>
      </c>
      <c r="Q78" s="155"/>
      <c r="R78" s="155"/>
      <c r="S78" s="155"/>
      <c r="T78" s="155"/>
      <c r="U78" s="155"/>
      <c r="V78" s="171" t="s">
        <v>765</v>
      </c>
      <c r="W78" s="167"/>
      <c r="X78" s="168" t="s">
        <v>766</v>
      </c>
      <c r="Y78" s="168"/>
      <c r="Z78" s="168"/>
      <c r="AA78" s="177" t="s">
        <v>767</v>
      </c>
      <c r="AB78" s="169">
        <v>45229</v>
      </c>
      <c r="AC78" s="153"/>
      <c r="AD78" s="169">
        <v>45991</v>
      </c>
      <c r="AE78" s="153"/>
      <c r="AF78" s="169">
        <v>45992</v>
      </c>
      <c r="AG78" s="169">
        <v>45992</v>
      </c>
      <c r="AH78" s="153"/>
      <c r="AI78" s="153"/>
      <c r="AJ78" s="153"/>
      <c r="AK78" s="147"/>
      <c r="AL78" s="147"/>
      <c r="AM78" s="147"/>
      <c r="AN78" s="152" t="str" cm="1">
        <f t="array" ref="AN78">IFERROR(
  LOOKUP(
    2,
    1/((AB78:AM78&lt;&gt;"")*(ISNUMBER(AB78:AM78)+ISNONTEXT(AB78:AM78)&gt;0)),
    {10,20,30,40,45,50,60,70,75,80,90,100}
  ) &amp; "%",
  "0%"
)</f>
        <v>50%</v>
      </c>
      <c r="AO78" s="153" t="s">
        <v>731</v>
      </c>
      <c r="AP78" s="153"/>
      <c r="AQ78" s="153"/>
      <c r="AR78" s="147"/>
      <c r="AS78" s="147"/>
      <c r="AT78" s="147"/>
      <c r="AU78" s="147"/>
      <c r="AV78" s="147"/>
      <c r="AW78" s="174" t="s">
        <v>381</v>
      </c>
      <c r="AX78" s="174"/>
      <c r="AY78" s="233"/>
      <c r="AZ78" s="147"/>
      <c r="BA78" s="147"/>
    </row>
    <row r="79" spans="1:53" ht="24.75" customHeight="1">
      <c r="A79" s="170"/>
      <c r="B79" s="147" t="s">
        <v>2</v>
      </c>
      <c r="C79" s="147"/>
      <c r="D79" s="147"/>
      <c r="E79" s="147"/>
      <c r="F79" s="195" t="s">
        <v>768</v>
      </c>
      <c r="G79" s="148" t="s">
        <v>769</v>
      </c>
      <c r="H79" s="147" t="s">
        <v>20</v>
      </c>
      <c r="I79" s="147"/>
      <c r="J79" s="147" t="s">
        <v>499</v>
      </c>
      <c r="K79" s="155" t="s">
        <v>37</v>
      </c>
      <c r="L79" s="147" t="s">
        <v>499</v>
      </c>
      <c r="M79" s="155" t="s">
        <v>500</v>
      </c>
      <c r="N79" s="147" t="s">
        <v>32</v>
      </c>
      <c r="O79" s="148" t="s">
        <v>770</v>
      </c>
      <c r="P79" s="148" t="s">
        <v>771</v>
      </c>
      <c r="Q79" s="147"/>
      <c r="R79" s="147"/>
      <c r="S79" s="147"/>
      <c r="T79" s="147"/>
      <c r="U79" s="147"/>
      <c r="V79" s="171" t="s">
        <v>772</v>
      </c>
      <c r="W79" s="167"/>
      <c r="X79" s="168" t="s">
        <v>773</v>
      </c>
      <c r="Y79" s="168"/>
      <c r="Z79" s="168"/>
      <c r="AA79" s="159" t="s">
        <v>774</v>
      </c>
      <c r="AB79" s="157">
        <v>45912</v>
      </c>
      <c r="AC79" s="153"/>
      <c r="AD79" s="153"/>
      <c r="AE79" s="153"/>
      <c r="AF79" s="153"/>
      <c r="AG79" s="153"/>
      <c r="AH79" s="153"/>
      <c r="AI79" s="153"/>
      <c r="AJ79" s="153"/>
      <c r="AK79" s="147"/>
      <c r="AL79" s="147"/>
      <c r="AM79" s="147"/>
      <c r="AN79" s="152" t="str" cm="1">
        <f t="array" ref="AN79">IFERROR(
  LOOKUP(
    2,
    1/((AB79:AM79&lt;&gt;"")*(ISNUMBER(AB79:AM79)+ISNONTEXT(AB79:AM79)&gt;0)),
    {10,20,30,40,45,50,60,70,75,80,90,100}
  ) &amp; "%",
  "0%"
)</f>
        <v>10%</v>
      </c>
      <c r="AO79" s="153"/>
      <c r="AP79" s="153"/>
      <c r="AQ79" s="153"/>
      <c r="AR79" s="147"/>
      <c r="AS79" s="147"/>
      <c r="AT79" s="147"/>
      <c r="AU79" s="147"/>
      <c r="AV79" s="147"/>
      <c r="AW79" s="147"/>
      <c r="AX79" s="147"/>
      <c r="AY79" s="233"/>
      <c r="AZ79" s="147"/>
      <c r="BA79" s="147"/>
    </row>
    <row r="80" spans="1:53" ht="24.75" customHeight="1">
      <c r="A80" s="170"/>
      <c r="B80" s="147" t="s">
        <v>3</v>
      </c>
      <c r="C80" s="147"/>
      <c r="D80" s="147"/>
      <c r="E80" s="147" t="s">
        <v>26</v>
      </c>
      <c r="F80" s="196" t="s">
        <v>775</v>
      </c>
      <c r="G80" s="148" t="s">
        <v>776</v>
      </c>
      <c r="H80" s="147" t="s">
        <v>20</v>
      </c>
      <c r="I80" s="147"/>
      <c r="J80" s="147" t="s">
        <v>324</v>
      </c>
      <c r="K80" s="155" t="s">
        <v>37</v>
      </c>
      <c r="L80" s="147" t="s">
        <v>324</v>
      </c>
      <c r="M80" s="155" t="s">
        <v>325</v>
      </c>
      <c r="N80" s="147" t="s">
        <v>32</v>
      </c>
      <c r="O80" s="148" t="s">
        <v>777</v>
      </c>
      <c r="P80" s="148" t="s">
        <v>778</v>
      </c>
      <c r="Q80" s="155"/>
      <c r="R80" s="155"/>
      <c r="S80" s="155"/>
      <c r="T80" s="155"/>
      <c r="U80" s="155"/>
      <c r="V80" s="155" t="s">
        <v>779</v>
      </c>
      <c r="W80" s="147"/>
      <c r="X80" s="161" t="s">
        <v>780</v>
      </c>
      <c r="Y80" s="161"/>
      <c r="Z80" s="148" t="s">
        <v>781</v>
      </c>
      <c r="AA80" s="148" t="s">
        <v>782</v>
      </c>
      <c r="AB80" s="157">
        <v>45907</v>
      </c>
      <c r="AC80" s="147"/>
      <c r="AD80" s="147"/>
      <c r="AE80" s="147"/>
      <c r="AF80" s="147"/>
      <c r="AG80" s="147"/>
      <c r="AH80" s="147"/>
      <c r="AI80" s="147"/>
      <c r="AJ80" s="147"/>
      <c r="AK80" s="147"/>
      <c r="AL80" s="147"/>
      <c r="AM80" s="147"/>
      <c r="AN80" s="152" t="str" cm="1">
        <f t="array" ref="AN80">IFERROR(
  LOOKUP(
    2,
    1/((AB80:AM80&lt;&gt;"")*(ISNUMBER(AB80:AM80)+ISNONTEXT(AB80:AM80)&gt;0)),
    {10,20,30,40,45,50,60,70,75,80,90,100}
  ) &amp; "%",
  "0%"
)</f>
        <v>10%</v>
      </c>
      <c r="AO80" s="147"/>
      <c r="AP80" s="147"/>
      <c r="AQ80" s="147"/>
      <c r="AR80" s="147"/>
      <c r="AS80" s="147"/>
      <c r="AT80" s="147"/>
      <c r="AU80" s="147"/>
      <c r="AV80" s="147"/>
      <c r="AW80" s="147"/>
      <c r="AX80" s="147"/>
      <c r="AY80" s="233"/>
      <c r="AZ80" s="147"/>
      <c r="BA80" s="147"/>
    </row>
    <row r="81" spans="1:53" s="2" customFormat="1" ht="24.75" customHeight="1">
      <c r="A81" s="170"/>
      <c r="B81" s="147" t="s">
        <v>2</v>
      </c>
      <c r="C81" s="147"/>
      <c r="D81" s="147"/>
      <c r="E81" s="147"/>
      <c r="F81" s="148" t="s">
        <v>783</v>
      </c>
      <c r="G81" s="148" t="s">
        <v>784</v>
      </c>
      <c r="H81" s="147" t="s">
        <v>20</v>
      </c>
      <c r="I81" s="147"/>
      <c r="J81" s="147"/>
      <c r="K81" s="155" t="s">
        <v>324</v>
      </c>
      <c r="L81" s="147"/>
      <c r="M81" s="155"/>
      <c r="N81" s="147"/>
      <c r="O81" s="148"/>
      <c r="P81" s="148"/>
      <c r="Q81" s="147"/>
      <c r="R81" s="147"/>
      <c r="S81" s="147"/>
      <c r="T81" s="147"/>
      <c r="U81" s="147"/>
      <c r="V81" s="155"/>
      <c r="W81" s="147"/>
      <c r="X81" s="148"/>
      <c r="Y81" s="148"/>
      <c r="Z81" s="148"/>
      <c r="AA81" s="148"/>
      <c r="AB81" s="147"/>
      <c r="AC81" s="147"/>
      <c r="AD81" s="147"/>
      <c r="AE81" s="147"/>
      <c r="AF81" s="147"/>
      <c r="AG81" s="147"/>
      <c r="AH81" s="147"/>
      <c r="AI81" s="147"/>
      <c r="AJ81" s="147"/>
      <c r="AK81" s="147"/>
      <c r="AL81" s="147"/>
      <c r="AM81" s="147"/>
      <c r="AN81" s="152" t="str" cm="1">
        <f t="array" ref="AN81">IFERROR(
  LOOKUP(
    2,
    1/((AB81:AM81&lt;&gt;"")*(ISNUMBER(AB81:AM81)+ISNONTEXT(AB81:AM81)&gt;0)),
    {10,20,30,40,45,50,60,70,75,80,90,100}
  ) &amp; "%",
  "0%"
)</f>
        <v>0%</v>
      </c>
      <c r="AO81" s="147"/>
      <c r="AP81" s="147"/>
      <c r="AQ81" s="147"/>
      <c r="AR81" s="147"/>
      <c r="AS81" s="147"/>
      <c r="AT81" s="147"/>
      <c r="AU81" s="147"/>
      <c r="AV81" s="147"/>
      <c r="AW81" s="147"/>
      <c r="AX81" s="147"/>
      <c r="AY81" s="233"/>
      <c r="AZ81" s="147"/>
      <c r="BA81" s="147"/>
    </row>
    <row r="82" spans="1:53" s="2" customFormat="1" ht="24.75" customHeight="1">
      <c r="A82" s="170"/>
      <c r="B82" s="147" t="s">
        <v>2</v>
      </c>
      <c r="C82" s="147"/>
      <c r="D82" s="147"/>
      <c r="E82" s="147"/>
      <c r="F82" s="148" t="s">
        <v>785</v>
      </c>
      <c r="G82" s="148" t="s">
        <v>786</v>
      </c>
      <c r="H82" s="147" t="s">
        <v>20</v>
      </c>
      <c r="I82" s="147"/>
      <c r="J82" s="147"/>
      <c r="K82" s="155" t="s">
        <v>324</v>
      </c>
      <c r="L82" s="147"/>
      <c r="M82" s="155"/>
      <c r="N82" s="147"/>
      <c r="O82" s="148"/>
      <c r="P82" s="148"/>
      <c r="Q82" s="147"/>
      <c r="R82" s="147"/>
      <c r="S82" s="147"/>
      <c r="T82" s="147"/>
      <c r="U82" s="147"/>
      <c r="V82" s="155"/>
      <c r="W82" s="147"/>
      <c r="X82" s="148"/>
      <c r="Y82" s="148"/>
      <c r="Z82" s="148"/>
      <c r="AA82" s="148"/>
      <c r="AB82" s="147"/>
      <c r="AC82" s="147"/>
      <c r="AD82" s="147"/>
      <c r="AE82" s="147"/>
      <c r="AF82" s="147"/>
      <c r="AG82" s="147"/>
      <c r="AH82" s="147"/>
      <c r="AI82" s="147"/>
      <c r="AJ82" s="147"/>
      <c r="AK82" s="147"/>
      <c r="AL82" s="147"/>
      <c r="AM82" s="147"/>
      <c r="AN82" s="152" t="str" cm="1">
        <f t="array" ref="AN82">IFERROR(
  LOOKUP(
    2,
    1/((AB82:AM82&lt;&gt;"")*(ISNUMBER(AB82:AM82)+ISNONTEXT(AB82:AM82)&gt;0)),
    {10,20,30,40,45,50,60,70,75,80,90,100}
  ) &amp; "%",
  "0%"
)</f>
        <v>0%</v>
      </c>
      <c r="AO82" s="147"/>
      <c r="AP82" s="147"/>
      <c r="AQ82" s="147"/>
      <c r="AR82" s="147"/>
      <c r="AS82" s="147"/>
      <c r="AT82" s="147"/>
      <c r="AU82" s="147"/>
      <c r="AV82" s="147"/>
      <c r="AW82" s="147"/>
      <c r="AX82" s="147"/>
      <c r="AY82" s="233"/>
      <c r="AZ82" s="147"/>
      <c r="BA82" s="147"/>
    </row>
    <row r="83" spans="1:53" s="2" customFormat="1" ht="24.75" customHeight="1">
      <c r="A83" s="170"/>
      <c r="B83" s="147" t="s">
        <v>2</v>
      </c>
      <c r="C83" s="147"/>
      <c r="D83" s="147"/>
      <c r="E83" s="147"/>
      <c r="F83" s="148" t="s">
        <v>787</v>
      </c>
      <c r="G83" s="148" t="s">
        <v>788</v>
      </c>
      <c r="H83" s="147" t="s">
        <v>20</v>
      </c>
      <c r="I83" s="147"/>
      <c r="J83" s="147"/>
      <c r="K83" s="155" t="s">
        <v>324</v>
      </c>
      <c r="L83" s="147"/>
      <c r="M83" s="155"/>
      <c r="N83" s="147"/>
      <c r="O83" s="148"/>
      <c r="P83" s="148"/>
      <c r="Q83" s="147"/>
      <c r="R83" s="147"/>
      <c r="S83" s="147"/>
      <c r="T83" s="147"/>
      <c r="U83" s="147"/>
      <c r="V83" s="155"/>
      <c r="W83" s="147"/>
      <c r="X83" s="148"/>
      <c r="Y83" s="148"/>
      <c r="Z83" s="148"/>
      <c r="AA83" s="148"/>
      <c r="AB83" s="147"/>
      <c r="AC83" s="147"/>
      <c r="AD83" s="147"/>
      <c r="AE83" s="147"/>
      <c r="AF83" s="147"/>
      <c r="AG83" s="147"/>
      <c r="AH83" s="147"/>
      <c r="AI83" s="147"/>
      <c r="AJ83" s="147"/>
      <c r="AK83" s="147"/>
      <c r="AL83" s="147"/>
      <c r="AM83" s="147"/>
      <c r="AN83" s="152" t="str" cm="1">
        <f t="array" ref="AN83">IFERROR(
  LOOKUP(
    2,
    1/((AB83:AM83&lt;&gt;"")*(ISNUMBER(AB83:AM83)+ISNONTEXT(AB83:AM83)&gt;0)),
    {10,20,30,40,45,50,60,70,75,80,90,100}
  ) &amp; "%",
  "0%"
)</f>
        <v>0%</v>
      </c>
      <c r="AO83" s="147"/>
      <c r="AP83" s="147"/>
      <c r="AQ83" s="147"/>
      <c r="AR83" s="147"/>
      <c r="AS83" s="147"/>
      <c r="AT83" s="147"/>
      <c r="AU83" s="147"/>
      <c r="AV83" s="147"/>
      <c r="AW83" s="147"/>
      <c r="AX83" s="147"/>
      <c r="AY83" s="233"/>
      <c r="AZ83" s="147"/>
      <c r="BA83" s="147"/>
    </row>
    <row r="84" spans="1:53" s="2" customFormat="1" ht="24.75" customHeight="1">
      <c r="A84" s="170"/>
      <c r="B84" s="147" t="s">
        <v>2</v>
      </c>
      <c r="C84" s="147"/>
      <c r="D84" s="147"/>
      <c r="E84" s="147"/>
      <c r="F84" s="148" t="s">
        <v>789</v>
      </c>
      <c r="G84" s="148" t="s">
        <v>790</v>
      </c>
      <c r="H84" s="147" t="s">
        <v>20</v>
      </c>
      <c r="I84" s="147"/>
      <c r="J84" s="147"/>
      <c r="K84" s="155" t="s">
        <v>324</v>
      </c>
      <c r="L84" s="147"/>
      <c r="M84" s="155"/>
      <c r="N84" s="147"/>
      <c r="O84" s="148"/>
      <c r="P84" s="148"/>
      <c r="Q84" s="147"/>
      <c r="R84" s="147"/>
      <c r="S84" s="147"/>
      <c r="T84" s="147"/>
      <c r="U84" s="147"/>
      <c r="V84" s="155"/>
      <c r="W84" s="147"/>
      <c r="X84" s="148"/>
      <c r="Y84" s="148"/>
      <c r="Z84" s="148"/>
      <c r="AA84" s="148"/>
      <c r="AB84" s="147"/>
      <c r="AC84" s="147"/>
      <c r="AD84" s="147"/>
      <c r="AE84" s="147"/>
      <c r="AF84" s="147"/>
      <c r="AG84" s="147"/>
      <c r="AH84" s="147"/>
      <c r="AI84" s="147"/>
      <c r="AJ84" s="147"/>
      <c r="AK84" s="147"/>
      <c r="AL84" s="147"/>
      <c r="AM84" s="147"/>
      <c r="AN84" s="152" t="str" cm="1">
        <f t="array" ref="AN84">IFERROR(
  LOOKUP(
    2,
    1/((AB84:AM84&lt;&gt;"")*(ISNUMBER(AB84:AM84)+ISNONTEXT(AB84:AM84)&gt;0)),
    {10,20,30,40,45,50,60,70,75,80,90,100}
  ) &amp; "%",
  "0%"
)</f>
        <v>0%</v>
      </c>
      <c r="AO84" s="147"/>
      <c r="AP84" s="147"/>
      <c r="AQ84" s="147"/>
      <c r="AR84" s="147"/>
      <c r="AS84" s="147"/>
      <c r="AT84" s="147"/>
      <c r="AU84" s="147"/>
      <c r="AV84" s="147"/>
      <c r="AW84" s="147"/>
      <c r="AX84" s="147"/>
      <c r="AY84" s="233"/>
      <c r="AZ84" s="147"/>
      <c r="BA84" s="147"/>
    </row>
    <row r="85" spans="1:53" s="2" customFormat="1" ht="24.75" customHeight="1">
      <c r="A85" s="170"/>
      <c r="B85" s="147" t="s">
        <v>2</v>
      </c>
      <c r="C85" s="147"/>
      <c r="D85" s="147"/>
      <c r="E85" s="147"/>
      <c r="F85" s="148" t="s">
        <v>791</v>
      </c>
      <c r="G85" s="148" t="s">
        <v>792</v>
      </c>
      <c r="H85" s="147" t="s">
        <v>20</v>
      </c>
      <c r="I85" s="147"/>
      <c r="J85" s="147"/>
      <c r="K85" s="155" t="s">
        <v>324</v>
      </c>
      <c r="L85" s="147"/>
      <c r="M85" s="155"/>
      <c r="N85" s="147"/>
      <c r="O85" s="148"/>
      <c r="P85" s="148"/>
      <c r="Q85" s="147"/>
      <c r="R85" s="147"/>
      <c r="S85" s="147"/>
      <c r="T85" s="147"/>
      <c r="U85" s="147"/>
      <c r="V85" s="155"/>
      <c r="W85" s="147"/>
      <c r="X85" s="148"/>
      <c r="Y85" s="148"/>
      <c r="Z85" s="148"/>
      <c r="AA85" s="148"/>
      <c r="AB85" s="147"/>
      <c r="AC85" s="147"/>
      <c r="AD85" s="147"/>
      <c r="AE85" s="147"/>
      <c r="AF85" s="147"/>
      <c r="AG85" s="147"/>
      <c r="AH85" s="147"/>
      <c r="AI85" s="147"/>
      <c r="AJ85" s="147"/>
      <c r="AK85" s="147"/>
      <c r="AL85" s="147"/>
      <c r="AM85" s="147"/>
      <c r="AN85" s="152" t="str" cm="1">
        <f t="array" ref="AN85">IFERROR(
  LOOKUP(
    2,
    1/((AB85:AM85&lt;&gt;"")*(ISNUMBER(AB85:AM85)+ISNONTEXT(AB85:AM85)&gt;0)),
    {10,20,30,40,45,50,60,70,75,80,90,100}
  ) &amp; "%",
  "0%"
)</f>
        <v>0%</v>
      </c>
      <c r="AO85" s="147"/>
      <c r="AP85" s="147"/>
      <c r="AQ85" s="147"/>
      <c r="AR85" s="147"/>
      <c r="AS85" s="147"/>
      <c r="AT85" s="147"/>
      <c r="AU85" s="147"/>
      <c r="AV85" s="147"/>
      <c r="AW85" s="147"/>
      <c r="AX85" s="147"/>
      <c r="AY85" s="233"/>
      <c r="AZ85" s="147"/>
      <c r="BA85" s="147"/>
    </row>
    <row r="86" spans="1:53" s="2" customFormat="1" ht="24.75" customHeight="1">
      <c r="A86" s="170"/>
      <c r="B86" s="147" t="s">
        <v>2</v>
      </c>
      <c r="C86" s="147"/>
      <c r="D86" s="147"/>
      <c r="E86" s="147"/>
      <c r="F86" s="148" t="s">
        <v>793</v>
      </c>
      <c r="G86" s="148" t="s">
        <v>794</v>
      </c>
      <c r="H86" s="147" t="s">
        <v>20</v>
      </c>
      <c r="I86" s="147"/>
      <c r="J86" s="147" t="s">
        <v>410</v>
      </c>
      <c r="K86" s="155" t="s">
        <v>37</v>
      </c>
      <c r="L86" s="147" t="s">
        <v>410</v>
      </c>
      <c r="M86" s="155"/>
      <c r="N86" s="147"/>
      <c r="O86" s="148"/>
      <c r="P86" s="148"/>
      <c r="Q86" s="147"/>
      <c r="R86" s="147"/>
      <c r="S86" s="147"/>
      <c r="T86" s="147"/>
      <c r="U86" s="147"/>
      <c r="V86" s="155"/>
      <c r="W86" s="147"/>
      <c r="X86" s="148"/>
      <c r="Y86" s="148"/>
      <c r="Z86" s="148"/>
      <c r="AA86" s="148"/>
      <c r="AB86" s="147"/>
      <c r="AC86" s="147"/>
      <c r="AD86" s="147"/>
      <c r="AE86" s="147"/>
      <c r="AF86" s="147"/>
      <c r="AG86" s="147"/>
      <c r="AH86" s="147"/>
      <c r="AI86" s="147"/>
      <c r="AJ86" s="147"/>
      <c r="AK86" s="147"/>
      <c r="AL86" s="147"/>
      <c r="AM86" s="147"/>
      <c r="AN86" s="152" t="str" cm="1">
        <f t="array" ref="AN86">IFERROR(
  LOOKUP(
    2,
    1/((AB86:AM86&lt;&gt;"")*(ISNUMBER(AB86:AM86)+ISNONTEXT(AB86:AM86)&gt;0)),
    {10,20,30,40,45,50,60,70,75,80,90,100}
  ) &amp; "%",
  "0%"
)</f>
        <v>0%</v>
      </c>
      <c r="AO86" s="147"/>
      <c r="AP86" s="147"/>
      <c r="AQ86" s="147"/>
      <c r="AR86" s="147"/>
      <c r="AS86" s="147"/>
      <c r="AT86" s="147"/>
      <c r="AU86" s="147"/>
      <c r="AV86" s="147"/>
      <c r="AW86" s="147"/>
      <c r="AX86" s="147"/>
      <c r="AY86" s="233"/>
      <c r="AZ86" s="147"/>
      <c r="BA86" s="147"/>
    </row>
    <row r="87" spans="1:53" s="2" customFormat="1" ht="24.75" customHeight="1">
      <c r="A87" s="170"/>
      <c r="B87" s="147" t="s">
        <v>2</v>
      </c>
      <c r="C87" s="147"/>
      <c r="D87" s="147"/>
      <c r="E87" s="147"/>
      <c r="F87" s="148" t="s">
        <v>795</v>
      </c>
      <c r="G87" s="148" t="s">
        <v>796</v>
      </c>
      <c r="H87" s="147" t="s">
        <v>20</v>
      </c>
      <c r="I87" s="147"/>
      <c r="J87" s="147"/>
      <c r="K87" s="155" t="s">
        <v>324</v>
      </c>
      <c r="L87" s="147"/>
      <c r="M87" s="155"/>
      <c r="N87" s="147"/>
      <c r="O87" s="148"/>
      <c r="P87" s="148"/>
      <c r="Q87" s="147"/>
      <c r="R87" s="147"/>
      <c r="S87" s="147"/>
      <c r="T87" s="147"/>
      <c r="U87" s="147"/>
      <c r="V87" s="155"/>
      <c r="W87" s="147"/>
      <c r="X87" s="148"/>
      <c r="Y87" s="148"/>
      <c r="Z87" s="148"/>
      <c r="AA87" s="148"/>
      <c r="AB87" s="147"/>
      <c r="AC87" s="147"/>
      <c r="AD87" s="147"/>
      <c r="AE87" s="147"/>
      <c r="AF87" s="147"/>
      <c r="AG87" s="147"/>
      <c r="AH87" s="147"/>
      <c r="AI87" s="147"/>
      <c r="AJ87" s="147"/>
      <c r="AK87" s="147"/>
      <c r="AL87" s="147"/>
      <c r="AM87" s="147"/>
      <c r="AN87" s="152" t="str" cm="1">
        <f t="array" ref="AN87">IFERROR(
  LOOKUP(
    2,
    1/((AB87:AM87&lt;&gt;"")*(ISNUMBER(AB87:AM87)+ISNONTEXT(AB87:AM87)&gt;0)),
    {10,20,30,40,45,50,60,70,75,80,90,100}
  ) &amp; "%",
  "0%"
)</f>
        <v>0%</v>
      </c>
      <c r="AO87" s="147"/>
      <c r="AP87" s="147"/>
      <c r="AQ87" s="147"/>
      <c r="AR87" s="147"/>
      <c r="AS87" s="147"/>
      <c r="AT87" s="147"/>
      <c r="AU87" s="147"/>
      <c r="AV87" s="147"/>
      <c r="AW87" s="147"/>
      <c r="AX87" s="147"/>
      <c r="AY87" s="233"/>
      <c r="AZ87" s="147"/>
      <c r="BA87" s="147"/>
    </row>
    <row r="88" spans="1:53" s="2" customFormat="1" ht="24.75" customHeight="1">
      <c r="A88" s="145"/>
      <c r="B88" s="147" t="s">
        <v>2</v>
      </c>
      <c r="C88" s="147"/>
      <c r="D88" s="147"/>
      <c r="E88" s="147"/>
      <c r="F88" s="148" t="s">
        <v>797</v>
      </c>
      <c r="G88" s="148" t="s">
        <v>798</v>
      </c>
      <c r="H88" s="147" t="s">
        <v>20</v>
      </c>
      <c r="I88" s="147"/>
      <c r="J88" s="147"/>
      <c r="K88" s="155" t="s">
        <v>324</v>
      </c>
      <c r="L88" s="147"/>
      <c r="M88" s="155"/>
      <c r="N88" s="147"/>
      <c r="O88" s="148"/>
      <c r="P88" s="148"/>
      <c r="Q88" s="147"/>
      <c r="R88" s="147"/>
      <c r="S88" s="147"/>
      <c r="T88" s="147"/>
      <c r="U88" s="147"/>
      <c r="V88" s="155"/>
      <c r="W88" s="147"/>
      <c r="X88" s="148"/>
      <c r="Y88" s="148"/>
      <c r="Z88" s="148"/>
      <c r="AA88" s="148"/>
      <c r="AB88" s="147"/>
      <c r="AC88" s="147"/>
      <c r="AD88" s="147"/>
      <c r="AE88" s="147"/>
      <c r="AF88" s="147"/>
      <c r="AG88" s="147"/>
      <c r="AH88" s="147"/>
      <c r="AI88" s="147"/>
      <c r="AJ88" s="147"/>
      <c r="AK88" s="147"/>
      <c r="AL88" s="147"/>
      <c r="AM88" s="147"/>
      <c r="AN88" s="152" t="str" cm="1">
        <f t="array" ref="AN88">IFERROR(
  LOOKUP(
    2,
    1/((AB88:AM88&lt;&gt;"")*(ISNUMBER(AB88:AM88)+ISNONTEXT(AB88:AM88)&gt;0)),
    {10,20,30,40,45,50,60,70,75,80,90,100}
  ) &amp; "%",
  "0%"
)</f>
        <v>0%</v>
      </c>
      <c r="AO88" s="147"/>
      <c r="AP88" s="147"/>
      <c r="AQ88" s="147"/>
      <c r="AR88" s="147"/>
      <c r="AS88" s="147"/>
      <c r="AT88" s="147"/>
      <c r="AU88" s="147"/>
      <c r="AV88" s="147"/>
      <c r="AW88" s="147"/>
      <c r="AX88" s="147"/>
      <c r="AY88" s="233"/>
      <c r="AZ88" s="147"/>
      <c r="BA88" s="147"/>
    </row>
    <row r="89" spans="1:53" ht="24.75" customHeight="1">
      <c r="A89" s="145"/>
      <c r="B89" s="147" t="s">
        <v>3</v>
      </c>
      <c r="C89" s="147"/>
      <c r="D89" s="147"/>
      <c r="E89" s="147" t="s">
        <v>26</v>
      </c>
      <c r="F89" s="148" t="s">
        <v>799</v>
      </c>
      <c r="G89" s="148" t="s">
        <v>800</v>
      </c>
      <c r="H89" s="147" t="s">
        <v>21</v>
      </c>
      <c r="I89" s="147" t="s">
        <v>23</v>
      </c>
      <c r="J89" s="147" t="s">
        <v>363</v>
      </c>
      <c r="K89" s="155" t="s">
        <v>801</v>
      </c>
      <c r="L89" s="147" t="s">
        <v>363</v>
      </c>
      <c r="M89" s="155" t="s">
        <v>802</v>
      </c>
      <c r="N89" s="147" t="s">
        <v>337</v>
      </c>
      <c r="O89" s="148" t="s">
        <v>803</v>
      </c>
      <c r="P89" s="148" t="s">
        <v>804</v>
      </c>
      <c r="Q89" s="147"/>
      <c r="R89" s="147"/>
      <c r="S89" s="147"/>
      <c r="T89" s="147"/>
      <c r="U89" s="147"/>
      <c r="V89" s="160">
        <v>773371442</v>
      </c>
      <c r="W89" s="149"/>
      <c r="X89" s="161" t="s">
        <v>805</v>
      </c>
      <c r="Y89" s="161"/>
      <c r="Z89" s="148" t="s">
        <v>806</v>
      </c>
      <c r="AA89" s="148" t="s">
        <v>807</v>
      </c>
      <c r="AB89" s="157">
        <v>45995</v>
      </c>
      <c r="AC89" s="147"/>
      <c r="AD89" s="147"/>
      <c r="AE89" s="147"/>
      <c r="AF89" s="147"/>
      <c r="AG89" s="147"/>
      <c r="AH89" s="147"/>
      <c r="AI89" s="147"/>
      <c r="AJ89" s="147"/>
      <c r="AK89" s="147"/>
      <c r="AL89" s="147"/>
      <c r="AM89" s="147"/>
      <c r="AN89" s="152" t="str" cm="1">
        <f t="array" ref="AN89">IFERROR(
  LOOKUP(
    2,
    1/((AB89:AM89&lt;&gt;"")*(ISNUMBER(AB89:AM89)+ISNONTEXT(AB89:AM89)&gt;0)),
    {10,20,30,40,45,50,60,70,75,80,90,100}
  ) &amp; "%",
  "0%"
)</f>
        <v>10%</v>
      </c>
      <c r="AO89" s="147"/>
      <c r="AP89" s="147"/>
      <c r="AQ89" s="147"/>
      <c r="AR89" s="147"/>
      <c r="AS89" s="147"/>
      <c r="AT89" s="147"/>
      <c r="AU89" s="147"/>
      <c r="AV89" s="147"/>
      <c r="AW89" s="147"/>
      <c r="AX89" s="147"/>
      <c r="AY89" s="233"/>
      <c r="AZ89" s="147"/>
      <c r="BA89" s="147"/>
    </row>
    <row r="90" spans="1:53" s="2" customFormat="1" ht="24.75" customHeight="1">
      <c r="A90" s="145"/>
      <c r="B90" s="147" t="s">
        <v>2</v>
      </c>
      <c r="C90" s="147"/>
      <c r="D90" s="147"/>
      <c r="E90" s="147" t="s">
        <v>26</v>
      </c>
      <c r="F90" s="148" t="s">
        <v>808</v>
      </c>
      <c r="G90" s="148" t="s">
        <v>809</v>
      </c>
      <c r="H90" s="147" t="s">
        <v>21</v>
      </c>
      <c r="I90" s="147" t="s">
        <v>22</v>
      </c>
      <c r="J90" s="147" t="s">
        <v>39</v>
      </c>
      <c r="K90" s="155" t="s">
        <v>801</v>
      </c>
      <c r="L90" s="147" t="s">
        <v>39</v>
      </c>
      <c r="M90" s="155" t="s">
        <v>39</v>
      </c>
      <c r="N90" s="147" t="s">
        <v>810</v>
      </c>
      <c r="O90" s="148"/>
      <c r="P90" s="148"/>
      <c r="Q90" s="147"/>
      <c r="R90" s="147"/>
      <c r="S90" s="147"/>
      <c r="T90" s="147"/>
      <c r="U90" s="147"/>
      <c r="V90" s="155"/>
      <c r="W90" s="147"/>
      <c r="X90" s="148"/>
      <c r="Y90" s="148"/>
      <c r="Z90" s="161" t="s">
        <v>811</v>
      </c>
      <c r="AA90" s="148"/>
      <c r="AB90" s="147"/>
      <c r="AC90" s="147"/>
      <c r="AD90" s="147"/>
      <c r="AE90" s="147"/>
      <c r="AF90" s="147"/>
      <c r="AG90" s="147"/>
      <c r="AH90" s="147"/>
      <c r="AI90" s="147"/>
      <c r="AJ90" s="147"/>
      <c r="AK90" s="147"/>
      <c r="AL90" s="147"/>
      <c r="AM90" s="147"/>
      <c r="AN90" s="152" t="str" cm="1">
        <f t="array" ref="AN90">IFERROR(
  LOOKUP(
    2,
    1/((AB90:AM90&lt;&gt;"")*(ISNUMBER(AB90:AM90)+ISNONTEXT(AB90:AM90)&gt;0)),
    {10,20,30,40,45,50,60,70,75,80,90,100}
  ) &amp; "%",
  "0%"
)</f>
        <v>0%</v>
      </c>
      <c r="AO90" s="147"/>
      <c r="AP90" s="147"/>
      <c r="AQ90" s="147"/>
      <c r="AR90" s="147"/>
      <c r="AS90" s="147"/>
      <c r="AT90" s="147"/>
      <c r="AU90" s="147"/>
      <c r="AV90" s="147"/>
      <c r="AW90" s="147"/>
      <c r="AX90" s="147"/>
      <c r="AY90" s="233"/>
      <c r="AZ90" s="147"/>
      <c r="BA90" s="147"/>
    </row>
    <row r="91" spans="1:53" s="2" customFormat="1" ht="24.75" customHeight="1">
      <c r="A91" s="145"/>
      <c r="B91" s="147" t="s">
        <v>2</v>
      </c>
      <c r="C91" s="147"/>
      <c r="D91" s="147"/>
      <c r="E91" s="147" t="s">
        <v>26</v>
      </c>
      <c r="F91" s="148" t="s">
        <v>812</v>
      </c>
      <c r="G91" s="148" t="s">
        <v>813</v>
      </c>
      <c r="H91" s="147" t="s">
        <v>21</v>
      </c>
      <c r="I91" s="147" t="s">
        <v>22</v>
      </c>
      <c r="J91" s="147" t="s">
        <v>39</v>
      </c>
      <c r="K91" s="155" t="s">
        <v>801</v>
      </c>
      <c r="L91" s="147" t="s">
        <v>39</v>
      </c>
      <c r="M91" s="155" t="s">
        <v>39</v>
      </c>
      <c r="N91" s="147" t="s">
        <v>814</v>
      </c>
      <c r="O91" s="148" t="s">
        <v>815</v>
      </c>
      <c r="P91" s="148" t="s">
        <v>816</v>
      </c>
      <c r="Q91" s="147"/>
      <c r="R91" s="147"/>
      <c r="S91" s="147"/>
      <c r="T91" s="147"/>
      <c r="U91" s="147"/>
      <c r="V91" s="155">
        <v>90053309</v>
      </c>
      <c r="W91" s="147"/>
      <c r="X91" s="148" t="s">
        <v>817</v>
      </c>
      <c r="Y91" s="148"/>
      <c r="Z91" s="161" t="s">
        <v>818</v>
      </c>
      <c r="AA91" s="148" t="s">
        <v>819</v>
      </c>
      <c r="AB91" s="147"/>
      <c r="AC91" s="147"/>
      <c r="AD91" s="147"/>
      <c r="AE91" s="147"/>
      <c r="AF91" s="147"/>
      <c r="AG91" s="147"/>
      <c r="AH91" s="147"/>
      <c r="AI91" s="147"/>
      <c r="AJ91" s="147"/>
      <c r="AK91" s="147"/>
      <c r="AL91" s="147"/>
      <c r="AM91" s="147"/>
      <c r="AN91" s="152" t="str" cm="1">
        <f t="array" ref="AN91">IFERROR(
  LOOKUP(
    2,
    1/((AB91:AM91&lt;&gt;"")*(ISNUMBER(AB91:AM91)+ISNONTEXT(AB91:AM91)&gt;0)),
    {10,20,30,40,45,50,60,70,75,80,90,100}
  ) &amp; "%",
  "0%"
)</f>
        <v>0%</v>
      </c>
      <c r="AO91" s="147"/>
      <c r="AP91" s="147"/>
      <c r="AQ91" s="147"/>
      <c r="AR91" s="147"/>
      <c r="AS91" s="147"/>
      <c r="AT91" s="147"/>
      <c r="AU91" s="147"/>
      <c r="AV91" s="147"/>
      <c r="AW91" s="147"/>
      <c r="AX91" s="147"/>
      <c r="AY91" s="233" t="s">
        <v>820</v>
      </c>
      <c r="AZ91" s="147"/>
      <c r="BA91" s="147"/>
    </row>
    <row r="92" spans="1:53" s="2" customFormat="1" ht="24.75" customHeight="1">
      <c r="A92" s="145"/>
      <c r="B92" s="147" t="s">
        <v>2</v>
      </c>
      <c r="C92" s="147"/>
      <c r="D92" s="147"/>
      <c r="E92" s="147" t="s">
        <v>29</v>
      </c>
      <c r="F92" s="148" t="s">
        <v>821</v>
      </c>
      <c r="G92" s="148" t="s">
        <v>822</v>
      </c>
      <c r="H92" s="147" t="s">
        <v>21</v>
      </c>
      <c r="I92" s="147" t="s">
        <v>22</v>
      </c>
      <c r="J92" s="147" t="s">
        <v>39</v>
      </c>
      <c r="K92" s="155" t="s">
        <v>801</v>
      </c>
      <c r="L92" s="147" t="s">
        <v>39</v>
      </c>
      <c r="M92" s="155" t="s">
        <v>39</v>
      </c>
      <c r="N92" s="147" t="s">
        <v>32</v>
      </c>
      <c r="O92" s="148"/>
      <c r="P92" s="148"/>
      <c r="Q92" s="147"/>
      <c r="R92" s="147"/>
      <c r="S92" s="147"/>
      <c r="T92" s="147"/>
      <c r="U92" s="147"/>
      <c r="V92" s="155"/>
      <c r="W92" s="147"/>
      <c r="X92" s="148"/>
      <c r="Y92" s="148"/>
      <c r="Z92" s="161" t="s">
        <v>823</v>
      </c>
      <c r="AA92" s="148"/>
      <c r="AB92" s="147"/>
      <c r="AC92" s="147"/>
      <c r="AD92" s="147"/>
      <c r="AE92" s="147"/>
      <c r="AF92" s="147"/>
      <c r="AG92" s="147"/>
      <c r="AH92" s="147"/>
      <c r="AI92" s="147"/>
      <c r="AJ92" s="147"/>
      <c r="AK92" s="147"/>
      <c r="AL92" s="147"/>
      <c r="AM92" s="147"/>
      <c r="AN92" s="152" t="str" cm="1">
        <f t="array" ref="AN92">IFERROR(
  LOOKUP(
    2,
    1/((AB92:AM92&lt;&gt;"")*(ISNUMBER(AB92:AM92)+ISNONTEXT(AB92:AM92)&gt;0)),
    {10,20,30,40,45,50,60,70,75,80,90,100}
  ) &amp; "%",
  "0%"
)</f>
        <v>0%</v>
      </c>
      <c r="AO92" s="147"/>
      <c r="AP92" s="147"/>
      <c r="AQ92" s="147"/>
      <c r="AR92" s="147"/>
      <c r="AS92" s="147"/>
      <c r="AT92" s="147"/>
      <c r="AU92" s="147"/>
      <c r="AV92" s="147"/>
      <c r="AW92" s="147"/>
      <c r="AX92" s="147"/>
      <c r="AY92" s="233"/>
      <c r="AZ92" s="147"/>
      <c r="BA92" s="147"/>
    </row>
    <row r="93" spans="1:53" s="2" customFormat="1" ht="24.75" customHeight="1">
      <c r="A93" s="145"/>
      <c r="B93" s="147" t="s">
        <v>2</v>
      </c>
      <c r="C93" s="147"/>
      <c r="D93" s="147"/>
      <c r="E93" s="147" t="s">
        <v>26</v>
      </c>
      <c r="F93" s="148" t="s">
        <v>824</v>
      </c>
      <c r="G93" s="148" t="s">
        <v>824</v>
      </c>
      <c r="H93" s="147" t="s">
        <v>21</v>
      </c>
      <c r="I93" s="147" t="s">
        <v>22</v>
      </c>
      <c r="J93" s="147" t="s">
        <v>39</v>
      </c>
      <c r="K93" s="155" t="s">
        <v>801</v>
      </c>
      <c r="L93" s="147" t="s">
        <v>39</v>
      </c>
      <c r="M93" s="155" t="s">
        <v>39</v>
      </c>
      <c r="N93" s="147" t="s">
        <v>32</v>
      </c>
      <c r="O93" s="148"/>
      <c r="P93" s="148"/>
      <c r="Q93" s="147"/>
      <c r="R93" s="147"/>
      <c r="S93" s="147"/>
      <c r="T93" s="147"/>
      <c r="U93" s="147"/>
      <c r="V93" s="155"/>
      <c r="W93" s="147"/>
      <c r="X93" s="148"/>
      <c r="Y93" s="148"/>
      <c r="Z93" s="161" t="s">
        <v>825</v>
      </c>
      <c r="AA93" s="148"/>
      <c r="AB93" s="147"/>
      <c r="AC93" s="147"/>
      <c r="AD93" s="147"/>
      <c r="AE93" s="147"/>
      <c r="AF93" s="147"/>
      <c r="AG93" s="147"/>
      <c r="AH93" s="147"/>
      <c r="AI93" s="147"/>
      <c r="AJ93" s="147"/>
      <c r="AK93" s="147"/>
      <c r="AL93" s="147"/>
      <c r="AM93" s="147"/>
      <c r="AN93" s="152" t="str" cm="1">
        <f t="array" ref="AN93">IFERROR(
  LOOKUP(
    2,
    1/((AB93:AM93&lt;&gt;"")*(ISNUMBER(AB93:AM93)+ISNONTEXT(AB93:AM93)&gt;0)),
    {10,20,30,40,45,50,60,70,75,80,90,100}
  ) &amp; "%",
  "0%"
)</f>
        <v>0%</v>
      </c>
      <c r="AO93" s="147"/>
      <c r="AP93" s="147"/>
      <c r="AQ93" s="147"/>
      <c r="AR93" s="147"/>
      <c r="AS93" s="147"/>
      <c r="AT93" s="147"/>
      <c r="AU93" s="147"/>
      <c r="AV93" s="147"/>
      <c r="AW93" s="147"/>
      <c r="AX93" s="147"/>
      <c r="AY93" s="233"/>
      <c r="AZ93" s="147"/>
      <c r="BA93" s="147"/>
    </row>
    <row r="94" spans="1:53" s="2" customFormat="1" ht="24.75" customHeight="1">
      <c r="A94" s="145"/>
      <c r="B94" s="147" t="s">
        <v>2</v>
      </c>
      <c r="C94" s="147"/>
      <c r="D94" s="147"/>
      <c r="E94" s="147" t="s">
        <v>29</v>
      </c>
      <c r="F94" s="148" t="s">
        <v>826</v>
      </c>
      <c r="G94" s="148" t="s">
        <v>826</v>
      </c>
      <c r="H94" s="147" t="s">
        <v>21</v>
      </c>
      <c r="I94" s="147" t="s">
        <v>22</v>
      </c>
      <c r="J94" s="147" t="s">
        <v>827</v>
      </c>
      <c r="K94" s="155" t="s">
        <v>801</v>
      </c>
      <c r="L94" s="147" t="s">
        <v>827</v>
      </c>
      <c r="M94" s="155" t="s">
        <v>828</v>
      </c>
      <c r="N94" s="147" t="s">
        <v>829</v>
      </c>
      <c r="O94" s="148"/>
      <c r="P94" s="148"/>
      <c r="Q94" s="147"/>
      <c r="R94" s="147"/>
      <c r="S94" s="147"/>
      <c r="T94" s="147"/>
      <c r="U94" s="147"/>
      <c r="V94" s="155"/>
      <c r="W94" s="147"/>
      <c r="X94" s="148"/>
      <c r="Y94" s="148"/>
      <c r="Z94" s="161" t="s">
        <v>830</v>
      </c>
      <c r="AA94" s="148"/>
      <c r="AB94" s="147"/>
      <c r="AC94" s="147"/>
      <c r="AD94" s="147"/>
      <c r="AE94" s="147"/>
      <c r="AF94" s="147"/>
      <c r="AG94" s="147"/>
      <c r="AH94" s="147"/>
      <c r="AI94" s="147"/>
      <c r="AJ94" s="147"/>
      <c r="AK94" s="147"/>
      <c r="AL94" s="147"/>
      <c r="AM94" s="147"/>
      <c r="AN94" s="152" t="str" cm="1">
        <f t="array" ref="AN94">IFERROR(
  LOOKUP(
    2,
    1/((AB94:AM94&lt;&gt;"")*(ISNUMBER(AB94:AM94)+ISNONTEXT(AB94:AM94)&gt;0)),
    {10,20,30,40,45,50,60,70,75,80,90,100}
  ) &amp; "%",
  "0%"
)</f>
        <v>0%</v>
      </c>
      <c r="AO94" s="147"/>
      <c r="AP94" s="147"/>
      <c r="AQ94" s="147"/>
      <c r="AR94" s="147"/>
      <c r="AS94" s="147"/>
      <c r="AT94" s="147"/>
      <c r="AU94" s="147"/>
      <c r="AV94" s="147"/>
      <c r="AW94" s="147"/>
      <c r="AX94" s="147"/>
      <c r="AY94" s="233"/>
      <c r="AZ94" s="147"/>
      <c r="BA94" s="147"/>
    </row>
    <row r="95" spans="1:53" ht="24.75" customHeight="1">
      <c r="A95" s="145"/>
      <c r="B95" s="147" t="s">
        <v>831</v>
      </c>
      <c r="C95" s="147" t="s">
        <v>14</v>
      </c>
      <c r="D95" s="147"/>
      <c r="E95" s="147" t="s">
        <v>26</v>
      </c>
      <c r="F95" s="168" t="s">
        <v>832</v>
      </c>
      <c r="G95" s="148" t="s">
        <v>833</v>
      </c>
      <c r="H95" s="147" t="s">
        <v>20</v>
      </c>
      <c r="I95" s="147"/>
      <c r="J95" s="147" t="s">
        <v>352</v>
      </c>
      <c r="K95" s="155" t="s">
        <v>37</v>
      </c>
      <c r="L95" s="147" t="s">
        <v>324</v>
      </c>
      <c r="M95" s="155" t="s">
        <v>672</v>
      </c>
      <c r="N95" s="147" t="s">
        <v>32</v>
      </c>
      <c r="O95" s="148" t="s">
        <v>834</v>
      </c>
      <c r="P95" s="173" t="s">
        <v>835</v>
      </c>
      <c r="Q95" s="179"/>
      <c r="R95" s="179"/>
      <c r="S95" s="179"/>
      <c r="T95" s="179"/>
      <c r="U95" s="179"/>
      <c r="V95" s="155" t="s">
        <v>836</v>
      </c>
      <c r="W95" s="147"/>
      <c r="X95" s="161" t="s">
        <v>837</v>
      </c>
      <c r="Y95" s="161"/>
      <c r="Z95" s="148"/>
      <c r="AA95" s="148" t="s">
        <v>838</v>
      </c>
      <c r="AB95" s="157">
        <v>45907</v>
      </c>
      <c r="AC95" s="157">
        <v>45940</v>
      </c>
      <c r="AD95" s="147"/>
      <c r="AE95" s="147"/>
      <c r="AF95" s="147"/>
      <c r="AG95" s="157">
        <v>45974</v>
      </c>
      <c r="AH95" s="157">
        <v>45985</v>
      </c>
      <c r="AI95" s="147"/>
      <c r="AJ95" s="147"/>
      <c r="AK95" s="147"/>
      <c r="AL95" s="147"/>
      <c r="AM95" s="147"/>
      <c r="AN95" s="152" t="str" cm="1">
        <f t="array" ref="AN95">IFERROR(
  LOOKUP(
    2,
    1/((AB95:AM95&lt;&gt;"")*(ISNUMBER(AB95:AM95)+ISNONTEXT(AB95:AM95)&gt;0)),
    {10,20,30,40,45,50,60,70,75,80,90,100}
  ) &amp; "%",
  "0%"
)</f>
        <v>60%</v>
      </c>
      <c r="AO95" s="147" t="s">
        <v>839</v>
      </c>
      <c r="AP95" s="147" t="s">
        <v>398</v>
      </c>
      <c r="AQ95" s="147" t="s">
        <v>398</v>
      </c>
      <c r="AR95" s="147" t="s">
        <v>398</v>
      </c>
      <c r="AS95" s="147" t="s">
        <v>398</v>
      </c>
      <c r="AT95" s="147" t="s">
        <v>658</v>
      </c>
      <c r="AU95" s="147"/>
      <c r="AV95" s="147"/>
      <c r="AW95" s="174" t="s">
        <v>759</v>
      </c>
      <c r="AX95" s="174"/>
      <c r="AY95" s="233"/>
      <c r="AZ95" s="147"/>
      <c r="BA95" s="147"/>
    </row>
    <row r="96" spans="1:53" s="2" customFormat="1" ht="24.75" customHeight="1">
      <c r="A96" s="145"/>
      <c r="B96" s="147" t="s">
        <v>2</v>
      </c>
      <c r="C96" s="147"/>
      <c r="D96" s="147"/>
      <c r="E96" s="147" t="s">
        <v>27</v>
      </c>
      <c r="F96" s="161" t="s">
        <v>840</v>
      </c>
      <c r="G96" s="148" t="s">
        <v>841</v>
      </c>
      <c r="H96" s="147" t="s">
        <v>21</v>
      </c>
      <c r="I96" s="147" t="s">
        <v>22</v>
      </c>
      <c r="J96" s="147" t="s">
        <v>682</v>
      </c>
      <c r="K96" s="155" t="s">
        <v>40</v>
      </c>
      <c r="L96" s="147" t="s">
        <v>682</v>
      </c>
      <c r="M96" s="155" t="s">
        <v>842</v>
      </c>
      <c r="N96" s="147" t="s">
        <v>337</v>
      </c>
      <c r="O96" s="148" t="s">
        <v>843</v>
      </c>
      <c r="P96" s="148"/>
      <c r="Q96" s="147"/>
      <c r="R96" s="147"/>
      <c r="S96" s="147"/>
      <c r="T96" s="147"/>
      <c r="U96" s="147"/>
      <c r="V96" s="155"/>
      <c r="W96" s="147"/>
      <c r="X96" s="161" t="s">
        <v>844</v>
      </c>
      <c r="Y96" s="161"/>
      <c r="Z96" s="161" t="s">
        <v>845</v>
      </c>
      <c r="AA96" s="148" t="s">
        <v>846</v>
      </c>
      <c r="AB96" s="157">
        <v>45931</v>
      </c>
      <c r="AC96" s="147"/>
      <c r="AD96" s="147"/>
      <c r="AE96" s="147"/>
      <c r="AF96" s="147"/>
      <c r="AG96" s="147"/>
      <c r="AH96" s="147"/>
      <c r="AI96" s="147"/>
      <c r="AJ96" s="147"/>
      <c r="AK96" s="147"/>
      <c r="AL96" s="147"/>
      <c r="AM96" s="147"/>
      <c r="AN96" s="152" t="str" cm="1">
        <f t="array" ref="AN96">IFERROR(
  LOOKUP(
    2,
    1/((AB96:AM96&lt;&gt;"")*(ISNUMBER(AB96:AM96)+ISNONTEXT(AB96:AM96)&gt;0)),
    {10,20,30,40,45,50,60,70,75,80,90,100}
  ) &amp; "%",
  "0%"
)</f>
        <v>10%</v>
      </c>
      <c r="AO96" s="147"/>
      <c r="AP96" s="147"/>
      <c r="AQ96" s="147"/>
      <c r="AR96" s="147"/>
      <c r="AS96" s="147"/>
      <c r="AT96" s="147"/>
      <c r="AU96" s="147"/>
      <c r="AV96" s="147"/>
      <c r="AW96" s="147"/>
      <c r="AX96" s="147"/>
      <c r="AY96" s="233"/>
      <c r="AZ96" s="147"/>
      <c r="BA96" s="147"/>
    </row>
    <row r="97" spans="1:53" ht="24.75" customHeight="1">
      <c r="A97" s="145"/>
      <c r="B97" s="147" t="s">
        <v>3</v>
      </c>
      <c r="C97" s="147"/>
      <c r="D97" s="147"/>
      <c r="E97" s="147" t="s">
        <v>26</v>
      </c>
      <c r="F97" s="148" t="s">
        <v>847</v>
      </c>
      <c r="G97" s="148" t="s">
        <v>848</v>
      </c>
      <c r="H97" s="147" t="s">
        <v>21</v>
      </c>
      <c r="I97" s="147" t="s">
        <v>23</v>
      </c>
      <c r="J97" s="147" t="s">
        <v>363</v>
      </c>
      <c r="K97" s="155" t="s">
        <v>801</v>
      </c>
      <c r="L97" s="147" t="s">
        <v>363</v>
      </c>
      <c r="M97" s="155" t="s">
        <v>802</v>
      </c>
      <c r="N97" s="147" t="s">
        <v>337</v>
      </c>
      <c r="O97" s="148" t="s">
        <v>849</v>
      </c>
      <c r="P97" s="148" t="s">
        <v>850</v>
      </c>
      <c r="Q97" s="147"/>
      <c r="R97" s="147"/>
      <c r="S97" s="147"/>
      <c r="T97" s="147"/>
      <c r="U97" s="147"/>
      <c r="V97" s="155"/>
      <c r="W97" s="147" t="s">
        <v>851</v>
      </c>
      <c r="X97" s="161" t="s">
        <v>852</v>
      </c>
      <c r="Y97" s="161" t="s">
        <v>853</v>
      </c>
      <c r="Z97" s="148" t="s">
        <v>854</v>
      </c>
      <c r="AA97" s="148" t="s">
        <v>855</v>
      </c>
      <c r="AB97" s="157">
        <v>45995</v>
      </c>
      <c r="AC97" s="147"/>
      <c r="AD97" s="147"/>
      <c r="AE97" s="147"/>
      <c r="AF97" s="147"/>
      <c r="AG97" s="147"/>
      <c r="AH97" s="147"/>
      <c r="AI97" s="147"/>
      <c r="AJ97" s="147"/>
      <c r="AK97" s="147"/>
      <c r="AL97" s="147"/>
      <c r="AM97" s="147"/>
      <c r="AN97" s="152" t="str" cm="1">
        <f t="array" ref="AN97">IFERROR(
  LOOKUP(
    2,
    1/((AB97:AM97&lt;&gt;"")*(ISNUMBER(AB97:AM97)+ISNONTEXT(AB97:AM97)&gt;0)),
    {10,20,30,40,45,50,60,70,75,80,90,100}
  ) &amp; "%",
  "0%"
)</f>
        <v>10%</v>
      </c>
      <c r="AO97" s="147"/>
      <c r="AP97" s="147"/>
      <c r="AQ97" s="147"/>
      <c r="AR97" s="147"/>
      <c r="AS97" s="147"/>
      <c r="AT97" s="147"/>
      <c r="AU97" s="147"/>
      <c r="AV97" s="147"/>
      <c r="AW97" s="147"/>
      <c r="AX97" s="147"/>
      <c r="AY97" s="233"/>
      <c r="AZ97" s="147"/>
      <c r="BA97" s="147"/>
    </row>
    <row r="98" spans="1:53" ht="24.75" customHeight="1">
      <c r="A98" s="145"/>
      <c r="B98" s="147" t="s">
        <v>831</v>
      </c>
      <c r="C98" s="147" t="s">
        <v>14</v>
      </c>
      <c r="D98" s="147"/>
      <c r="E98" s="147" t="s">
        <v>27</v>
      </c>
      <c r="F98" s="148" t="s">
        <v>856</v>
      </c>
      <c r="G98" s="148" t="s">
        <v>857</v>
      </c>
      <c r="H98" s="147" t="s">
        <v>21</v>
      </c>
      <c r="I98" s="147" t="s">
        <v>23</v>
      </c>
      <c r="J98" s="147" t="s">
        <v>363</v>
      </c>
      <c r="K98" s="155" t="s">
        <v>801</v>
      </c>
      <c r="L98" s="147" t="s">
        <v>363</v>
      </c>
      <c r="M98" s="155" t="s">
        <v>858</v>
      </c>
      <c r="N98" s="147" t="s">
        <v>337</v>
      </c>
      <c r="O98" s="148" t="s">
        <v>859</v>
      </c>
      <c r="P98" s="148" t="s">
        <v>860</v>
      </c>
      <c r="Q98" s="155"/>
      <c r="R98" s="155"/>
      <c r="S98" s="155"/>
      <c r="T98" s="155"/>
      <c r="U98" s="155"/>
      <c r="V98" s="155" t="s">
        <v>861</v>
      </c>
      <c r="W98" s="147"/>
      <c r="X98" s="161" t="s">
        <v>862</v>
      </c>
      <c r="Y98" s="161" t="s">
        <v>863</v>
      </c>
      <c r="Z98" s="148" t="s">
        <v>864</v>
      </c>
      <c r="AA98" s="148" t="s">
        <v>865</v>
      </c>
      <c r="AB98" s="157">
        <v>45995</v>
      </c>
      <c r="AC98" s="147"/>
      <c r="AD98" s="150">
        <v>46001</v>
      </c>
      <c r="AE98" s="147"/>
      <c r="AF98" s="147"/>
      <c r="AG98" s="147"/>
      <c r="AH98" s="147"/>
      <c r="AI98" s="147"/>
      <c r="AJ98" s="147"/>
      <c r="AK98" s="147"/>
      <c r="AL98" s="147"/>
      <c r="AM98" s="147"/>
      <c r="AN98" s="152" t="str" cm="1">
        <f t="array" ref="AN98">IFERROR(
  LOOKUP(
    2,
    1/((AB98:AM98&lt;&gt;"")*(ISNUMBER(AB98:AM98)+ISNONTEXT(AB98:AM98)&gt;0)),
    {10,20,30,40,45,50,60,70,75,80,90,100}
  ) &amp; "%",
  "0%"
)</f>
        <v>30%</v>
      </c>
      <c r="AO98" s="147"/>
      <c r="AP98" s="147" t="s">
        <v>331</v>
      </c>
      <c r="AQ98" s="147" t="s">
        <v>331</v>
      </c>
      <c r="AR98" s="147" t="s">
        <v>371</v>
      </c>
      <c r="AS98" s="147" t="s">
        <v>331</v>
      </c>
      <c r="AT98" s="147" t="s">
        <v>866</v>
      </c>
      <c r="AU98" s="147"/>
      <c r="AV98" s="147"/>
      <c r="AW98" s="147"/>
      <c r="AX98" s="147"/>
      <c r="AY98" s="233"/>
      <c r="AZ98" s="147"/>
      <c r="BA98" s="147"/>
    </row>
    <row r="99" spans="1:53" ht="24.75" customHeight="1">
      <c r="A99" s="145"/>
      <c r="B99" s="147" t="s">
        <v>831</v>
      </c>
      <c r="C99" s="147"/>
      <c r="D99" s="147"/>
      <c r="E99" s="147" t="s">
        <v>26</v>
      </c>
      <c r="F99" s="148" t="s">
        <v>867</v>
      </c>
      <c r="G99" s="148" t="s">
        <v>868</v>
      </c>
      <c r="H99" s="147" t="s">
        <v>21</v>
      </c>
      <c r="I99" s="147" t="s">
        <v>23</v>
      </c>
      <c r="J99" s="147" t="s">
        <v>363</v>
      </c>
      <c r="K99" s="155" t="s">
        <v>801</v>
      </c>
      <c r="L99" s="147" t="s">
        <v>363</v>
      </c>
      <c r="M99" s="155" t="s">
        <v>858</v>
      </c>
      <c r="N99" s="147" t="s">
        <v>337</v>
      </c>
      <c r="O99" s="148" t="s">
        <v>869</v>
      </c>
      <c r="P99" s="148" t="s">
        <v>870</v>
      </c>
      <c r="Q99" s="147"/>
      <c r="R99" s="147"/>
      <c r="S99" s="147"/>
      <c r="T99" s="147"/>
      <c r="U99" s="147"/>
      <c r="V99" s="160" t="s">
        <v>871</v>
      </c>
      <c r="W99" s="149"/>
      <c r="X99" s="168" t="s">
        <v>872</v>
      </c>
      <c r="Y99" s="168" t="s">
        <v>873</v>
      </c>
      <c r="Z99" s="148" t="s">
        <v>874</v>
      </c>
      <c r="AA99" s="148" t="s">
        <v>875</v>
      </c>
      <c r="AB99" s="157">
        <v>46009</v>
      </c>
      <c r="AC99" s="147"/>
      <c r="AD99" s="147"/>
      <c r="AE99" s="147"/>
      <c r="AF99" s="147"/>
      <c r="AG99" s="147"/>
      <c r="AH99" s="147"/>
      <c r="AI99" s="147"/>
      <c r="AJ99" s="147"/>
      <c r="AK99" s="147"/>
      <c r="AL99" s="147"/>
      <c r="AM99" s="147"/>
      <c r="AN99" s="152" t="str" cm="1">
        <f t="array" ref="AN99">IFERROR(
  LOOKUP(
    2,
    1/((AB99:AM99&lt;&gt;"")*(ISNUMBER(AB99:AM99)+ISNONTEXT(AB99:AM99)&gt;0)),
    {10,20,30,40,45,50,60,70,75,80,90,100}
  ) &amp; "%",
  "0%"
)</f>
        <v>10%</v>
      </c>
      <c r="AO99" s="147" t="s">
        <v>876</v>
      </c>
      <c r="AP99" s="147" t="s">
        <v>331</v>
      </c>
      <c r="AQ99" s="147" t="s">
        <v>331</v>
      </c>
      <c r="AR99" s="147" t="s">
        <v>371</v>
      </c>
      <c r="AS99" s="147" t="s">
        <v>331</v>
      </c>
      <c r="AT99" s="147" t="s">
        <v>877</v>
      </c>
      <c r="AU99" s="147" t="s">
        <v>658</v>
      </c>
      <c r="AV99" s="147" t="s">
        <v>878</v>
      </c>
      <c r="AW99" s="147"/>
      <c r="AX99" s="147"/>
      <c r="AY99" s="233"/>
      <c r="AZ99" s="147"/>
      <c r="BA99" s="147"/>
    </row>
    <row r="100" spans="1:53" ht="24.75" customHeight="1">
      <c r="A100" s="145"/>
      <c r="B100" s="147" t="s">
        <v>831</v>
      </c>
      <c r="C100" s="147"/>
      <c r="D100" s="147"/>
      <c r="E100" s="147" t="s">
        <v>27</v>
      </c>
      <c r="F100" s="148" t="s">
        <v>879</v>
      </c>
      <c r="G100" s="148" t="s">
        <v>868</v>
      </c>
      <c r="H100" s="147" t="s">
        <v>21</v>
      </c>
      <c r="I100" s="147" t="s">
        <v>23</v>
      </c>
      <c r="J100" s="147" t="s">
        <v>363</v>
      </c>
      <c r="K100" s="155" t="s">
        <v>801</v>
      </c>
      <c r="L100" s="147" t="s">
        <v>363</v>
      </c>
      <c r="M100" s="155" t="s">
        <v>802</v>
      </c>
      <c r="N100" s="147" t="s">
        <v>337</v>
      </c>
      <c r="O100" s="148" t="s">
        <v>880</v>
      </c>
      <c r="P100" s="148" t="s">
        <v>881</v>
      </c>
      <c r="Q100" s="147"/>
      <c r="R100" s="147"/>
      <c r="S100" s="147"/>
      <c r="T100" s="147"/>
      <c r="U100" s="147"/>
      <c r="V100" s="160" t="s">
        <v>882</v>
      </c>
      <c r="W100" s="149" t="s">
        <v>883</v>
      </c>
      <c r="X100" s="232" t="s">
        <v>884</v>
      </c>
      <c r="Y100" s="168"/>
      <c r="Z100" s="148" t="s">
        <v>874</v>
      </c>
      <c r="AA100" s="148" t="s">
        <v>885</v>
      </c>
      <c r="AB100" s="157">
        <v>46212</v>
      </c>
      <c r="AC100" s="157">
        <v>46212</v>
      </c>
      <c r="AD100" s="157">
        <v>46212</v>
      </c>
      <c r="AE100" s="157">
        <v>46212</v>
      </c>
      <c r="AF100" s="147"/>
      <c r="AG100" s="147"/>
      <c r="AH100" s="147"/>
      <c r="AI100" s="147"/>
      <c r="AJ100" s="147"/>
      <c r="AK100" s="147"/>
      <c r="AL100" s="147"/>
      <c r="AM100" s="147"/>
      <c r="AN100" s="152"/>
      <c r="AO100" s="147" t="s">
        <v>876</v>
      </c>
      <c r="AP100" s="147" t="s">
        <v>371</v>
      </c>
      <c r="AQ100" s="147" t="s">
        <v>371</v>
      </c>
      <c r="AR100" s="147" t="s">
        <v>371</v>
      </c>
      <c r="AS100" s="147" t="s">
        <v>371</v>
      </c>
      <c r="AT100" s="147" t="s">
        <v>877</v>
      </c>
      <c r="AU100" s="147" t="s">
        <v>658</v>
      </c>
      <c r="AV100" s="147" t="s">
        <v>878</v>
      </c>
      <c r="AW100" s="147"/>
      <c r="AX100" s="147"/>
      <c r="AY100" s="233"/>
      <c r="AZ100" s="147"/>
      <c r="BA100" s="147"/>
    </row>
    <row r="101" spans="1:53" ht="24.75" customHeight="1">
      <c r="A101" s="145"/>
      <c r="B101" s="147" t="s">
        <v>3</v>
      </c>
      <c r="C101" s="147"/>
      <c r="D101" s="147"/>
      <c r="E101" s="147" t="s">
        <v>26</v>
      </c>
      <c r="F101" s="148" t="s">
        <v>886</v>
      </c>
      <c r="G101" s="148" t="s">
        <v>887</v>
      </c>
      <c r="H101" s="147" t="s">
        <v>21</v>
      </c>
      <c r="I101" s="147" t="s">
        <v>23</v>
      </c>
      <c r="J101" s="147" t="s">
        <v>363</v>
      </c>
      <c r="K101" s="155" t="s">
        <v>801</v>
      </c>
      <c r="L101" s="147" t="s">
        <v>363</v>
      </c>
      <c r="M101" s="155" t="s">
        <v>858</v>
      </c>
      <c r="N101" s="147" t="s">
        <v>689</v>
      </c>
      <c r="O101" s="148" t="s">
        <v>888</v>
      </c>
      <c r="P101" s="148" t="s">
        <v>889</v>
      </c>
      <c r="Q101" s="147"/>
      <c r="R101" s="147"/>
      <c r="S101" s="147"/>
      <c r="T101" s="147"/>
      <c r="U101" s="147"/>
      <c r="V101" s="160" t="s">
        <v>890</v>
      </c>
      <c r="W101" s="149"/>
      <c r="X101" s="161" t="s">
        <v>891</v>
      </c>
      <c r="Y101" s="161" t="s">
        <v>892</v>
      </c>
      <c r="Z101" s="148" t="s">
        <v>893</v>
      </c>
      <c r="AA101" s="148" t="s">
        <v>894</v>
      </c>
      <c r="AB101" s="157">
        <v>45995</v>
      </c>
      <c r="AC101" s="147"/>
      <c r="AD101" s="147"/>
      <c r="AE101" s="147"/>
      <c r="AF101" s="147"/>
      <c r="AG101" s="147"/>
      <c r="AH101" s="147"/>
      <c r="AI101" s="147"/>
      <c r="AJ101" s="147"/>
      <c r="AK101" s="147"/>
      <c r="AL101" s="147"/>
      <c r="AM101" s="147"/>
      <c r="AN101" s="152" t="str" cm="1">
        <f t="array" ref="AN101">IFERROR(
  LOOKUP(
    2,
    1/((AB101:AM101&lt;&gt;"")*(ISNUMBER(AB101:AM101)+ISNONTEXT(AB101:AM101)&gt;0)),
    {10,20,30,40,45,50,60,70,75,80,90,100}
  ) &amp; "%",
  "0%"
)</f>
        <v>10%</v>
      </c>
      <c r="AO101" s="147"/>
      <c r="AP101" s="147"/>
      <c r="AQ101" s="147"/>
      <c r="AR101" s="147"/>
      <c r="AS101" s="147"/>
      <c r="AT101" s="147"/>
      <c r="AU101" s="147"/>
      <c r="AV101" s="147"/>
      <c r="AW101" s="147"/>
      <c r="AX101" s="147"/>
      <c r="AY101" s="233"/>
      <c r="AZ101" s="147"/>
      <c r="BA101" s="147"/>
    </row>
    <row r="102" spans="1:53" ht="24.75" customHeight="1">
      <c r="A102" s="145"/>
      <c r="B102" s="147" t="s">
        <v>3</v>
      </c>
      <c r="C102" s="147"/>
      <c r="D102" s="147"/>
      <c r="E102" s="147" t="s">
        <v>26</v>
      </c>
      <c r="F102" s="148" t="s">
        <v>895</v>
      </c>
      <c r="G102" s="148" t="s">
        <v>896</v>
      </c>
      <c r="H102" s="147" t="s">
        <v>21</v>
      </c>
      <c r="I102" s="147" t="s">
        <v>23</v>
      </c>
      <c r="J102" s="147" t="s">
        <v>363</v>
      </c>
      <c r="K102" s="155" t="s">
        <v>801</v>
      </c>
      <c r="L102" s="147" t="s">
        <v>363</v>
      </c>
      <c r="M102" s="155" t="s">
        <v>802</v>
      </c>
      <c r="N102" s="147" t="s">
        <v>810</v>
      </c>
      <c r="O102" s="148" t="s">
        <v>897</v>
      </c>
      <c r="P102" s="148" t="s">
        <v>898</v>
      </c>
      <c r="Q102" s="147"/>
      <c r="R102" s="147"/>
      <c r="S102" s="147"/>
      <c r="T102" s="147"/>
      <c r="U102" s="147"/>
      <c r="V102" s="160">
        <v>84906084268</v>
      </c>
      <c r="W102" s="149"/>
      <c r="X102" s="161" t="s">
        <v>899</v>
      </c>
      <c r="Y102" s="161"/>
      <c r="Z102" s="148" t="s">
        <v>900</v>
      </c>
      <c r="AA102" s="148" t="s">
        <v>901</v>
      </c>
      <c r="AB102" s="157">
        <v>46009</v>
      </c>
      <c r="AC102" s="147"/>
      <c r="AD102" s="147"/>
      <c r="AE102" s="147"/>
      <c r="AF102" s="147"/>
      <c r="AG102" s="147"/>
      <c r="AH102" s="147"/>
      <c r="AI102" s="147"/>
      <c r="AJ102" s="147"/>
      <c r="AK102" s="147"/>
      <c r="AL102" s="147"/>
      <c r="AM102" s="147"/>
      <c r="AN102" s="152" t="str" cm="1">
        <f t="array" ref="AN102">IFERROR(
  LOOKUP(
    2,
    1/((AB102:AM102&lt;&gt;"")*(ISNUMBER(AB102:AM102)+ISNONTEXT(AB102:AM102)&gt;0)),
    {10,20,30,40,45,50,60,70,75,80,90,100}
  ) &amp; "%",
  "0%"
)</f>
        <v>10%</v>
      </c>
      <c r="AO102" s="147"/>
      <c r="AP102" s="147"/>
      <c r="AQ102" s="147"/>
      <c r="AR102" s="147"/>
      <c r="AS102" s="147"/>
      <c r="AT102" s="147"/>
      <c r="AU102" s="147"/>
      <c r="AV102" s="147"/>
      <c r="AW102" s="147"/>
      <c r="AX102" s="147"/>
      <c r="AY102" s="233"/>
      <c r="AZ102" s="147"/>
      <c r="BA102" s="147"/>
    </row>
    <row r="103" spans="1:53" ht="24.75" customHeight="1">
      <c r="A103" s="145"/>
      <c r="B103" s="147" t="s">
        <v>902</v>
      </c>
      <c r="C103" s="147"/>
      <c r="D103" s="147"/>
      <c r="E103" s="147" t="s">
        <v>26</v>
      </c>
      <c r="F103" s="148" t="s">
        <v>903</v>
      </c>
      <c r="G103" s="148" t="s">
        <v>904</v>
      </c>
      <c r="H103" s="147" t="s">
        <v>21</v>
      </c>
      <c r="I103" s="147" t="s">
        <v>23</v>
      </c>
      <c r="J103" s="147" t="s">
        <v>363</v>
      </c>
      <c r="K103" s="155" t="s">
        <v>801</v>
      </c>
      <c r="L103" s="147" t="s">
        <v>363</v>
      </c>
      <c r="M103" s="155" t="s">
        <v>802</v>
      </c>
      <c r="N103" s="147" t="s">
        <v>337</v>
      </c>
      <c r="O103" s="148" t="s">
        <v>905</v>
      </c>
      <c r="P103" s="148" t="s">
        <v>906</v>
      </c>
      <c r="Q103" s="155"/>
      <c r="R103" s="155"/>
      <c r="S103" s="155"/>
      <c r="T103" s="155"/>
      <c r="U103" s="155"/>
      <c r="V103" s="155" t="s">
        <v>907</v>
      </c>
      <c r="W103" s="147"/>
      <c r="X103" s="161" t="s">
        <v>908</v>
      </c>
      <c r="Y103" s="161" t="s">
        <v>909</v>
      </c>
      <c r="Z103" s="161" t="s">
        <v>910</v>
      </c>
      <c r="AA103" s="148" t="s">
        <v>911</v>
      </c>
      <c r="AB103" s="157">
        <v>45995</v>
      </c>
      <c r="AC103" s="147"/>
      <c r="AD103" s="147"/>
      <c r="AE103" s="147"/>
      <c r="AF103" s="147"/>
      <c r="AG103" s="147"/>
      <c r="AH103" s="147"/>
      <c r="AI103" s="147"/>
      <c r="AJ103" s="147"/>
      <c r="AK103" s="147"/>
      <c r="AL103" s="147"/>
      <c r="AM103" s="147"/>
      <c r="AN103" s="152" t="str" cm="1">
        <f t="array" ref="AN103">IFERROR(
  LOOKUP(
    2,
    1/((AB103:AM103&lt;&gt;"")*(ISNUMBER(AB103:AM103)+ISNONTEXT(AB103:AM103)&gt;0)),
    {10,20,30,40,45,50,60,70,75,80,90,100}
  ) &amp; "%",
  "0%"
)</f>
        <v>10%</v>
      </c>
      <c r="AO103" s="147"/>
      <c r="AP103" s="147"/>
      <c r="AQ103" s="147"/>
      <c r="AR103" s="147"/>
      <c r="AS103" s="147"/>
      <c r="AT103" s="147"/>
      <c r="AU103" s="147"/>
      <c r="AV103" s="147"/>
      <c r="AW103" s="147"/>
      <c r="AX103" s="147"/>
      <c r="AY103" s="233"/>
      <c r="AZ103" s="147"/>
      <c r="BA103" s="147"/>
    </row>
    <row r="104" spans="1:53" s="2" customFormat="1" ht="24.75" customHeight="1">
      <c r="A104" s="145"/>
      <c r="B104" s="147" t="s">
        <v>3</v>
      </c>
      <c r="C104" s="147"/>
      <c r="D104" s="147"/>
      <c r="E104" s="147"/>
      <c r="F104" s="148" t="s">
        <v>912</v>
      </c>
      <c r="G104" s="148" t="s">
        <v>913</v>
      </c>
      <c r="H104" s="147" t="s">
        <v>21</v>
      </c>
      <c r="I104" s="147" t="s">
        <v>22</v>
      </c>
      <c r="J104" s="147" t="s">
        <v>682</v>
      </c>
      <c r="K104" s="155" t="s">
        <v>801</v>
      </c>
      <c r="L104" s="147" t="s">
        <v>682</v>
      </c>
      <c r="M104" s="155" t="s">
        <v>914</v>
      </c>
      <c r="N104" s="147" t="s">
        <v>32</v>
      </c>
      <c r="O104" s="148" t="s">
        <v>915</v>
      </c>
      <c r="P104" s="148" t="s">
        <v>916</v>
      </c>
      <c r="Q104" s="147"/>
      <c r="R104" s="147"/>
      <c r="S104" s="147"/>
      <c r="T104" s="147"/>
      <c r="U104" s="147"/>
      <c r="V104" s="160" t="s">
        <v>917</v>
      </c>
      <c r="W104" s="149"/>
      <c r="X104" s="161" t="s">
        <v>918</v>
      </c>
      <c r="Y104" s="161"/>
      <c r="Z104" s="148" t="s">
        <v>919</v>
      </c>
      <c r="AA104" s="148" t="s">
        <v>920</v>
      </c>
      <c r="AB104" s="157">
        <v>45945</v>
      </c>
      <c r="AC104" s="147"/>
      <c r="AD104" s="147"/>
      <c r="AE104" s="147"/>
      <c r="AF104" s="147"/>
      <c r="AG104" s="147"/>
      <c r="AH104" s="147"/>
      <c r="AI104" s="147"/>
      <c r="AJ104" s="147"/>
      <c r="AK104" s="147"/>
      <c r="AL104" s="147"/>
      <c r="AM104" s="147"/>
      <c r="AN104" s="152" t="str" cm="1">
        <f t="array" ref="AN104">IFERROR(
  LOOKUP(
    2,
    1/((AB104:AM104&lt;&gt;"")*(ISNUMBER(AB104:AM104)+ISNONTEXT(AB104:AM104)&gt;0)),
    {10,20,30,40,45,50,60,70,75,80,90,100}
  ) &amp; "%",
  "0%"
)</f>
        <v>10%</v>
      </c>
      <c r="AO104" s="147"/>
      <c r="AP104" s="147"/>
      <c r="AQ104" s="147"/>
      <c r="AR104" s="147"/>
      <c r="AS104" s="147"/>
      <c r="AT104" s="147"/>
      <c r="AU104" s="147"/>
      <c r="AV104" s="147"/>
      <c r="AW104" s="147"/>
      <c r="AX104" s="147"/>
      <c r="AY104" s="233" t="s">
        <v>921</v>
      </c>
      <c r="AZ104" s="147"/>
      <c r="BA104" s="147"/>
    </row>
    <row r="105" spans="1:53" ht="24.75" customHeight="1">
      <c r="A105" s="145"/>
      <c r="B105" s="147" t="s">
        <v>3</v>
      </c>
      <c r="C105" s="147"/>
      <c r="D105" s="147"/>
      <c r="E105" s="147" t="s">
        <v>26</v>
      </c>
      <c r="F105" s="148" t="s">
        <v>922</v>
      </c>
      <c r="G105" s="148" t="s">
        <v>923</v>
      </c>
      <c r="H105" s="147" t="s">
        <v>21</v>
      </c>
      <c r="I105" s="147" t="s">
        <v>22</v>
      </c>
      <c r="J105" s="147" t="s">
        <v>469</v>
      </c>
      <c r="K105" s="155" t="s">
        <v>801</v>
      </c>
      <c r="L105" s="147" t="s">
        <v>469</v>
      </c>
      <c r="M105" s="155" t="s">
        <v>924</v>
      </c>
      <c r="N105" s="147" t="s">
        <v>32</v>
      </c>
      <c r="O105" s="148" t="s">
        <v>925</v>
      </c>
      <c r="P105" s="148" t="s">
        <v>926</v>
      </c>
      <c r="Q105" s="147"/>
      <c r="R105" s="147"/>
      <c r="S105" s="147"/>
      <c r="T105" s="147"/>
      <c r="U105" s="147"/>
      <c r="V105" s="160">
        <v>2122221232</v>
      </c>
      <c r="W105" s="149"/>
      <c r="X105" s="148" t="s">
        <v>927</v>
      </c>
      <c r="Y105" s="161"/>
      <c r="Z105" s="148" t="s">
        <v>928</v>
      </c>
      <c r="AA105" s="148" t="s">
        <v>929</v>
      </c>
      <c r="AB105" s="157">
        <v>45945</v>
      </c>
      <c r="AC105" s="147"/>
      <c r="AD105" s="147"/>
      <c r="AE105" s="147"/>
      <c r="AF105" s="147"/>
      <c r="AG105" s="147"/>
      <c r="AH105" s="147"/>
      <c r="AI105" s="147"/>
      <c r="AJ105" s="147"/>
      <c r="AK105" s="147"/>
      <c r="AL105" s="147"/>
      <c r="AM105" s="147"/>
      <c r="AN105" s="152" t="str" cm="1">
        <f t="array" ref="AN105">IFERROR(
  LOOKUP(
    2,
    1/((AB105:AM105&lt;&gt;"")*(ISNUMBER(AB105:AM105)+ISNONTEXT(AB105:AM105)&gt;0)),
    {10,20,30,40,45,50,60,70,75,80,90,100}
  ) &amp; "%",
  "0%"
)</f>
        <v>10%</v>
      </c>
      <c r="AO105" s="147"/>
      <c r="AP105" s="147"/>
      <c r="AQ105" s="147"/>
      <c r="AR105" s="147"/>
      <c r="AS105" s="147"/>
      <c r="AT105" s="147"/>
      <c r="AU105" s="147"/>
      <c r="AV105" s="147"/>
      <c r="AW105" s="147"/>
      <c r="AX105" s="147"/>
      <c r="AY105" s="233"/>
      <c r="AZ105" s="147"/>
      <c r="BA105" s="147"/>
    </row>
    <row r="106" spans="1:53" s="2" customFormat="1" ht="24.75" customHeight="1">
      <c r="A106" s="145"/>
      <c r="B106" s="147" t="s">
        <v>3</v>
      </c>
      <c r="C106" s="147"/>
      <c r="D106" s="147"/>
      <c r="E106" s="147"/>
      <c r="F106" s="148" t="s">
        <v>930</v>
      </c>
      <c r="G106" s="148" t="s">
        <v>930</v>
      </c>
      <c r="H106" s="147" t="s">
        <v>21</v>
      </c>
      <c r="I106" s="147" t="s">
        <v>22</v>
      </c>
      <c r="J106" s="147" t="s">
        <v>682</v>
      </c>
      <c r="K106" s="155" t="s">
        <v>801</v>
      </c>
      <c r="L106" s="147" t="s">
        <v>682</v>
      </c>
      <c r="M106" s="155" t="s">
        <v>931</v>
      </c>
      <c r="N106" s="147" t="s">
        <v>33</v>
      </c>
      <c r="O106" s="148" t="s">
        <v>932</v>
      </c>
      <c r="P106" s="148"/>
      <c r="Q106" s="147"/>
      <c r="R106" s="147"/>
      <c r="S106" s="147"/>
      <c r="T106" s="147"/>
      <c r="U106" s="147"/>
      <c r="V106" s="160">
        <f>919748869553/919831511234</f>
        <v>0.99991015563177532</v>
      </c>
      <c r="W106" s="149"/>
      <c r="X106" s="161" t="s">
        <v>933</v>
      </c>
      <c r="Y106" s="161"/>
      <c r="Z106" s="148" t="s">
        <v>934</v>
      </c>
      <c r="AA106" s="148" t="s">
        <v>935</v>
      </c>
      <c r="AB106" s="157">
        <v>45945</v>
      </c>
      <c r="AC106" s="147"/>
      <c r="AD106" s="147"/>
      <c r="AE106" s="147"/>
      <c r="AF106" s="147"/>
      <c r="AG106" s="147"/>
      <c r="AH106" s="147"/>
      <c r="AI106" s="147"/>
      <c r="AJ106" s="147"/>
      <c r="AK106" s="147"/>
      <c r="AL106" s="147"/>
      <c r="AM106" s="147"/>
      <c r="AN106" s="152" t="str" cm="1">
        <f t="array" ref="AN106">IFERROR(
  LOOKUP(
    2,
    1/((AB106:AM106&lt;&gt;"")*(ISNUMBER(AB106:AM106)+ISNONTEXT(AB106:AM106)&gt;0)),
    {10,20,30,40,45,50,60,70,75,80,90,100}
  ) &amp; "%",
  "0%"
)</f>
        <v>10%</v>
      </c>
      <c r="AO106" s="147"/>
      <c r="AP106" s="147"/>
      <c r="AQ106" s="147"/>
      <c r="AR106" s="147"/>
      <c r="AS106" s="147"/>
      <c r="AT106" s="147"/>
      <c r="AU106" s="147"/>
      <c r="AV106" s="147"/>
      <c r="AW106" s="147"/>
      <c r="AX106" s="147"/>
      <c r="AY106" s="233"/>
      <c r="AZ106" s="147"/>
      <c r="BA106" s="147"/>
    </row>
    <row r="107" spans="1:53" s="2" customFormat="1" ht="24.75" customHeight="1">
      <c r="A107" s="145"/>
      <c r="B107" s="147" t="s">
        <v>3</v>
      </c>
      <c r="C107" s="147"/>
      <c r="D107" s="147"/>
      <c r="E107" s="147"/>
      <c r="F107" s="148" t="s">
        <v>936</v>
      </c>
      <c r="G107" s="148" t="s">
        <v>937</v>
      </c>
      <c r="H107" s="147" t="s">
        <v>21</v>
      </c>
      <c r="I107" s="147" t="s">
        <v>22</v>
      </c>
      <c r="J107" s="147" t="s">
        <v>682</v>
      </c>
      <c r="K107" s="155" t="s">
        <v>801</v>
      </c>
      <c r="L107" s="147" t="s">
        <v>682</v>
      </c>
      <c r="M107" s="155" t="s">
        <v>938</v>
      </c>
      <c r="N107" s="147" t="s">
        <v>33</v>
      </c>
      <c r="O107" s="148" t="s">
        <v>939</v>
      </c>
      <c r="P107" s="148" t="s">
        <v>940</v>
      </c>
      <c r="Q107" s="147"/>
      <c r="R107" s="147"/>
      <c r="S107" s="147"/>
      <c r="T107" s="147"/>
      <c r="U107" s="147"/>
      <c r="V107" s="160">
        <v>919650243814</v>
      </c>
      <c r="W107" s="149"/>
      <c r="X107" s="161" t="s">
        <v>941</v>
      </c>
      <c r="Y107" s="161"/>
      <c r="Z107" s="161" t="s">
        <v>942</v>
      </c>
      <c r="AA107" s="148" t="s">
        <v>943</v>
      </c>
      <c r="AB107" s="157">
        <v>45946</v>
      </c>
      <c r="AC107" s="147"/>
      <c r="AD107" s="147"/>
      <c r="AE107" s="147"/>
      <c r="AF107" s="147"/>
      <c r="AG107" s="147"/>
      <c r="AH107" s="147"/>
      <c r="AI107" s="147"/>
      <c r="AJ107" s="147"/>
      <c r="AK107" s="147"/>
      <c r="AL107" s="147"/>
      <c r="AM107" s="147"/>
      <c r="AN107" s="152" t="str" cm="1">
        <f t="array" ref="AN107">IFERROR(
  LOOKUP(
    2,
    1/((AB107:AM107&lt;&gt;"")*(ISNUMBER(AB107:AM107)+ISNONTEXT(AB107:AM107)&gt;0)),
    {10,20,30,40,45,50,60,70,75,80,90,100}
  ) &amp; "%",
  "0%"
)</f>
        <v>10%</v>
      </c>
      <c r="AO107" s="147"/>
      <c r="AP107" s="147"/>
      <c r="AQ107" s="147"/>
      <c r="AR107" s="147"/>
      <c r="AS107" s="147"/>
      <c r="AT107" s="147"/>
      <c r="AU107" s="147"/>
      <c r="AV107" s="147"/>
      <c r="AW107" s="147"/>
      <c r="AX107" s="147"/>
      <c r="AY107" s="233"/>
      <c r="AZ107" s="147"/>
      <c r="BA107" s="147"/>
    </row>
    <row r="108" spans="1:53" s="2" customFormat="1" ht="24.75" customHeight="1">
      <c r="A108" s="145"/>
      <c r="B108" s="147" t="s">
        <v>3</v>
      </c>
      <c r="C108" s="147"/>
      <c r="D108" s="147"/>
      <c r="E108" s="147"/>
      <c r="F108" s="148" t="s">
        <v>944</v>
      </c>
      <c r="G108" s="148" t="s">
        <v>945</v>
      </c>
      <c r="H108" s="147" t="s">
        <v>21</v>
      </c>
      <c r="I108" s="147" t="s">
        <v>22</v>
      </c>
      <c r="J108" s="147" t="s">
        <v>946</v>
      </c>
      <c r="K108" s="155" t="s">
        <v>947</v>
      </c>
      <c r="L108" s="147" t="s">
        <v>948</v>
      </c>
      <c r="M108" s="155" t="s">
        <v>949</v>
      </c>
      <c r="N108" s="147" t="s">
        <v>950</v>
      </c>
      <c r="O108" s="148" t="s">
        <v>951</v>
      </c>
      <c r="P108" s="148" t="s">
        <v>952</v>
      </c>
      <c r="Q108" s="147"/>
      <c r="R108" s="147"/>
      <c r="S108" s="147"/>
      <c r="T108" s="147"/>
      <c r="U108" s="147"/>
      <c r="V108" s="160">
        <v>8801713028320</v>
      </c>
      <c r="W108" s="149"/>
      <c r="X108" s="161" t="s">
        <v>953</v>
      </c>
      <c r="Y108" s="161"/>
      <c r="Z108" s="148" t="s">
        <v>954</v>
      </c>
      <c r="AA108" s="148" t="s">
        <v>955</v>
      </c>
      <c r="AB108" s="157">
        <v>45946</v>
      </c>
      <c r="AC108" s="147"/>
      <c r="AD108" s="147"/>
      <c r="AE108" s="147"/>
      <c r="AF108" s="147"/>
      <c r="AG108" s="147"/>
      <c r="AH108" s="147"/>
      <c r="AI108" s="147"/>
      <c r="AJ108" s="147"/>
      <c r="AK108" s="147"/>
      <c r="AL108" s="147"/>
      <c r="AM108" s="147"/>
      <c r="AN108" s="152" t="str" cm="1">
        <f t="array" ref="AN108">IFERROR(
  LOOKUP(
    2,
    1/((AB108:AM108&lt;&gt;"")*(ISNUMBER(AB108:AM108)+ISNONTEXT(AB108:AM108)&gt;0)),
    {10,20,30,40,45,50,60,70,75,80,90,100}
  ) &amp; "%",
  "0%"
)</f>
        <v>10%</v>
      </c>
      <c r="AO108" s="147"/>
      <c r="AP108" s="147"/>
      <c r="AQ108" s="147"/>
      <c r="AR108" s="147"/>
      <c r="AS108" s="147"/>
      <c r="AT108" s="147"/>
      <c r="AU108" s="147"/>
      <c r="AV108" s="147"/>
      <c r="AW108" s="147"/>
      <c r="AX108" s="147"/>
      <c r="AY108" s="233"/>
      <c r="AZ108" s="147"/>
      <c r="BA108" s="147"/>
    </row>
    <row r="109" spans="1:53" s="2" customFormat="1" ht="24.75" customHeight="1">
      <c r="A109" s="145"/>
      <c r="B109" s="147" t="s">
        <v>3</v>
      </c>
      <c r="C109" s="147"/>
      <c r="D109" s="147"/>
      <c r="E109" s="147"/>
      <c r="F109" s="148" t="s">
        <v>956</v>
      </c>
      <c r="G109" s="148" t="s">
        <v>957</v>
      </c>
      <c r="H109" s="147" t="s">
        <v>20</v>
      </c>
      <c r="I109" s="180" t="s">
        <v>22</v>
      </c>
      <c r="J109" s="147" t="s">
        <v>39</v>
      </c>
      <c r="K109" s="155" t="s">
        <v>801</v>
      </c>
      <c r="L109" s="147" t="s">
        <v>39</v>
      </c>
      <c r="M109" s="155" t="s">
        <v>39</v>
      </c>
      <c r="N109" s="147" t="s">
        <v>32</v>
      </c>
      <c r="O109" s="148" t="s">
        <v>958</v>
      </c>
      <c r="P109" s="148" t="s">
        <v>959</v>
      </c>
      <c r="Q109" s="147"/>
      <c r="R109" s="147"/>
      <c r="S109" s="147"/>
      <c r="T109" s="147"/>
      <c r="U109" s="147"/>
      <c r="V109" s="160">
        <v>65911332212</v>
      </c>
      <c r="W109" s="149"/>
      <c r="X109" s="161" t="s">
        <v>960</v>
      </c>
      <c r="Y109" s="161"/>
      <c r="Z109" s="148" t="s">
        <v>961</v>
      </c>
      <c r="AA109" s="148" t="s">
        <v>962</v>
      </c>
      <c r="AB109" s="157">
        <v>45946</v>
      </c>
      <c r="AC109" s="147"/>
      <c r="AD109" s="147"/>
      <c r="AE109" s="147"/>
      <c r="AF109" s="147"/>
      <c r="AG109" s="147"/>
      <c r="AH109" s="147"/>
      <c r="AI109" s="147"/>
      <c r="AJ109" s="147"/>
      <c r="AK109" s="147"/>
      <c r="AL109" s="147"/>
      <c r="AM109" s="147"/>
      <c r="AN109" s="152" t="str" cm="1">
        <f t="array" ref="AN109">IFERROR(
  LOOKUP(
    2,
    1/((AB109:AM109&lt;&gt;"")*(ISNUMBER(AB109:AM109)+ISNONTEXT(AB109:AM109)&gt;0)),
    {10,20,30,40,45,50,60,70,75,80,90,100}
  ) &amp; "%",
  "0%"
)</f>
        <v>10%</v>
      </c>
      <c r="AO109" s="147"/>
      <c r="AP109" s="147"/>
      <c r="AQ109" s="147"/>
      <c r="AR109" s="147"/>
      <c r="AS109" s="147"/>
      <c r="AT109" s="147"/>
      <c r="AU109" s="147"/>
      <c r="AV109" s="147"/>
      <c r="AW109" s="147"/>
      <c r="AX109" s="147"/>
      <c r="AY109" s="233"/>
      <c r="AZ109" s="147"/>
      <c r="BA109" s="147"/>
    </row>
    <row r="110" spans="1:53" s="2" customFormat="1" ht="24.75" customHeight="1">
      <c r="A110" s="145"/>
      <c r="B110" s="147" t="s">
        <v>3</v>
      </c>
      <c r="C110" s="147"/>
      <c r="D110" s="147"/>
      <c r="E110" s="147" t="s">
        <v>26</v>
      </c>
      <c r="F110" s="148" t="s">
        <v>963</v>
      </c>
      <c r="G110" s="148" t="s">
        <v>964</v>
      </c>
      <c r="H110" s="147" t="s">
        <v>21</v>
      </c>
      <c r="I110" s="147" t="s">
        <v>22</v>
      </c>
      <c r="J110" s="147" t="s">
        <v>198</v>
      </c>
      <c r="K110" s="155" t="s">
        <v>40</v>
      </c>
      <c r="L110" s="147" t="s">
        <v>198</v>
      </c>
      <c r="M110" s="155" t="s">
        <v>965</v>
      </c>
      <c r="N110" s="147" t="s">
        <v>33</v>
      </c>
      <c r="O110" s="148" t="s">
        <v>966</v>
      </c>
      <c r="P110" s="148" t="s">
        <v>967</v>
      </c>
      <c r="Q110" s="147"/>
      <c r="R110" s="147"/>
      <c r="S110" s="147"/>
      <c r="T110" s="147"/>
      <c r="U110" s="147"/>
      <c r="V110" s="160" t="s">
        <v>968</v>
      </c>
      <c r="W110" s="149"/>
      <c r="X110" s="161" t="s">
        <v>969</v>
      </c>
      <c r="Y110" s="161"/>
      <c r="Z110" s="148" t="s">
        <v>970</v>
      </c>
      <c r="AA110" s="148" t="s">
        <v>971</v>
      </c>
      <c r="AB110" s="157">
        <v>45947</v>
      </c>
      <c r="AC110" s="147"/>
      <c r="AD110" s="147"/>
      <c r="AE110" s="147"/>
      <c r="AF110" s="147"/>
      <c r="AG110" s="147"/>
      <c r="AH110" s="147"/>
      <c r="AI110" s="147"/>
      <c r="AJ110" s="147"/>
      <c r="AK110" s="147"/>
      <c r="AL110" s="147"/>
      <c r="AM110" s="147"/>
      <c r="AN110" s="152" t="str" cm="1">
        <f t="array" ref="AN110">IFERROR(
  LOOKUP(
    2,
    1/((AB110:AM110&lt;&gt;"")*(ISNUMBER(AB110:AM110)+ISNONTEXT(AB110:AM110)&gt;0)),
    {10,20,30,40,45,50,60,70,75,80,90,100}
  ) &amp; "%",
  "0%"
)</f>
        <v>10%</v>
      </c>
      <c r="AO110" s="147"/>
      <c r="AP110" s="147"/>
      <c r="AQ110" s="147"/>
      <c r="AR110" s="147"/>
      <c r="AS110" s="147"/>
      <c r="AT110" s="147"/>
      <c r="AU110" s="147"/>
      <c r="AV110" s="147"/>
      <c r="AW110" s="147"/>
      <c r="AX110" s="147"/>
      <c r="AY110" s="233"/>
      <c r="AZ110" s="147"/>
      <c r="BA110" s="147"/>
    </row>
    <row r="111" spans="1:53" ht="24.75" customHeight="1">
      <c r="A111" s="145"/>
      <c r="B111" s="147" t="s">
        <v>3</v>
      </c>
      <c r="C111" s="147"/>
      <c r="D111" s="147"/>
      <c r="E111" s="147" t="s">
        <v>26</v>
      </c>
      <c r="F111" s="148" t="s">
        <v>972</v>
      </c>
      <c r="G111" s="148"/>
      <c r="H111" s="147" t="s">
        <v>20</v>
      </c>
      <c r="I111" s="147"/>
      <c r="J111" s="147" t="s">
        <v>324</v>
      </c>
      <c r="K111" s="155" t="s">
        <v>37</v>
      </c>
      <c r="L111" s="147" t="s">
        <v>324</v>
      </c>
      <c r="M111" s="155" t="s">
        <v>973</v>
      </c>
      <c r="N111" s="147" t="s">
        <v>32</v>
      </c>
      <c r="O111" s="148" t="s">
        <v>974</v>
      </c>
      <c r="P111" s="148" t="s">
        <v>354</v>
      </c>
      <c r="Q111" s="147"/>
      <c r="R111" s="147"/>
      <c r="S111" s="147"/>
      <c r="T111" s="147"/>
      <c r="U111" s="147"/>
      <c r="V111" s="155" t="s">
        <v>975</v>
      </c>
      <c r="W111" s="147"/>
      <c r="X111" s="208" t="s">
        <v>976</v>
      </c>
      <c r="Y111" s="208"/>
      <c r="Z111" s="148"/>
      <c r="AA111" s="148" t="s">
        <v>977</v>
      </c>
      <c r="AB111" s="157">
        <v>45946</v>
      </c>
      <c r="AC111" s="147"/>
      <c r="AD111" s="147"/>
      <c r="AE111" s="147"/>
      <c r="AF111" s="147"/>
      <c r="AG111" s="147"/>
      <c r="AH111" s="147"/>
      <c r="AI111" s="147"/>
      <c r="AJ111" s="147"/>
      <c r="AK111" s="147"/>
      <c r="AL111" s="147"/>
      <c r="AM111" s="147"/>
      <c r="AN111" s="152" t="str" cm="1">
        <f t="array" ref="AN111">IFERROR(
  LOOKUP(
    2,
    1/((AB111:AM111&lt;&gt;"")*(ISNUMBER(AB111:AM111)+ISNONTEXT(AB111:AM111)&gt;0)),
    {10,20,30,40,45,50,60,70,75,80,90,100}
  ) &amp; "%",
  "0%"
)</f>
        <v>10%</v>
      </c>
      <c r="AO111" s="147"/>
      <c r="AP111" s="147"/>
      <c r="AQ111" s="147"/>
      <c r="AR111" s="147"/>
      <c r="AS111" s="147"/>
      <c r="AT111" s="147"/>
      <c r="AU111" s="147"/>
      <c r="AV111" s="147"/>
      <c r="AW111" s="147"/>
      <c r="AX111" s="147"/>
      <c r="AY111" s="233"/>
      <c r="AZ111" s="147"/>
      <c r="BA111" s="147"/>
    </row>
    <row r="112" spans="1:53" ht="24.75" customHeight="1">
      <c r="A112" s="145"/>
      <c r="B112" s="147" t="s">
        <v>3</v>
      </c>
      <c r="C112" s="147"/>
      <c r="D112" s="147"/>
      <c r="E112" s="147"/>
      <c r="F112" s="161" t="s">
        <v>978</v>
      </c>
      <c r="G112" s="148"/>
      <c r="H112" s="147" t="s">
        <v>20</v>
      </c>
      <c r="I112" s="147"/>
      <c r="J112" s="147" t="s">
        <v>324</v>
      </c>
      <c r="K112" s="155" t="s">
        <v>37</v>
      </c>
      <c r="L112" s="147" t="s">
        <v>324</v>
      </c>
      <c r="M112" s="155" t="s">
        <v>313</v>
      </c>
      <c r="N112" s="147" t="s">
        <v>32</v>
      </c>
      <c r="O112" s="148" t="s">
        <v>979</v>
      </c>
      <c r="P112" s="148" t="s">
        <v>771</v>
      </c>
      <c r="Q112" s="147"/>
      <c r="R112" s="147"/>
      <c r="S112" s="147"/>
      <c r="T112" s="147"/>
      <c r="U112" s="147"/>
      <c r="V112" s="155" t="s">
        <v>980</v>
      </c>
      <c r="W112" s="147"/>
      <c r="X112" s="161" t="s">
        <v>981</v>
      </c>
      <c r="Y112" s="161"/>
      <c r="Z112" s="148"/>
      <c r="AA112" s="148" t="s">
        <v>982</v>
      </c>
      <c r="AB112" s="157">
        <v>45946</v>
      </c>
      <c r="AC112" s="147"/>
      <c r="AD112" s="147"/>
      <c r="AE112" s="147"/>
      <c r="AF112" s="147"/>
      <c r="AG112" s="147"/>
      <c r="AH112" s="147"/>
      <c r="AI112" s="147"/>
      <c r="AJ112" s="147"/>
      <c r="AK112" s="147"/>
      <c r="AL112" s="147"/>
      <c r="AM112" s="147"/>
      <c r="AN112" s="152" t="str" cm="1">
        <f t="array" ref="AN112">IFERROR(
  LOOKUP(
    2,
    1/((AB112:AM112&lt;&gt;"")*(ISNUMBER(AB112:AM112)+ISNONTEXT(AB112:AM112)&gt;0)),
    {10,20,30,40,45,50,60,70,75,80,90,100}
  ) &amp; "%",
  "0%"
)</f>
        <v>10%</v>
      </c>
      <c r="AO112" s="147"/>
      <c r="AP112" s="147"/>
      <c r="AQ112" s="147"/>
      <c r="AR112" s="147"/>
      <c r="AS112" s="147"/>
      <c r="AT112" s="147"/>
      <c r="AU112" s="147"/>
      <c r="AV112" s="147"/>
      <c r="AW112" s="147"/>
      <c r="AX112" s="147"/>
      <c r="AY112" s="233"/>
      <c r="AZ112" s="147"/>
      <c r="BA112" s="147"/>
    </row>
    <row r="113" spans="1:53" ht="24.75" customHeight="1">
      <c r="A113" s="145"/>
      <c r="B113" s="147" t="s">
        <v>697</v>
      </c>
      <c r="C113" s="147" t="s">
        <v>14</v>
      </c>
      <c r="D113" s="147"/>
      <c r="E113" s="147" t="s">
        <v>26</v>
      </c>
      <c r="F113" s="168" t="s">
        <v>983</v>
      </c>
      <c r="G113" s="148" t="s">
        <v>984</v>
      </c>
      <c r="H113" s="147" t="s">
        <v>20</v>
      </c>
      <c r="I113" s="147"/>
      <c r="J113" s="147" t="s">
        <v>352</v>
      </c>
      <c r="K113" s="155" t="s">
        <v>37</v>
      </c>
      <c r="L113" s="147" t="s">
        <v>324</v>
      </c>
      <c r="M113" s="155" t="s">
        <v>402</v>
      </c>
      <c r="N113" s="147" t="s">
        <v>985</v>
      </c>
      <c r="O113" s="148" t="s">
        <v>986</v>
      </c>
      <c r="P113" s="148" t="s">
        <v>987</v>
      </c>
      <c r="Q113" s="147"/>
      <c r="R113" s="147"/>
      <c r="S113" s="147"/>
      <c r="T113" s="147"/>
      <c r="U113" s="147"/>
      <c r="V113" s="155"/>
      <c r="W113" s="147"/>
      <c r="X113" s="161" t="s">
        <v>988</v>
      </c>
      <c r="Y113" s="161"/>
      <c r="Z113" s="214" t="s">
        <v>989</v>
      </c>
      <c r="AA113" s="148"/>
      <c r="AB113" s="157">
        <v>45826</v>
      </c>
      <c r="AC113" s="157">
        <v>45926</v>
      </c>
      <c r="AD113" s="147"/>
      <c r="AE113" s="147"/>
      <c r="AF113" s="147"/>
      <c r="AG113" s="147"/>
      <c r="AH113" s="147"/>
      <c r="AI113" s="147"/>
      <c r="AJ113" s="147"/>
      <c r="AK113" s="147"/>
      <c r="AL113" s="147"/>
      <c r="AM113" s="147"/>
      <c r="AN113" s="152" t="str" cm="1">
        <f t="array" ref="AN113">IFERROR(
  LOOKUP(
    2,
    1/((AB113:AM113&lt;&gt;"")*(ISNUMBER(AB113:AM113)+ISNONTEXT(AB113:AM113)&gt;0)),
    {10,20,30,40,45,50,60,70,75,80,90,100}
  ) &amp; "%",
  "0%"
)</f>
        <v>20%</v>
      </c>
      <c r="AO113" s="181" t="s">
        <v>983</v>
      </c>
      <c r="AP113" s="147" t="s">
        <v>331</v>
      </c>
      <c r="AQ113" s="147" t="s">
        <v>331</v>
      </c>
      <c r="AR113" s="147" t="s">
        <v>331</v>
      </c>
      <c r="AS113" s="147" t="s">
        <v>331</v>
      </c>
      <c r="AT113" s="147" t="s">
        <v>658</v>
      </c>
      <c r="AU113" s="147"/>
      <c r="AV113" s="147"/>
      <c r="AW113" s="147"/>
      <c r="AX113" s="147"/>
      <c r="AY113" s="233"/>
      <c r="AZ113" s="147"/>
      <c r="BA113" s="147"/>
    </row>
    <row r="114" spans="1:53" ht="24.75" customHeight="1">
      <c r="A114" s="145"/>
      <c r="B114" s="147" t="s">
        <v>3</v>
      </c>
      <c r="C114" s="147"/>
      <c r="D114" s="147"/>
      <c r="E114" s="147" t="s">
        <v>26</v>
      </c>
      <c r="F114" s="161" t="s">
        <v>990</v>
      </c>
      <c r="G114" s="148"/>
      <c r="H114" s="147" t="s">
        <v>20</v>
      </c>
      <c r="I114" s="147"/>
      <c r="J114" s="147" t="s">
        <v>499</v>
      </c>
      <c r="K114" s="155" t="s">
        <v>37</v>
      </c>
      <c r="L114" s="147" t="s">
        <v>499</v>
      </c>
      <c r="M114" s="155" t="s">
        <v>500</v>
      </c>
      <c r="N114" s="147" t="s">
        <v>33</v>
      </c>
      <c r="O114" s="148" t="s">
        <v>565</v>
      </c>
      <c r="P114" s="148" t="s">
        <v>354</v>
      </c>
      <c r="Q114" s="147"/>
      <c r="R114" s="147"/>
      <c r="S114" s="147"/>
      <c r="T114" s="147"/>
      <c r="U114" s="147"/>
      <c r="V114" s="155" t="s">
        <v>991</v>
      </c>
      <c r="W114" s="147"/>
      <c r="X114" s="161" t="s">
        <v>992</v>
      </c>
      <c r="Y114" s="161"/>
      <c r="Z114" s="148"/>
      <c r="AA114" s="148" t="s">
        <v>993</v>
      </c>
      <c r="AB114" s="157">
        <v>45946</v>
      </c>
      <c r="AC114" s="147"/>
      <c r="AD114" s="147"/>
      <c r="AE114" s="147"/>
      <c r="AF114" s="147"/>
      <c r="AG114" s="147"/>
      <c r="AH114" s="147"/>
      <c r="AI114" s="147"/>
      <c r="AJ114" s="147"/>
      <c r="AK114" s="147"/>
      <c r="AL114" s="147"/>
      <c r="AM114" s="147"/>
      <c r="AN114" s="152" t="str" cm="1">
        <f t="array" ref="AN114">IFERROR(
  LOOKUP(
    2,
    1/((AB114:AM114&lt;&gt;"")*(ISNUMBER(AB114:AM114)+ISNONTEXT(AB114:AM114)&gt;0)),
    {10,20,30,40,45,50,60,70,75,80,90,100}
  ) &amp; "%",
  "0%"
)</f>
        <v>10%</v>
      </c>
      <c r="AO114" s="147"/>
      <c r="AP114" s="147"/>
      <c r="AQ114" s="147"/>
      <c r="AR114" s="147"/>
      <c r="AS114" s="147"/>
      <c r="AT114" s="147"/>
      <c r="AU114" s="147"/>
      <c r="AV114" s="147"/>
      <c r="AW114" s="147" t="s">
        <v>381</v>
      </c>
      <c r="AX114" s="147"/>
      <c r="AY114" s="233"/>
      <c r="AZ114" s="147"/>
      <c r="BA114" s="147"/>
    </row>
    <row r="115" spans="1:53" s="2" customFormat="1" ht="24.75" customHeight="1">
      <c r="A115" s="145"/>
      <c r="B115" s="147" t="s">
        <v>3</v>
      </c>
      <c r="C115" s="147"/>
      <c r="D115" s="147"/>
      <c r="E115" s="147"/>
      <c r="F115" s="148" t="s">
        <v>994</v>
      </c>
      <c r="G115" s="148" t="s">
        <v>995</v>
      </c>
      <c r="H115" s="147" t="s">
        <v>21</v>
      </c>
      <c r="I115" s="147" t="s">
        <v>22</v>
      </c>
      <c r="J115" s="147" t="s">
        <v>996</v>
      </c>
      <c r="K115" s="155" t="s">
        <v>997</v>
      </c>
      <c r="L115" s="147" t="s">
        <v>998</v>
      </c>
      <c r="M115" s="155" t="s">
        <v>999</v>
      </c>
      <c r="N115" s="147" t="s">
        <v>337</v>
      </c>
      <c r="O115" s="148" t="s">
        <v>1000</v>
      </c>
      <c r="P115" s="148" t="s">
        <v>1001</v>
      </c>
      <c r="Q115" s="147"/>
      <c r="R115" s="147"/>
      <c r="S115" s="147"/>
      <c r="T115" s="147"/>
      <c r="U115" s="147"/>
      <c r="V115" s="160" t="s">
        <v>1002</v>
      </c>
      <c r="W115" s="149"/>
      <c r="X115" s="161" t="s">
        <v>1003</v>
      </c>
      <c r="Y115" s="161"/>
      <c r="Z115" s="148" t="s">
        <v>1004</v>
      </c>
      <c r="AA115" s="148" t="s">
        <v>1005</v>
      </c>
      <c r="AB115" s="157">
        <v>45947</v>
      </c>
      <c r="AC115" s="147"/>
      <c r="AD115" s="147"/>
      <c r="AE115" s="147"/>
      <c r="AF115" s="147"/>
      <c r="AG115" s="147"/>
      <c r="AH115" s="147"/>
      <c r="AI115" s="147"/>
      <c r="AJ115" s="147"/>
      <c r="AK115" s="147"/>
      <c r="AL115" s="147"/>
      <c r="AM115" s="147"/>
      <c r="AN115" s="152" t="str" cm="1">
        <f t="array" ref="AN115">IFERROR(
  LOOKUP(
    2,
    1/((AB115:AM115&lt;&gt;"")*(ISNUMBER(AB115:AM115)+ISNONTEXT(AB115:AM115)&gt;0)),
    {10,20,30,40,45,50,60,70,75,80,90,100}
  ) &amp; "%",
  "0%"
)</f>
        <v>10%</v>
      </c>
      <c r="AO115" s="147"/>
      <c r="AP115" s="147"/>
      <c r="AQ115" s="147"/>
      <c r="AR115" s="147"/>
      <c r="AS115" s="147"/>
      <c r="AT115" s="147"/>
      <c r="AU115" s="147"/>
      <c r="AV115" s="147"/>
      <c r="AW115" s="147"/>
      <c r="AX115" s="147"/>
      <c r="AY115" s="233"/>
      <c r="AZ115" s="147"/>
      <c r="BA115" s="147"/>
    </row>
    <row r="116" spans="1:53" ht="24.75" customHeight="1">
      <c r="A116" s="145"/>
      <c r="B116" s="147" t="s">
        <v>3</v>
      </c>
      <c r="C116" s="147"/>
      <c r="D116" s="147"/>
      <c r="E116" s="147" t="s">
        <v>26</v>
      </c>
      <c r="F116" s="194" t="s">
        <v>1006</v>
      </c>
      <c r="G116" s="148" t="s">
        <v>1007</v>
      </c>
      <c r="H116" s="147" t="s">
        <v>21</v>
      </c>
      <c r="I116" s="147" t="s">
        <v>22</v>
      </c>
      <c r="J116" s="147" t="s">
        <v>469</v>
      </c>
      <c r="K116" s="155" t="s">
        <v>801</v>
      </c>
      <c r="L116" s="147" t="s">
        <v>469</v>
      </c>
      <c r="M116" s="155" t="s">
        <v>470</v>
      </c>
      <c r="N116" s="147" t="s">
        <v>950</v>
      </c>
      <c r="O116" s="148" t="s">
        <v>1008</v>
      </c>
      <c r="P116" s="148" t="s">
        <v>1009</v>
      </c>
      <c r="Q116" s="147"/>
      <c r="R116" s="147"/>
      <c r="S116" s="147"/>
      <c r="T116" s="147"/>
      <c r="U116" s="147"/>
      <c r="V116" s="155"/>
      <c r="W116" s="147"/>
      <c r="X116" s="148" t="s">
        <v>1010</v>
      </c>
      <c r="Y116" s="148" t="s">
        <v>1011</v>
      </c>
      <c r="Z116" s="148" t="s">
        <v>1012</v>
      </c>
      <c r="AA116" s="148" t="s">
        <v>1013</v>
      </c>
      <c r="AB116" s="157">
        <v>45946</v>
      </c>
      <c r="AC116" s="147"/>
      <c r="AD116" s="147"/>
      <c r="AE116" s="147"/>
      <c r="AF116" s="147"/>
      <c r="AG116" s="147"/>
      <c r="AH116" s="147"/>
      <c r="AI116" s="147"/>
      <c r="AJ116" s="147"/>
      <c r="AK116" s="147"/>
      <c r="AL116" s="147"/>
      <c r="AM116" s="147"/>
      <c r="AN116" s="152" t="str" cm="1">
        <f t="array" ref="AN116">IFERROR(
  LOOKUP(
    2,
    1/((AB116:AM116&lt;&gt;"")*(ISNUMBER(AB116:AM116)+ISNONTEXT(AB116:AM116)&gt;0)),
    {10,20,30,40,45,50,60,70,75,80,90,100}
  ) &amp; "%",
  "0%"
)</f>
        <v>10%</v>
      </c>
      <c r="AO116" s="147" t="s">
        <v>1014</v>
      </c>
      <c r="AP116" s="147"/>
      <c r="AQ116" s="147"/>
      <c r="AR116" s="147"/>
      <c r="AS116" s="147"/>
      <c r="AT116" s="147"/>
      <c r="AU116" s="147"/>
      <c r="AV116" s="147"/>
      <c r="AW116" s="147"/>
      <c r="AX116" s="147"/>
      <c r="AY116" s="233" t="s">
        <v>1015</v>
      </c>
      <c r="AZ116" s="147"/>
      <c r="BA116" s="147"/>
    </row>
    <row r="117" spans="1:53" ht="24.75" customHeight="1">
      <c r="A117" s="145"/>
      <c r="B117" s="147" t="s">
        <v>3</v>
      </c>
      <c r="C117" s="147"/>
      <c r="D117" s="147"/>
      <c r="E117" s="147" t="s">
        <v>26</v>
      </c>
      <c r="F117" s="161" t="s">
        <v>1016</v>
      </c>
      <c r="G117" s="148" t="s">
        <v>1017</v>
      </c>
      <c r="H117" s="147" t="s">
        <v>20</v>
      </c>
      <c r="I117" s="147"/>
      <c r="J117" s="147" t="s">
        <v>324</v>
      </c>
      <c r="K117" s="155" t="s">
        <v>37</v>
      </c>
      <c r="L117" s="147" t="s">
        <v>324</v>
      </c>
      <c r="M117" s="155" t="s">
        <v>402</v>
      </c>
      <c r="N117" s="147" t="s">
        <v>32</v>
      </c>
      <c r="O117" s="148" t="s">
        <v>1018</v>
      </c>
      <c r="P117" s="148" t="s">
        <v>1019</v>
      </c>
      <c r="Q117" s="147"/>
      <c r="R117" s="147"/>
      <c r="S117" s="147"/>
      <c r="T117" s="147"/>
      <c r="U117" s="147"/>
      <c r="V117" s="155" t="s">
        <v>1020</v>
      </c>
      <c r="W117" s="147"/>
      <c r="X117" s="161" t="s">
        <v>1021</v>
      </c>
      <c r="Y117" s="161"/>
      <c r="Z117" s="148"/>
      <c r="AA117" s="148" t="s">
        <v>1022</v>
      </c>
      <c r="AB117" s="157">
        <v>45950</v>
      </c>
      <c r="AC117" s="147"/>
      <c r="AD117" s="147"/>
      <c r="AE117" s="147"/>
      <c r="AF117" s="147"/>
      <c r="AG117" s="147"/>
      <c r="AH117" s="147"/>
      <c r="AI117" s="147"/>
      <c r="AJ117" s="147"/>
      <c r="AK117" s="147"/>
      <c r="AL117" s="147"/>
      <c r="AM117" s="147"/>
      <c r="AN117" s="152" t="str" cm="1">
        <f t="array" ref="AN117">IFERROR(
  LOOKUP(
    2,
    1/((AB117:AM117&lt;&gt;"")*(ISNUMBER(AB117:AM117)+ISNONTEXT(AB117:AM117)&gt;0)),
    {10,20,30,40,45,50,60,70,75,80,90,100}
  ) &amp; "%",
  "0%"
)</f>
        <v>10%</v>
      </c>
      <c r="AO117" s="147"/>
      <c r="AP117" s="147"/>
      <c r="AQ117" s="147"/>
      <c r="AR117" s="147"/>
      <c r="AS117" s="147"/>
      <c r="AT117" s="147"/>
      <c r="AU117" s="147"/>
      <c r="AV117" s="147"/>
      <c r="AW117" s="147"/>
      <c r="AX117" s="147"/>
      <c r="AY117" s="233"/>
      <c r="AZ117" s="147"/>
      <c r="BA117" s="147"/>
    </row>
    <row r="118" spans="1:53" ht="24.75" customHeight="1">
      <c r="A118" s="145"/>
      <c r="B118" s="147" t="s">
        <v>750</v>
      </c>
      <c r="C118" s="147"/>
      <c r="D118" s="147"/>
      <c r="E118" s="147" t="s">
        <v>26</v>
      </c>
      <c r="F118" s="148" t="s">
        <v>1023</v>
      </c>
      <c r="G118" s="148" t="s">
        <v>1024</v>
      </c>
      <c r="H118" s="147" t="s">
        <v>21</v>
      </c>
      <c r="I118" s="147" t="s">
        <v>23</v>
      </c>
      <c r="J118" s="147" t="s">
        <v>363</v>
      </c>
      <c r="K118" s="155" t="s">
        <v>801</v>
      </c>
      <c r="L118" s="147" t="s">
        <v>363</v>
      </c>
      <c r="M118" s="155" t="s">
        <v>858</v>
      </c>
      <c r="N118" s="147" t="s">
        <v>950</v>
      </c>
      <c r="O118" s="148" t="s">
        <v>1025</v>
      </c>
      <c r="P118" s="148" t="s">
        <v>1026</v>
      </c>
      <c r="Q118" s="147"/>
      <c r="R118" s="147"/>
      <c r="S118" s="147"/>
      <c r="T118" s="147"/>
      <c r="U118" s="147"/>
      <c r="V118" s="155"/>
      <c r="W118" s="147"/>
      <c r="X118" s="161" t="s">
        <v>1027</v>
      </c>
      <c r="Y118" s="161" t="s">
        <v>1028</v>
      </c>
      <c r="Z118" s="148" t="s">
        <v>1029</v>
      </c>
      <c r="AA118" s="148" t="s">
        <v>1030</v>
      </c>
      <c r="AB118" s="157">
        <v>45995</v>
      </c>
      <c r="AC118" s="147"/>
      <c r="AD118" s="147"/>
      <c r="AE118" s="147"/>
      <c r="AF118" s="147"/>
      <c r="AG118" s="147"/>
      <c r="AH118" s="147"/>
      <c r="AI118" s="147"/>
      <c r="AJ118" s="147"/>
      <c r="AK118" s="147"/>
      <c r="AL118" s="147"/>
      <c r="AM118" s="147"/>
      <c r="AN118" s="152" t="str" cm="1">
        <f t="array" ref="AN118">IFERROR(
  LOOKUP(
    2,
    1/((AB118:AM118&lt;&gt;"")*(ISNUMBER(AB118:AM118)+ISNONTEXT(AB118:AM118)&gt;0)),
    {10,20,30,40,45,50,60,70,75,80,90,100}
  ) &amp; "%",
  "0%"
)</f>
        <v>10%</v>
      </c>
      <c r="AO118" s="147"/>
      <c r="AP118" s="147"/>
      <c r="AQ118" s="147"/>
      <c r="AR118" s="147"/>
      <c r="AS118" s="147"/>
      <c r="AT118" s="147"/>
      <c r="AU118" s="147"/>
      <c r="AV118" s="147"/>
      <c r="AW118" s="147"/>
      <c r="AX118" s="147"/>
      <c r="AY118" s="233"/>
      <c r="AZ118" s="147"/>
      <c r="BA118" s="147"/>
    </row>
    <row r="119" spans="1:53" ht="24.75" customHeight="1">
      <c r="A119" s="145"/>
      <c r="B119" s="147" t="s">
        <v>4</v>
      </c>
      <c r="C119" s="147" t="s">
        <v>14</v>
      </c>
      <c r="D119" s="147"/>
      <c r="E119" s="147" t="s">
        <v>26</v>
      </c>
      <c r="F119" s="148" t="s">
        <v>1031</v>
      </c>
      <c r="G119" s="148" t="s">
        <v>1032</v>
      </c>
      <c r="H119" s="147" t="s">
        <v>20</v>
      </c>
      <c r="I119" s="147"/>
      <c r="J119" s="147" t="s">
        <v>352</v>
      </c>
      <c r="K119" s="155" t="s">
        <v>37</v>
      </c>
      <c r="L119" s="147" t="s">
        <v>324</v>
      </c>
      <c r="M119" s="155" t="s">
        <v>313</v>
      </c>
      <c r="N119" s="147" t="s">
        <v>32</v>
      </c>
      <c r="O119" s="148" t="s">
        <v>1033</v>
      </c>
      <c r="P119" s="148" t="s">
        <v>1034</v>
      </c>
      <c r="Q119" s="147"/>
      <c r="R119" s="147"/>
      <c r="S119" s="147"/>
      <c r="T119" s="147"/>
      <c r="U119" s="147"/>
      <c r="V119" s="155" t="s">
        <v>1035</v>
      </c>
      <c r="W119" s="147"/>
      <c r="X119" s="161" t="s">
        <v>1036</v>
      </c>
      <c r="Y119" s="161"/>
      <c r="Z119" s="148"/>
      <c r="AA119" s="173" t="s">
        <v>1037</v>
      </c>
      <c r="AB119" s="157">
        <v>45173</v>
      </c>
      <c r="AC119" s="147"/>
      <c r="AD119" s="157">
        <v>45904</v>
      </c>
      <c r="AE119" s="157">
        <v>45905</v>
      </c>
      <c r="AF119" s="147"/>
      <c r="AG119" s="147"/>
      <c r="AH119" s="147"/>
      <c r="AI119" s="157">
        <v>45916</v>
      </c>
      <c r="AJ119" s="147"/>
      <c r="AK119" s="157">
        <v>45940</v>
      </c>
      <c r="AL119" s="157">
        <v>45940</v>
      </c>
      <c r="AM119" s="157"/>
      <c r="AN119" s="152" t="str" cm="1">
        <f t="array" ref="AN119">IFERROR(
  LOOKUP(
    2,
    1/((AB119:AM119&lt;&gt;"")*(ISNUMBER(AB119:AM119)+ISNONTEXT(AB119:AM119)&gt;0)),
    {10,20,30,40,45,50,60,70,75,80,90,100}
  ) &amp; "%",
  "0%"
)</f>
        <v>90%</v>
      </c>
      <c r="AO119" s="181" t="s">
        <v>1031</v>
      </c>
      <c r="AP119" s="147" t="s">
        <v>398</v>
      </c>
      <c r="AQ119" s="147" t="s">
        <v>398</v>
      </c>
      <c r="AR119" s="147" t="s">
        <v>398</v>
      </c>
      <c r="AS119" s="147" t="s">
        <v>398</v>
      </c>
      <c r="AT119" s="147" t="s">
        <v>658</v>
      </c>
      <c r="AU119" s="147">
        <v>15</v>
      </c>
      <c r="AV119" s="147" t="s">
        <v>679</v>
      </c>
      <c r="AW119" s="147" t="s">
        <v>1038</v>
      </c>
      <c r="AX119" s="154" t="s">
        <v>334</v>
      </c>
      <c r="AY119" s="233"/>
      <c r="AZ119" s="147"/>
      <c r="BA119" s="147"/>
    </row>
    <row r="120" spans="1:53" ht="24.75" customHeight="1">
      <c r="A120" s="145"/>
      <c r="B120" s="147" t="s">
        <v>697</v>
      </c>
      <c r="C120" s="147"/>
      <c r="D120" s="147"/>
      <c r="E120" s="147" t="s">
        <v>26</v>
      </c>
      <c r="F120" s="195" t="s">
        <v>1039</v>
      </c>
      <c r="G120" s="148" t="s">
        <v>1040</v>
      </c>
      <c r="H120" s="147" t="s">
        <v>20</v>
      </c>
      <c r="I120" s="147"/>
      <c r="J120" s="147" t="s">
        <v>324</v>
      </c>
      <c r="K120" s="155" t="s">
        <v>37</v>
      </c>
      <c r="L120" s="147" t="s">
        <v>324</v>
      </c>
      <c r="M120" s="155" t="s">
        <v>402</v>
      </c>
      <c r="N120" s="147" t="s">
        <v>32</v>
      </c>
      <c r="O120" s="148" t="s">
        <v>1041</v>
      </c>
      <c r="P120" s="148" t="s">
        <v>1042</v>
      </c>
      <c r="Q120" s="147"/>
      <c r="R120" s="147"/>
      <c r="S120" s="147"/>
      <c r="T120" s="147"/>
      <c r="U120" s="147"/>
      <c r="V120" s="155" t="s">
        <v>1043</v>
      </c>
      <c r="W120" s="147"/>
      <c r="X120" s="161" t="s">
        <v>1044</v>
      </c>
      <c r="Y120" s="161"/>
      <c r="Z120" s="148"/>
      <c r="AA120" s="148" t="s">
        <v>1045</v>
      </c>
      <c r="AB120" s="157">
        <v>45176</v>
      </c>
      <c r="AC120" s="157">
        <v>45908</v>
      </c>
      <c r="AD120" s="147"/>
      <c r="AE120" s="147"/>
      <c r="AF120" s="147"/>
      <c r="AG120" s="147"/>
      <c r="AH120" s="147"/>
      <c r="AI120" s="147"/>
      <c r="AJ120" s="147"/>
      <c r="AK120" s="147"/>
      <c r="AL120" s="147"/>
      <c r="AM120" s="147"/>
      <c r="AN120" s="152" t="str" cm="1">
        <f t="array" ref="AN120">IFERROR(
  LOOKUP(
    2,
    1/((AB120:AM120&lt;&gt;"")*(ISNUMBER(AB120:AM120)+ISNONTEXT(AB120:AM120)&gt;0)),
    {10,20,30,40,45,50,60,70,75,80,90,100}
  ) &amp; "%",
  "0%"
)</f>
        <v>20%</v>
      </c>
      <c r="AO120" s="181" t="s">
        <v>1039</v>
      </c>
      <c r="AP120" s="147" t="s">
        <v>398</v>
      </c>
      <c r="AQ120" s="147" t="s">
        <v>398</v>
      </c>
      <c r="AR120" s="147" t="s">
        <v>398</v>
      </c>
      <c r="AS120" s="147" t="s">
        <v>398</v>
      </c>
      <c r="AT120" s="147" t="s">
        <v>658</v>
      </c>
      <c r="AU120" s="147"/>
      <c r="AV120" s="147"/>
      <c r="AW120" s="147"/>
      <c r="AX120" s="147"/>
      <c r="AY120" s="233"/>
      <c r="AZ120" s="147"/>
      <c r="BA120" s="147"/>
    </row>
    <row r="121" spans="1:53" ht="24.75" customHeight="1">
      <c r="A121" s="145"/>
      <c r="B121" s="147" t="s">
        <v>4</v>
      </c>
      <c r="C121" s="147" t="s">
        <v>14</v>
      </c>
      <c r="D121" s="147"/>
      <c r="E121" s="147" t="s">
        <v>26</v>
      </c>
      <c r="F121" s="148" t="s">
        <v>1046</v>
      </c>
      <c r="G121" s="148" t="s">
        <v>1046</v>
      </c>
      <c r="H121" s="147" t="s">
        <v>23</v>
      </c>
      <c r="I121" s="147"/>
      <c r="J121" s="147" t="s">
        <v>304</v>
      </c>
      <c r="K121" s="155" t="s">
        <v>37</v>
      </c>
      <c r="L121" s="147" t="s">
        <v>304</v>
      </c>
      <c r="M121" s="155" t="s">
        <v>384</v>
      </c>
      <c r="N121" s="147" t="s">
        <v>32</v>
      </c>
      <c r="O121" s="148" t="s">
        <v>420</v>
      </c>
      <c r="P121" s="148" t="s">
        <v>421</v>
      </c>
      <c r="Q121" s="155"/>
      <c r="R121" s="155"/>
      <c r="S121" s="155"/>
      <c r="T121" s="155"/>
      <c r="U121" s="155"/>
      <c r="V121" s="155" t="s">
        <v>1047</v>
      </c>
      <c r="W121" s="155"/>
      <c r="X121" s="148" t="s">
        <v>1048</v>
      </c>
      <c r="Y121" s="148"/>
      <c r="Z121" s="148"/>
      <c r="AA121" s="148" t="s">
        <v>1049</v>
      </c>
      <c r="AB121" s="157">
        <v>45954</v>
      </c>
      <c r="AC121" s="147"/>
      <c r="AD121" s="147"/>
      <c r="AE121" s="147"/>
      <c r="AF121" s="147"/>
      <c r="AG121" s="147"/>
      <c r="AH121" s="147"/>
      <c r="AI121" s="147"/>
      <c r="AJ121" s="147"/>
      <c r="AK121" s="147"/>
      <c r="AL121" s="147"/>
      <c r="AM121" s="147"/>
      <c r="AN121" s="152" t="str" cm="1">
        <f t="array" ref="AN121">IFERROR(
  LOOKUP(
    2,
    1/((AB121:AM121&lt;&gt;"")*(ISNUMBER(AB121:AM121)+ISNONTEXT(AB121:AM121)&gt;0)),
    {10,20,30,40,45,50,60,70,75,80,90,100}
  ) &amp; "%",
  "0%"
)</f>
        <v>10%</v>
      </c>
      <c r="AO121" s="147"/>
      <c r="AP121" s="147"/>
      <c r="AQ121" s="147"/>
      <c r="AR121" s="147"/>
      <c r="AS121" s="147"/>
      <c r="AT121" s="147"/>
      <c r="AU121" s="147"/>
      <c r="AV121" s="147"/>
      <c r="AW121" s="147"/>
      <c r="AX121" s="154" t="s">
        <v>334</v>
      </c>
      <c r="AY121" s="233"/>
      <c r="AZ121" s="147"/>
      <c r="BA121" s="147"/>
    </row>
    <row r="122" spans="1:53" s="2" customFormat="1" ht="24.75" customHeight="1">
      <c r="A122" s="145"/>
      <c r="B122" s="147" t="s">
        <v>3</v>
      </c>
      <c r="C122" s="147"/>
      <c r="D122" s="147"/>
      <c r="E122" s="147" t="s">
        <v>26</v>
      </c>
      <c r="F122" s="148" t="s">
        <v>1050</v>
      </c>
      <c r="G122" s="148" t="s">
        <v>1051</v>
      </c>
      <c r="H122" s="147" t="s">
        <v>21</v>
      </c>
      <c r="I122" s="147" t="s">
        <v>22</v>
      </c>
      <c r="J122" s="147" t="s">
        <v>1052</v>
      </c>
      <c r="K122" s="155" t="s">
        <v>1053</v>
      </c>
      <c r="L122" s="147" t="s">
        <v>1054</v>
      </c>
      <c r="M122" s="155" t="s">
        <v>1055</v>
      </c>
      <c r="N122" s="147" t="s">
        <v>32</v>
      </c>
      <c r="O122" s="148" t="s">
        <v>1056</v>
      </c>
      <c r="P122" s="148" t="s">
        <v>1057</v>
      </c>
      <c r="Q122" s="147" t="s">
        <v>1058</v>
      </c>
      <c r="R122" s="147" t="s">
        <v>1059</v>
      </c>
      <c r="S122" s="147"/>
      <c r="T122" s="147"/>
      <c r="U122" s="147"/>
      <c r="V122" s="155" t="s">
        <v>1060</v>
      </c>
      <c r="W122" s="147"/>
      <c r="X122" s="161" t="s">
        <v>1061</v>
      </c>
      <c r="Y122" s="161"/>
      <c r="Z122" s="148" t="s">
        <v>1062</v>
      </c>
      <c r="AA122" s="148"/>
      <c r="AB122" s="157">
        <v>45953</v>
      </c>
      <c r="AC122" s="147"/>
      <c r="AD122" s="147"/>
      <c r="AE122" s="147"/>
      <c r="AF122" s="147"/>
      <c r="AG122" s="147"/>
      <c r="AH122" s="147"/>
      <c r="AI122" s="147"/>
      <c r="AJ122" s="147"/>
      <c r="AK122" s="147"/>
      <c r="AL122" s="147"/>
      <c r="AM122" s="147"/>
      <c r="AN122" s="152" t="str" cm="1">
        <f t="array" ref="AN122">IFERROR(
  LOOKUP(
    2,
    1/((AB122:AM122&lt;&gt;"")*(ISNUMBER(AB122:AM122)+ISNONTEXT(AB122:AM122)&gt;0)),
    {10,20,30,40,45,50,60,70,75,80,90,100}
  ) &amp; "%",
  "0%"
)</f>
        <v>10%</v>
      </c>
      <c r="AO122" s="147"/>
      <c r="AP122" s="147"/>
      <c r="AQ122" s="147"/>
      <c r="AR122" s="147"/>
      <c r="AS122" s="147"/>
      <c r="AT122" s="147"/>
      <c r="AU122" s="147"/>
      <c r="AV122" s="147"/>
      <c r="AW122" s="147"/>
      <c r="AX122" s="147"/>
      <c r="AY122" s="233" t="s">
        <v>1063</v>
      </c>
      <c r="AZ122" s="147"/>
      <c r="BA122" s="147"/>
    </row>
    <row r="123" spans="1:53" ht="24.75" customHeight="1">
      <c r="A123" s="145"/>
      <c r="B123" s="147" t="s">
        <v>3</v>
      </c>
      <c r="C123" s="147"/>
      <c r="D123" s="147"/>
      <c r="E123" s="147" t="s">
        <v>26</v>
      </c>
      <c r="F123" s="148" t="s">
        <v>1064</v>
      </c>
      <c r="G123" s="148"/>
      <c r="H123" s="147" t="s">
        <v>23</v>
      </c>
      <c r="I123" s="147"/>
      <c r="J123" s="147"/>
      <c r="K123" s="155"/>
      <c r="L123" s="147" t="s">
        <v>324</v>
      </c>
      <c r="M123" s="155" t="s">
        <v>313</v>
      </c>
      <c r="N123" s="147" t="s">
        <v>32</v>
      </c>
      <c r="O123" s="148" t="s">
        <v>1065</v>
      </c>
      <c r="P123" s="148"/>
      <c r="Q123" s="147"/>
      <c r="R123" s="147"/>
      <c r="S123" s="147" t="s">
        <v>4</v>
      </c>
      <c r="T123" s="147"/>
      <c r="U123" s="147"/>
      <c r="V123" s="155"/>
      <c r="W123" s="147"/>
      <c r="X123" s="148"/>
      <c r="Y123" s="148"/>
      <c r="Z123" s="148"/>
      <c r="AA123" s="148"/>
      <c r="AB123" s="147"/>
      <c r="AC123" s="147"/>
      <c r="AD123" s="147"/>
      <c r="AE123" s="147"/>
      <c r="AF123" s="147"/>
      <c r="AG123" s="147"/>
      <c r="AH123" s="147"/>
      <c r="AI123" s="147"/>
      <c r="AJ123" s="147"/>
      <c r="AK123" s="147"/>
      <c r="AL123" s="147"/>
      <c r="AM123" s="147"/>
      <c r="AN123" s="152" t="str" cm="1">
        <f t="array" ref="AN123">IFERROR(
  LOOKUP(
    2,
    1/((AB123:AM123&lt;&gt;"")*(ISNUMBER(AB123:AM123)+ISNONTEXT(AB123:AM123)&gt;0)),
    {10,20,30,40,45,50,60,70,75,80,90,100}
  ) &amp; "%",
  "0%"
)</f>
        <v>0%</v>
      </c>
      <c r="AO123" s="147"/>
      <c r="AP123" s="147"/>
      <c r="AQ123" s="147"/>
      <c r="AR123" s="147"/>
      <c r="AS123" s="147"/>
      <c r="AT123" s="147"/>
      <c r="AU123" s="147"/>
      <c r="AV123" s="147"/>
      <c r="AW123" s="147"/>
      <c r="AX123" s="147"/>
      <c r="AY123" s="233"/>
      <c r="AZ123" s="147"/>
      <c r="BA123" s="147"/>
    </row>
    <row r="124" spans="1:53" s="2" customFormat="1" ht="24.75" customHeight="1">
      <c r="A124" s="145"/>
      <c r="B124" s="147" t="s">
        <v>3</v>
      </c>
      <c r="C124" s="147"/>
      <c r="D124" s="147"/>
      <c r="E124" s="147" t="s">
        <v>26</v>
      </c>
      <c r="F124" s="148" t="s">
        <v>1066</v>
      </c>
      <c r="G124" s="148"/>
      <c r="H124" s="147" t="s">
        <v>23</v>
      </c>
      <c r="I124" s="147"/>
      <c r="J124" s="147" t="s">
        <v>469</v>
      </c>
      <c r="K124" s="155" t="s">
        <v>801</v>
      </c>
      <c r="L124" s="147" t="s">
        <v>469</v>
      </c>
      <c r="M124" s="155" t="s">
        <v>470</v>
      </c>
      <c r="N124" s="147" t="s">
        <v>32</v>
      </c>
      <c r="O124" s="148"/>
      <c r="P124" s="148"/>
      <c r="Q124" s="147"/>
      <c r="R124" s="147"/>
      <c r="S124" s="147" t="s">
        <v>4</v>
      </c>
      <c r="T124" s="147"/>
      <c r="U124" s="147"/>
      <c r="V124" s="155"/>
      <c r="W124" s="147"/>
      <c r="X124" s="148"/>
      <c r="Y124" s="148"/>
      <c r="Z124" s="148"/>
      <c r="AA124" s="148"/>
      <c r="AB124" s="147"/>
      <c r="AC124" s="147"/>
      <c r="AD124" s="147"/>
      <c r="AE124" s="147"/>
      <c r="AF124" s="147"/>
      <c r="AG124" s="147"/>
      <c r="AH124" s="147"/>
      <c r="AI124" s="147"/>
      <c r="AJ124" s="147"/>
      <c r="AK124" s="147"/>
      <c r="AL124" s="147"/>
      <c r="AM124" s="147"/>
      <c r="AN124" s="147"/>
      <c r="AO124" s="147"/>
      <c r="AP124" s="147"/>
      <c r="AQ124" s="147"/>
      <c r="AR124" s="147"/>
      <c r="AS124" s="147"/>
      <c r="AT124" s="147"/>
      <c r="AU124" s="147"/>
      <c r="AV124" s="147"/>
      <c r="AW124" s="147"/>
      <c r="AX124" s="147"/>
      <c r="AY124" s="233"/>
      <c r="AZ124" s="147"/>
      <c r="BA124" s="147"/>
    </row>
    <row r="125" spans="1:53" ht="24.75" customHeight="1">
      <c r="A125" s="145"/>
      <c r="B125" s="147" t="s">
        <v>3</v>
      </c>
      <c r="C125" s="147" t="s">
        <v>14</v>
      </c>
      <c r="D125" s="147"/>
      <c r="E125" s="147" t="s">
        <v>26</v>
      </c>
      <c r="F125" s="148" t="s">
        <v>1067</v>
      </c>
      <c r="G125" s="148"/>
      <c r="H125" s="147" t="s">
        <v>20</v>
      </c>
      <c r="I125" s="147"/>
      <c r="J125" s="147" t="s">
        <v>324</v>
      </c>
      <c r="K125" s="155" t="s">
        <v>37</v>
      </c>
      <c r="L125" s="147" t="s">
        <v>324</v>
      </c>
      <c r="M125" s="155" t="s">
        <v>402</v>
      </c>
      <c r="N125" s="147" t="s">
        <v>32</v>
      </c>
      <c r="O125" s="148" t="s">
        <v>1068</v>
      </c>
      <c r="P125" s="148" t="s">
        <v>1069</v>
      </c>
      <c r="Q125" s="147"/>
      <c r="R125" s="147"/>
      <c r="S125" s="147"/>
      <c r="T125" s="147"/>
      <c r="U125" s="147"/>
      <c r="V125" s="155" t="s">
        <v>1070</v>
      </c>
      <c r="W125" s="147"/>
      <c r="X125" s="161" t="s">
        <v>1071</v>
      </c>
      <c r="Y125" s="148"/>
      <c r="Z125" s="148"/>
      <c r="AA125" s="148" t="s">
        <v>1072</v>
      </c>
      <c r="AB125" s="157">
        <v>45893</v>
      </c>
      <c r="AC125" s="147"/>
      <c r="AD125" s="147"/>
      <c r="AE125" s="147"/>
      <c r="AF125" s="147"/>
      <c r="AG125" s="147"/>
      <c r="AH125" s="147"/>
      <c r="AI125" s="147"/>
      <c r="AJ125" s="147"/>
      <c r="AK125" s="147"/>
      <c r="AL125" s="147"/>
      <c r="AM125" s="147"/>
      <c r="AN125" s="152" t="str" cm="1">
        <f t="array" ref="AN125">IFERROR(
  LOOKUP(
    2,
    1/((AB125:AM125&lt;&gt;"")*(ISNUMBER(AB125:AM125)+ISNONTEXT(AB125:AM125)&gt;0)),
    {10,20,30,40,45,50,60,70,75,80,90,100}
  ) &amp; "%",
  "0%"
)</f>
        <v>10%</v>
      </c>
      <c r="AO125" s="147"/>
      <c r="AP125" s="147"/>
      <c r="AQ125" s="147"/>
      <c r="AR125" s="147"/>
      <c r="AS125" s="147"/>
      <c r="AT125" s="147"/>
      <c r="AU125" s="147"/>
      <c r="AV125" s="147"/>
      <c r="AW125" s="147"/>
      <c r="AX125" s="147"/>
      <c r="AY125" s="233"/>
      <c r="AZ125" s="147"/>
      <c r="BA125" s="147"/>
    </row>
    <row r="126" spans="1:53" ht="24.75" customHeight="1">
      <c r="A126" s="145"/>
      <c r="B126" s="147" t="s">
        <v>2</v>
      </c>
      <c r="C126" s="147"/>
      <c r="D126" s="147"/>
      <c r="E126" s="147" t="s">
        <v>26</v>
      </c>
      <c r="F126" s="148" t="s">
        <v>1073</v>
      </c>
      <c r="G126" s="148" t="s">
        <v>1073</v>
      </c>
      <c r="H126" s="147" t="s">
        <v>20</v>
      </c>
      <c r="I126" s="180" t="s">
        <v>22</v>
      </c>
      <c r="J126" s="147" t="s">
        <v>1074</v>
      </c>
      <c r="K126" s="155" t="s">
        <v>801</v>
      </c>
      <c r="L126" s="147" t="s">
        <v>1074</v>
      </c>
      <c r="M126" s="155" t="s">
        <v>1075</v>
      </c>
      <c r="N126" s="147" t="s">
        <v>32</v>
      </c>
      <c r="O126" s="148"/>
      <c r="P126" s="148"/>
      <c r="Q126" s="147"/>
      <c r="R126" s="147"/>
      <c r="S126" s="147"/>
      <c r="T126" s="147"/>
      <c r="U126" s="147"/>
      <c r="V126" s="155"/>
      <c r="W126" s="147"/>
      <c r="X126" s="148"/>
      <c r="Y126" s="148"/>
      <c r="Z126" s="148"/>
      <c r="AA126" s="148"/>
      <c r="AB126" s="147"/>
      <c r="AC126" s="147"/>
      <c r="AD126" s="147"/>
      <c r="AE126" s="147"/>
      <c r="AF126" s="147"/>
      <c r="AG126" s="147"/>
      <c r="AH126" s="147"/>
      <c r="AI126" s="147"/>
      <c r="AJ126" s="147"/>
      <c r="AK126" s="147"/>
      <c r="AL126" s="147"/>
      <c r="AM126" s="147"/>
      <c r="AN126" s="152" t="str" cm="1">
        <f t="array" ref="AN126">IFERROR(
  LOOKUP(
    2,
    1/((AB126:AM126&lt;&gt;"")*(ISNUMBER(AB126:AM126)+ISNONTEXT(AB126:AM126)&gt;0)),
    {10,20,30,40,45,50,60,70,75,80,90,100}
  ) &amp; "%",
  "0%"
)</f>
        <v>0%</v>
      </c>
      <c r="AO126" s="147"/>
      <c r="AP126" s="147"/>
      <c r="AQ126" s="147"/>
      <c r="AR126" s="147"/>
      <c r="AS126" s="147"/>
      <c r="AT126" s="147"/>
      <c r="AU126" s="147"/>
      <c r="AV126" s="147"/>
      <c r="AW126" s="147"/>
      <c r="AX126" s="147"/>
      <c r="AY126" s="233"/>
      <c r="AZ126" s="147"/>
      <c r="BA126" s="147"/>
    </row>
    <row r="127" spans="1:53" ht="24.75" customHeight="1">
      <c r="A127" s="145"/>
      <c r="B127" s="147" t="s">
        <v>2</v>
      </c>
      <c r="C127" s="147"/>
      <c r="D127" s="147"/>
      <c r="E127" s="147" t="s">
        <v>26</v>
      </c>
      <c r="F127" s="195" t="s">
        <v>1076</v>
      </c>
      <c r="G127" s="195" t="s">
        <v>1076</v>
      </c>
      <c r="H127" s="147" t="s">
        <v>20</v>
      </c>
      <c r="I127" s="180" t="s">
        <v>22</v>
      </c>
      <c r="J127" s="147" t="s">
        <v>1074</v>
      </c>
      <c r="K127" s="155" t="s">
        <v>801</v>
      </c>
      <c r="L127" s="147" t="s">
        <v>1074</v>
      </c>
      <c r="M127" s="155" t="s">
        <v>1075</v>
      </c>
      <c r="N127" s="147" t="s">
        <v>32</v>
      </c>
      <c r="O127" s="148" t="s">
        <v>1077</v>
      </c>
      <c r="P127" s="148" t="s">
        <v>1042</v>
      </c>
      <c r="Q127" s="147"/>
      <c r="R127" s="147"/>
      <c r="S127" s="147"/>
      <c r="T127" s="147"/>
      <c r="U127" s="147"/>
      <c r="V127" s="207" t="s">
        <v>1078</v>
      </c>
      <c r="W127" s="189"/>
      <c r="X127" s="161" t="s">
        <v>1079</v>
      </c>
      <c r="Y127" s="161"/>
      <c r="Z127" s="148" t="s">
        <v>1080</v>
      </c>
      <c r="AA127" s="148" t="s">
        <v>1081</v>
      </c>
      <c r="AB127" s="157">
        <v>45964</v>
      </c>
      <c r="AC127" s="147"/>
      <c r="AD127" s="147"/>
      <c r="AE127" s="147"/>
      <c r="AF127" s="147"/>
      <c r="AG127" s="147"/>
      <c r="AH127" s="147"/>
      <c r="AI127" s="147"/>
      <c r="AJ127" s="147"/>
      <c r="AK127" s="147"/>
      <c r="AL127" s="147"/>
      <c r="AM127" s="147"/>
      <c r="AN127" s="152" t="str" cm="1">
        <f t="array" ref="AN127">IFERROR(
  LOOKUP(
    2,
    1/((AB127:AM127&lt;&gt;"")*(ISNUMBER(AB127:AM127)+ISNONTEXT(AB127:AM127)&gt;0)),
    {10,20,30,40,45,50,60,70,75,80,90,100}
  ) &amp; "%",
  "0%"
)</f>
        <v>10%</v>
      </c>
      <c r="AO127" s="147"/>
      <c r="AP127" s="147"/>
      <c r="AQ127" s="147"/>
      <c r="AR127" s="147"/>
      <c r="AS127" s="147"/>
      <c r="AT127" s="147"/>
      <c r="AU127" s="147"/>
      <c r="AV127" s="147"/>
      <c r="AW127" s="147"/>
      <c r="AX127" s="147"/>
      <c r="AY127" s="233" t="s">
        <v>1082</v>
      </c>
      <c r="AZ127" s="147"/>
      <c r="BA127" s="147"/>
    </row>
    <row r="128" spans="1:53" ht="24.75" customHeight="1">
      <c r="A128" s="145"/>
      <c r="B128" s="147" t="s">
        <v>2</v>
      </c>
      <c r="C128" s="147"/>
      <c r="D128" s="147"/>
      <c r="E128" s="147" t="s">
        <v>26</v>
      </c>
      <c r="F128" s="195" t="s">
        <v>1083</v>
      </c>
      <c r="G128" s="195" t="s">
        <v>1083</v>
      </c>
      <c r="H128" s="147" t="s">
        <v>20</v>
      </c>
      <c r="I128" s="180" t="s">
        <v>22</v>
      </c>
      <c r="J128" s="147" t="s">
        <v>1074</v>
      </c>
      <c r="K128" s="155" t="s">
        <v>801</v>
      </c>
      <c r="L128" s="147" t="s">
        <v>1074</v>
      </c>
      <c r="M128" s="155" t="s">
        <v>1075</v>
      </c>
      <c r="N128" s="147" t="s">
        <v>32</v>
      </c>
      <c r="O128" s="148" t="s">
        <v>1084</v>
      </c>
      <c r="P128" s="148" t="s">
        <v>1085</v>
      </c>
      <c r="Q128" s="147"/>
      <c r="R128" s="147" t="s">
        <v>1058</v>
      </c>
      <c r="S128" s="147"/>
      <c r="T128" s="147"/>
      <c r="U128" s="147"/>
      <c r="V128" s="155" t="s">
        <v>1086</v>
      </c>
      <c r="W128" s="147"/>
      <c r="X128" s="161" t="s">
        <v>1087</v>
      </c>
      <c r="Y128" s="161"/>
      <c r="Z128" s="148"/>
      <c r="AA128" s="148" t="s">
        <v>1088</v>
      </c>
      <c r="AB128" s="157">
        <v>45964</v>
      </c>
      <c r="AC128" s="157">
        <v>45898</v>
      </c>
      <c r="AD128" s="147"/>
      <c r="AE128" s="147"/>
      <c r="AF128" s="147"/>
      <c r="AG128" s="147"/>
      <c r="AH128" s="147"/>
      <c r="AI128" s="147"/>
      <c r="AJ128" s="147"/>
      <c r="AK128" s="147"/>
      <c r="AL128" s="147"/>
      <c r="AM128" s="147"/>
      <c r="AN128" s="152" t="str" cm="1">
        <f t="array" ref="AN128">IFERROR(
  LOOKUP(
    2,
    1/((AB128:AM128&lt;&gt;"")*(ISNUMBER(AB128:AM128)+ISNONTEXT(AB128:AM128)&gt;0)),
    {10,20,30,40,45,50,60,70,75,80,90,100}
  ) &amp; "%",
  "0%"
)</f>
        <v>20%</v>
      </c>
      <c r="AO128" s="147"/>
      <c r="AP128" s="147"/>
      <c r="AQ128" s="147"/>
      <c r="AR128" s="147"/>
      <c r="AS128" s="147"/>
      <c r="AT128" s="147"/>
      <c r="AU128" s="147"/>
      <c r="AV128" s="147"/>
      <c r="AW128" s="147"/>
      <c r="AX128" s="147"/>
      <c r="AY128" s="233"/>
      <c r="AZ128" s="147"/>
      <c r="BA128" s="147"/>
    </row>
    <row r="129" spans="1:53" ht="24.75" customHeight="1">
      <c r="A129" s="145"/>
      <c r="B129" s="147" t="s">
        <v>2</v>
      </c>
      <c r="C129" s="147"/>
      <c r="D129" s="147"/>
      <c r="E129" s="147" t="s">
        <v>26</v>
      </c>
      <c r="F129" s="195" t="s">
        <v>1089</v>
      </c>
      <c r="G129" s="195" t="s">
        <v>1089</v>
      </c>
      <c r="H129" s="147" t="s">
        <v>20</v>
      </c>
      <c r="I129" s="180" t="s">
        <v>22</v>
      </c>
      <c r="J129" s="147" t="s">
        <v>1074</v>
      </c>
      <c r="K129" s="155" t="s">
        <v>801</v>
      </c>
      <c r="L129" s="147" t="s">
        <v>1074</v>
      </c>
      <c r="M129" s="155" t="s">
        <v>1075</v>
      </c>
      <c r="N129" s="147" t="s">
        <v>33</v>
      </c>
      <c r="O129" s="148" t="s">
        <v>1090</v>
      </c>
      <c r="P129" s="148" t="s">
        <v>1091</v>
      </c>
      <c r="Q129" s="147"/>
      <c r="R129" s="147" t="s">
        <v>1092</v>
      </c>
      <c r="S129" s="147"/>
      <c r="T129" s="147"/>
      <c r="U129" s="147"/>
      <c r="V129" s="155" t="s">
        <v>1093</v>
      </c>
      <c r="W129" s="147"/>
      <c r="X129" s="161" t="s">
        <v>1094</v>
      </c>
      <c r="Y129" s="161"/>
      <c r="Z129" s="148" t="s">
        <v>1095</v>
      </c>
      <c r="AA129" s="218" t="s">
        <v>1096</v>
      </c>
      <c r="AB129" s="157">
        <v>45964</v>
      </c>
      <c r="AC129" s="147"/>
      <c r="AD129" s="147"/>
      <c r="AE129" s="147"/>
      <c r="AF129" s="147"/>
      <c r="AG129" s="147"/>
      <c r="AH129" s="147"/>
      <c r="AI129" s="147"/>
      <c r="AJ129" s="147"/>
      <c r="AK129" s="147"/>
      <c r="AL129" s="147"/>
      <c r="AM129" s="147"/>
      <c r="AN129" s="152" t="str" cm="1">
        <f t="array" ref="AN129">IFERROR(
  LOOKUP(
    2,
    1/((AB129:AM129&lt;&gt;"")*(ISNUMBER(AB129:AM129)+ISNONTEXT(AB129:AM129)&gt;0)),
    {10,20,30,40,45,50,60,70,75,80,90,100}
  ) &amp; "%",
  "0%"
)</f>
        <v>10%</v>
      </c>
      <c r="AO129" s="147"/>
      <c r="AP129" s="147"/>
      <c r="AQ129" s="147"/>
      <c r="AR129" s="147"/>
      <c r="AS129" s="147"/>
      <c r="AT129" s="147"/>
      <c r="AU129" s="147"/>
      <c r="AV129" s="147"/>
      <c r="AW129" s="147"/>
      <c r="AX129" s="147"/>
      <c r="AY129" s="233" t="s">
        <v>1097</v>
      </c>
      <c r="AZ129" s="147"/>
      <c r="BA129" s="147"/>
    </row>
    <row r="130" spans="1:53" ht="24.75" customHeight="1">
      <c r="A130" s="145"/>
      <c r="B130" s="147" t="s">
        <v>2</v>
      </c>
      <c r="C130" s="147"/>
      <c r="D130" s="147"/>
      <c r="E130" s="147" t="s">
        <v>26</v>
      </c>
      <c r="F130" s="195" t="s">
        <v>1098</v>
      </c>
      <c r="G130" s="148" t="s">
        <v>1099</v>
      </c>
      <c r="H130" s="147" t="s">
        <v>20</v>
      </c>
      <c r="I130" s="180" t="s">
        <v>22</v>
      </c>
      <c r="J130" s="147" t="s">
        <v>1074</v>
      </c>
      <c r="K130" s="155" t="s">
        <v>801</v>
      </c>
      <c r="L130" s="147" t="s">
        <v>1074</v>
      </c>
      <c r="M130" s="155" t="s">
        <v>1075</v>
      </c>
      <c r="N130" s="147" t="s">
        <v>337</v>
      </c>
      <c r="O130" s="148" t="s">
        <v>1100</v>
      </c>
      <c r="P130" s="148" t="s">
        <v>1101</v>
      </c>
      <c r="Q130" s="147"/>
      <c r="R130" s="147" t="s">
        <v>1102</v>
      </c>
      <c r="S130" s="147"/>
      <c r="T130" s="147"/>
      <c r="U130" s="147"/>
      <c r="V130" s="155" t="s">
        <v>1103</v>
      </c>
      <c r="W130" s="155"/>
      <c r="X130" s="161" t="s">
        <v>1104</v>
      </c>
      <c r="Y130" s="161"/>
      <c r="Z130" s="148" t="s">
        <v>1105</v>
      </c>
      <c r="AA130" s="148" t="s">
        <v>1106</v>
      </c>
      <c r="AB130" s="157">
        <v>45964</v>
      </c>
      <c r="AC130" s="147"/>
      <c r="AD130" s="147"/>
      <c r="AE130" s="147"/>
      <c r="AF130" s="147"/>
      <c r="AG130" s="147"/>
      <c r="AH130" s="147"/>
      <c r="AI130" s="147"/>
      <c r="AJ130" s="147"/>
      <c r="AK130" s="147"/>
      <c r="AL130" s="147"/>
      <c r="AM130" s="147"/>
      <c r="AN130" s="152" t="str" cm="1">
        <f t="array" ref="AN130">IFERROR(
  LOOKUP(
    2,
    1/((AB130:AM130&lt;&gt;"")*(ISNUMBER(AB130:AM130)+ISNONTEXT(AB130:AM130)&gt;0)),
    {10,20,30,40,45,50,60,70,75,80,90,100}
  ) &amp; "%",
  "0%"
)</f>
        <v>10%</v>
      </c>
      <c r="AO130" s="147"/>
      <c r="AP130" s="147"/>
      <c r="AQ130" s="147"/>
      <c r="AR130" s="147"/>
      <c r="AS130" s="147"/>
      <c r="AT130" s="147"/>
      <c r="AU130" s="147"/>
      <c r="AV130" s="147"/>
      <c r="AW130" s="147"/>
      <c r="AX130" s="147"/>
      <c r="AY130" s="233" t="s">
        <v>1097</v>
      </c>
      <c r="AZ130" s="147"/>
      <c r="BA130" s="147"/>
    </row>
    <row r="131" spans="1:53" ht="24.75" customHeight="1">
      <c r="A131" s="145"/>
      <c r="B131" s="147" t="s">
        <v>2</v>
      </c>
      <c r="C131" s="147"/>
      <c r="D131" s="147"/>
      <c r="E131" s="147" t="s">
        <v>26</v>
      </c>
      <c r="F131" s="195" t="s">
        <v>1107</v>
      </c>
      <c r="G131" s="195" t="s">
        <v>1107</v>
      </c>
      <c r="H131" s="147" t="s">
        <v>20</v>
      </c>
      <c r="I131" s="180" t="s">
        <v>22</v>
      </c>
      <c r="J131" s="147" t="s">
        <v>39</v>
      </c>
      <c r="K131" s="155" t="s">
        <v>801</v>
      </c>
      <c r="L131" s="147" t="s">
        <v>1074</v>
      </c>
      <c r="M131" s="155" t="s">
        <v>1075</v>
      </c>
      <c r="N131" s="147" t="s">
        <v>337</v>
      </c>
      <c r="O131" s="148" t="s">
        <v>1108</v>
      </c>
      <c r="P131" s="148" t="s">
        <v>1109</v>
      </c>
      <c r="Q131" s="147"/>
      <c r="R131" s="147"/>
      <c r="S131" s="147"/>
      <c r="T131" s="147"/>
      <c r="U131" s="147"/>
      <c r="V131" s="155" t="s">
        <v>1110</v>
      </c>
      <c r="W131" s="147"/>
      <c r="X131" s="161" t="s">
        <v>1111</v>
      </c>
      <c r="Y131" s="161"/>
      <c r="Z131" s="148" t="s">
        <v>1112</v>
      </c>
      <c r="AA131" s="148" t="s">
        <v>1088</v>
      </c>
      <c r="AB131" s="157">
        <v>45964</v>
      </c>
      <c r="AC131" s="147"/>
      <c r="AD131" s="147"/>
      <c r="AE131" s="147"/>
      <c r="AF131" s="147"/>
      <c r="AG131" s="147"/>
      <c r="AH131" s="147"/>
      <c r="AI131" s="147"/>
      <c r="AJ131" s="147"/>
      <c r="AK131" s="147"/>
      <c r="AL131" s="147"/>
      <c r="AM131" s="147"/>
      <c r="AN131" s="152" t="str" cm="1">
        <f t="array" ref="AN131">IFERROR(
  LOOKUP(
    2,
    1/((AB131:AM131&lt;&gt;"")*(ISNUMBER(AB131:AM131)+ISNONTEXT(AB131:AM131)&gt;0)),
    {10,20,30,40,45,50,60,70,75,80,90,100}
  ) &amp; "%",
  "0%"
)</f>
        <v>10%</v>
      </c>
      <c r="AO131" s="147"/>
      <c r="AP131" s="147"/>
      <c r="AQ131" s="147"/>
      <c r="AR131" s="147"/>
      <c r="AS131" s="147"/>
      <c r="AT131" s="147"/>
      <c r="AU131" s="147"/>
      <c r="AV131" s="147"/>
      <c r="AW131" s="147"/>
      <c r="AX131" s="147"/>
      <c r="AY131" s="233" t="s">
        <v>1082</v>
      </c>
      <c r="AZ131" s="147"/>
      <c r="BA131" s="147"/>
    </row>
    <row r="132" spans="1:53" ht="24.75" customHeight="1">
      <c r="A132" s="145"/>
      <c r="B132" s="147" t="s">
        <v>2</v>
      </c>
      <c r="C132" s="147"/>
      <c r="D132" s="147"/>
      <c r="E132" s="147" t="s">
        <v>26</v>
      </c>
      <c r="F132" s="148" t="s">
        <v>1113</v>
      </c>
      <c r="G132" s="148" t="s">
        <v>1113</v>
      </c>
      <c r="H132" s="147" t="s">
        <v>20</v>
      </c>
      <c r="I132" s="180" t="s">
        <v>22</v>
      </c>
      <c r="J132" s="147" t="s">
        <v>1074</v>
      </c>
      <c r="K132" s="155" t="s">
        <v>801</v>
      </c>
      <c r="L132" s="147" t="s">
        <v>1074</v>
      </c>
      <c r="M132" s="155" t="s">
        <v>1075</v>
      </c>
      <c r="N132" s="147" t="s">
        <v>32</v>
      </c>
      <c r="O132" s="148" t="s">
        <v>1114</v>
      </c>
      <c r="P132" s="148" t="s">
        <v>1115</v>
      </c>
      <c r="Q132" s="147"/>
      <c r="R132" s="147"/>
      <c r="S132" s="147"/>
      <c r="T132" s="147"/>
      <c r="U132" s="147"/>
      <c r="V132" s="155" t="s">
        <v>1116</v>
      </c>
      <c r="W132" s="155"/>
      <c r="X132" s="161" t="s">
        <v>1117</v>
      </c>
      <c r="Y132" s="161"/>
      <c r="Z132" s="148"/>
      <c r="AA132" s="182" t="s">
        <v>1118</v>
      </c>
      <c r="AB132" s="157">
        <v>45964</v>
      </c>
      <c r="AC132" s="147"/>
      <c r="AD132" s="147"/>
      <c r="AE132" s="147"/>
      <c r="AF132" s="147"/>
      <c r="AG132" s="147"/>
      <c r="AH132" s="147"/>
      <c r="AI132" s="147"/>
      <c r="AJ132" s="147"/>
      <c r="AK132" s="147"/>
      <c r="AL132" s="147"/>
      <c r="AM132" s="147"/>
      <c r="AN132" s="152" t="str" cm="1">
        <f t="array" ref="AN132">IFERROR(
  LOOKUP(
    2,
    1/((AB132:AM132&lt;&gt;"")*(ISNUMBER(AB132:AM132)+ISNONTEXT(AB132:AM132)&gt;0)),
    {10,20,30,40,45,50,60,70,75,80,90,100}
  ) &amp; "%",
  "0%"
)</f>
        <v>10%</v>
      </c>
      <c r="AO132" s="147"/>
      <c r="AP132" s="147"/>
      <c r="AQ132" s="147"/>
      <c r="AR132" s="147"/>
      <c r="AS132" s="147"/>
      <c r="AT132" s="147"/>
      <c r="AU132" s="147"/>
      <c r="AV132" s="147"/>
      <c r="AW132" s="147"/>
      <c r="AX132" s="147"/>
      <c r="AY132" s="233"/>
      <c r="AZ132" s="147"/>
      <c r="BA132" s="147"/>
    </row>
    <row r="133" spans="1:53" ht="24.75" customHeight="1">
      <c r="A133" s="145"/>
      <c r="B133" s="147" t="s">
        <v>2</v>
      </c>
      <c r="C133" s="147"/>
      <c r="D133" s="147"/>
      <c r="E133" s="147" t="s">
        <v>26</v>
      </c>
      <c r="F133" s="148" t="s">
        <v>1119</v>
      </c>
      <c r="G133" s="148" t="s">
        <v>1119</v>
      </c>
      <c r="H133" s="147" t="s">
        <v>20</v>
      </c>
      <c r="I133" s="180" t="s">
        <v>22</v>
      </c>
      <c r="J133" s="147" t="s">
        <v>39</v>
      </c>
      <c r="K133" s="155" t="s">
        <v>801</v>
      </c>
      <c r="L133" s="147" t="s">
        <v>39</v>
      </c>
      <c r="M133" s="155"/>
      <c r="N133" s="147" t="s">
        <v>32</v>
      </c>
      <c r="O133" s="148" t="s">
        <v>1120</v>
      </c>
      <c r="P133" s="148"/>
      <c r="Q133" s="147"/>
      <c r="R133" s="147"/>
      <c r="S133" s="147"/>
      <c r="T133" s="147"/>
      <c r="U133" s="147"/>
      <c r="V133" s="155">
        <v>31051171</v>
      </c>
      <c r="W133" s="147"/>
      <c r="X133" s="148" t="s">
        <v>1121</v>
      </c>
      <c r="Y133" s="148"/>
      <c r="Z133" s="148" t="s">
        <v>1122</v>
      </c>
      <c r="AA133" s="148" t="s">
        <v>1123</v>
      </c>
      <c r="AB133" s="147"/>
      <c r="AC133" s="147"/>
      <c r="AD133" s="147"/>
      <c r="AE133" s="147"/>
      <c r="AF133" s="147"/>
      <c r="AG133" s="147"/>
      <c r="AH133" s="147"/>
      <c r="AI133" s="147"/>
      <c r="AJ133" s="147"/>
      <c r="AK133" s="147"/>
      <c r="AL133" s="147"/>
      <c r="AM133" s="147"/>
      <c r="AN133" s="152" t="str" cm="1">
        <f t="array" ref="AN133">IFERROR(
  LOOKUP(
    2,
    1/((AB133:AM133&lt;&gt;"")*(ISNUMBER(AB133:AM133)+ISNONTEXT(AB133:AM133)&gt;0)),
    {10,20,30,40,45,50,60,70,75,80,90,100}
  ) &amp; "%",
  "0%"
)</f>
        <v>0%</v>
      </c>
      <c r="AO133" s="147"/>
      <c r="AP133" s="147"/>
      <c r="AQ133" s="147"/>
      <c r="AR133" s="147"/>
      <c r="AS133" s="147"/>
      <c r="AT133" s="147"/>
      <c r="AU133" s="147"/>
      <c r="AV133" s="147"/>
      <c r="AW133" s="147"/>
      <c r="AX133" s="147"/>
      <c r="AY133" s="233" t="s">
        <v>1124</v>
      </c>
      <c r="AZ133" s="147"/>
      <c r="BA133" s="147"/>
    </row>
    <row r="134" spans="1:53" ht="24.75" customHeight="1">
      <c r="A134" s="145"/>
      <c r="B134" s="147" t="s">
        <v>2</v>
      </c>
      <c r="C134" s="147"/>
      <c r="D134" s="147"/>
      <c r="E134" s="147" t="s">
        <v>26</v>
      </c>
      <c r="F134" s="148" t="s">
        <v>1125</v>
      </c>
      <c r="G134" s="148"/>
      <c r="H134" s="147" t="s">
        <v>21</v>
      </c>
      <c r="I134" s="147" t="s">
        <v>22</v>
      </c>
      <c r="J134" s="147" t="s">
        <v>682</v>
      </c>
      <c r="K134" s="155" t="s">
        <v>40</v>
      </c>
      <c r="L134" s="147" t="s">
        <v>682</v>
      </c>
      <c r="M134" s="155"/>
      <c r="N134" s="147"/>
      <c r="O134" s="148"/>
      <c r="P134" s="148"/>
      <c r="Q134" s="147"/>
      <c r="R134" s="147"/>
      <c r="S134" s="147"/>
      <c r="T134" s="147"/>
      <c r="U134" s="147"/>
      <c r="V134" s="155"/>
      <c r="W134" s="147"/>
      <c r="X134" s="148"/>
      <c r="Y134" s="148"/>
      <c r="Z134" s="148"/>
      <c r="AA134" s="148"/>
      <c r="AB134" s="147"/>
      <c r="AC134" s="147"/>
      <c r="AD134" s="147"/>
      <c r="AE134" s="147"/>
      <c r="AF134" s="147"/>
      <c r="AG134" s="147"/>
      <c r="AH134" s="147"/>
      <c r="AI134" s="147"/>
      <c r="AJ134" s="147"/>
      <c r="AK134" s="147"/>
      <c r="AL134" s="147"/>
      <c r="AM134" s="147"/>
      <c r="AN134" s="147"/>
      <c r="AO134" s="147"/>
      <c r="AP134" s="147"/>
      <c r="AQ134" s="147"/>
      <c r="AR134" s="147"/>
      <c r="AS134" s="147"/>
      <c r="AT134" s="147"/>
      <c r="AU134" s="147"/>
      <c r="AV134" s="147"/>
      <c r="AW134" s="147"/>
      <c r="AX134" s="147"/>
      <c r="AY134" s="233"/>
      <c r="AZ134" s="147"/>
      <c r="BA134" s="147"/>
    </row>
    <row r="135" spans="1:53" ht="24.75" customHeight="1">
      <c r="A135" s="145"/>
      <c r="B135" s="147" t="s">
        <v>2</v>
      </c>
      <c r="C135" s="147"/>
      <c r="D135" s="147"/>
      <c r="E135" s="147" t="s">
        <v>26</v>
      </c>
      <c r="F135" s="148" t="s">
        <v>1126</v>
      </c>
      <c r="G135" s="148"/>
      <c r="H135" s="147" t="s">
        <v>21</v>
      </c>
      <c r="I135" s="147" t="s">
        <v>22</v>
      </c>
      <c r="J135" s="147" t="s">
        <v>682</v>
      </c>
      <c r="K135" s="155" t="s">
        <v>40</v>
      </c>
      <c r="L135" s="147" t="s">
        <v>682</v>
      </c>
      <c r="M135" s="155"/>
      <c r="N135" s="147"/>
      <c r="O135" s="161" t="s">
        <v>1127</v>
      </c>
      <c r="P135" s="148" t="s">
        <v>1128</v>
      </c>
      <c r="Q135" s="147"/>
      <c r="R135" s="147"/>
      <c r="S135" s="147"/>
      <c r="T135" s="147"/>
      <c r="U135" s="147"/>
      <c r="V135" s="155"/>
      <c r="W135" s="147"/>
      <c r="X135" s="161" t="s">
        <v>1129</v>
      </c>
      <c r="Y135" s="161" t="s">
        <v>1130</v>
      </c>
      <c r="Z135" s="148"/>
      <c r="AA135" s="148"/>
      <c r="AB135" s="147"/>
      <c r="AC135" s="147"/>
      <c r="AD135" s="147"/>
      <c r="AE135" s="147"/>
      <c r="AF135" s="147"/>
      <c r="AG135" s="147"/>
      <c r="AH135" s="147"/>
      <c r="AI135" s="147"/>
      <c r="AJ135" s="147"/>
      <c r="AK135" s="147"/>
      <c r="AL135" s="147"/>
      <c r="AM135" s="147"/>
      <c r="AN135" s="147"/>
      <c r="AO135" s="147"/>
      <c r="AP135" s="147"/>
      <c r="AQ135" s="147"/>
      <c r="AR135" s="147"/>
      <c r="AS135" s="147"/>
      <c r="AT135" s="147"/>
      <c r="AU135" s="147"/>
      <c r="AV135" s="147"/>
      <c r="AW135" s="147"/>
      <c r="AX135" s="147"/>
      <c r="AY135" s="233"/>
      <c r="AZ135" s="147"/>
      <c r="BA135" s="147"/>
    </row>
    <row r="136" spans="1:53" ht="24.75" customHeight="1">
      <c r="A136" s="145"/>
      <c r="B136" s="147" t="s">
        <v>2</v>
      </c>
      <c r="C136" s="147"/>
      <c r="D136" s="147"/>
      <c r="E136" s="147" t="s">
        <v>26</v>
      </c>
      <c r="F136" s="148" t="s">
        <v>1131</v>
      </c>
      <c r="G136" s="148"/>
      <c r="H136" s="147" t="s">
        <v>21</v>
      </c>
      <c r="I136" s="147" t="s">
        <v>22</v>
      </c>
      <c r="J136" s="147" t="s">
        <v>682</v>
      </c>
      <c r="K136" s="155" t="s">
        <v>40</v>
      </c>
      <c r="L136" s="147" t="s">
        <v>682</v>
      </c>
      <c r="M136" s="155"/>
      <c r="N136" s="147"/>
      <c r="O136" s="148"/>
      <c r="P136" s="148"/>
      <c r="Q136" s="147"/>
      <c r="R136" s="147"/>
      <c r="S136" s="147"/>
      <c r="T136" s="147"/>
      <c r="U136" s="147"/>
      <c r="V136" s="155"/>
      <c r="W136" s="147"/>
      <c r="X136" s="148"/>
      <c r="Y136" s="148"/>
      <c r="Z136" s="148"/>
      <c r="AA136" s="148"/>
      <c r="AB136" s="147"/>
      <c r="AC136" s="147"/>
      <c r="AD136" s="147"/>
      <c r="AE136" s="147"/>
      <c r="AF136" s="147"/>
      <c r="AG136" s="147"/>
      <c r="AH136" s="147"/>
      <c r="AI136" s="147"/>
      <c r="AJ136" s="147"/>
      <c r="AK136" s="147"/>
      <c r="AL136" s="147"/>
      <c r="AM136" s="147"/>
      <c r="AN136" s="147"/>
      <c r="AO136" s="147"/>
      <c r="AP136" s="147"/>
      <c r="AQ136" s="147"/>
      <c r="AR136" s="147"/>
      <c r="AS136" s="147"/>
      <c r="AT136" s="147"/>
      <c r="AU136" s="147"/>
      <c r="AV136" s="147"/>
      <c r="AW136" s="147"/>
      <c r="AX136" s="147"/>
      <c r="AY136" s="233"/>
      <c r="AZ136" s="147"/>
      <c r="BA136" s="147"/>
    </row>
    <row r="137" spans="1:53" ht="24.75" customHeight="1">
      <c r="A137" s="145"/>
      <c r="B137" s="147" t="s">
        <v>2</v>
      </c>
      <c r="C137" s="147"/>
      <c r="D137" s="147"/>
      <c r="E137" s="147" t="s">
        <v>26</v>
      </c>
      <c r="F137" s="148" t="s">
        <v>1132</v>
      </c>
      <c r="G137" s="148"/>
      <c r="H137" s="147" t="s">
        <v>21</v>
      </c>
      <c r="I137" s="147" t="s">
        <v>22</v>
      </c>
      <c r="J137" s="147" t="s">
        <v>682</v>
      </c>
      <c r="K137" s="155" t="s">
        <v>40</v>
      </c>
      <c r="L137" s="147" t="s">
        <v>682</v>
      </c>
      <c r="M137" s="155"/>
      <c r="N137" s="147"/>
      <c r="O137" s="148"/>
      <c r="P137" s="148"/>
      <c r="Q137" s="147"/>
      <c r="R137" s="147"/>
      <c r="S137" s="147"/>
      <c r="T137" s="147"/>
      <c r="U137" s="147"/>
      <c r="V137" s="155"/>
      <c r="W137" s="147"/>
      <c r="X137" s="148"/>
      <c r="Y137" s="148"/>
      <c r="Z137" s="148"/>
      <c r="AA137" s="148"/>
      <c r="AB137" s="147"/>
      <c r="AC137" s="147"/>
      <c r="AD137" s="147"/>
      <c r="AE137" s="147"/>
      <c r="AF137" s="147"/>
      <c r="AG137" s="147"/>
      <c r="AH137" s="147"/>
      <c r="AI137" s="147"/>
      <c r="AJ137" s="147"/>
      <c r="AK137" s="147"/>
      <c r="AL137" s="147"/>
      <c r="AM137" s="147"/>
      <c r="AN137" s="147"/>
      <c r="AO137" s="147"/>
      <c r="AP137" s="147"/>
      <c r="AQ137" s="147"/>
      <c r="AR137" s="147"/>
      <c r="AS137" s="147"/>
      <c r="AT137" s="147"/>
      <c r="AU137" s="147"/>
      <c r="AV137" s="147"/>
      <c r="AW137" s="147"/>
      <c r="AX137" s="147"/>
      <c r="AY137" s="233"/>
      <c r="AZ137" s="147"/>
      <c r="BA137" s="147"/>
    </row>
    <row r="138" spans="1:53" ht="24.75" customHeight="1">
      <c r="A138" s="145"/>
      <c r="B138" s="147" t="s">
        <v>2</v>
      </c>
      <c r="C138" s="147"/>
      <c r="D138" s="147"/>
      <c r="E138" s="147" t="s">
        <v>26</v>
      </c>
      <c r="F138" s="148" t="s">
        <v>1133</v>
      </c>
      <c r="G138" s="148"/>
      <c r="H138" s="147" t="s">
        <v>21</v>
      </c>
      <c r="I138" s="147" t="s">
        <v>22</v>
      </c>
      <c r="J138" s="147" t="s">
        <v>682</v>
      </c>
      <c r="K138" s="155" t="s">
        <v>40</v>
      </c>
      <c r="L138" s="147" t="s">
        <v>682</v>
      </c>
      <c r="M138" s="155"/>
      <c r="N138" s="147"/>
      <c r="O138" s="148" t="s">
        <v>1134</v>
      </c>
      <c r="P138" s="148" t="s">
        <v>1135</v>
      </c>
      <c r="Q138" s="147"/>
      <c r="R138" s="147"/>
      <c r="S138" s="147"/>
      <c r="T138" s="147"/>
      <c r="U138" s="147"/>
      <c r="V138" s="155">
        <v>91281675</v>
      </c>
      <c r="W138" s="147"/>
      <c r="X138" s="161" t="s">
        <v>1136</v>
      </c>
      <c r="Y138" s="161" t="s">
        <v>1137</v>
      </c>
      <c r="Z138" s="148" t="s">
        <v>1138</v>
      </c>
      <c r="AA138" s="148"/>
      <c r="AB138" s="147"/>
      <c r="AC138" s="147"/>
      <c r="AD138" s="147"/>
      <c r="AE138" s="147"/>
      <c r="AF138" s="147"/>
      <c r="AG138" s="147"/>
      <c r="AH138" s="147"/>
      <c r="AI138" s="147"/>
      <c r="AJ138" s="147"/>
      <c r="AK138" s="147"/>
      <c r="AL138" s="147"/>
      <c r="AM138" s="147"/>
      <c r="AN138" s="147"/>
      <c r="AO138" s="147"/>
      <c r="AP138" s="147"/>
      <c r="AQ138" s="147"/>
      <c r="AR138" s="147"/>
      <c r="AS138" s="147"/>
      <c r="AT138" s="147"/>
      <c r="AU138" s="147"/>
      <c r="AV138" s="147"/>
      <c r="AW138" s="147"/>
      <c r="AX138" s="147"/>
      <c r="AY138" s="233" t="s">
        <v>1139</v>
      </c>
      <c r="AZ138" s="147"/>
      <c r="BA138" s="147"/>
    </row>
    <row r="139" spans="1:53" ht="24.75" customHeight="1">
      <c r="A139" s="145"/>
      <c r="B139" s="147" t="s">
        <v>2</v>
      </c>
      <c r="C139" s="147"/>
      <c r="D139" s="147"/>
      <c r="E139" s="147" t="s">
        <v>26</v>
      </c>
      <c r="F139" s="148" t="s">
        <v>1140</v>
      </c>
      <c r="G139" s="148"/>
      <c r="H139" s="147" t="s">
        <v>21</v>
      </c>
      <c r="I139" s="147" t="s">
        <v>22</v>
      </c>
      <c r="J139" s="147" t="s">
        <v>682</v>
      </c>
      <c r="K139" s="155" t="s">
        <v>40</v>
      </c>
      <c r="L139" s="147" t="s">
        <v>682</v>
      </c>
      <c r="M139" s="155"/>
      <c r="N139" s="147"/>
      <c r="O139" s="148"/>
      <c r="P139" s="148"/>
      <c r="Q139" s="147"/>
      <c r="R139" s="147"/>
      <c r="S139" s="147"/>
      <c r="T139" s="147"/>
      <c r="U139" s="147"/>
      <c r="V139" s="155"/>
      <c r="W139" s="147"/>
      <c r="X139" s="161" t="s">
        <v>1141</v>
      </c>
      <c r="Y139" s="148"/>
      <c r="Z139" s="148"/>
      <c r="AA139" s="148"/>
      <c r="AB139" s="147"/>
      <c r="AC139" s="147"/>
      <c r="AD139" s="147"/>
      <c r="AE139" s="147"/>
      <c r="AF139" s="147"/>
      <c r="AG139" s="147"/>
      <c r="AH139" s="147"/>
      <c r="AI139" s="147"/>
      <c r="AJ139" s="147"/>
      <c r="AK139" s="147"/>
      <c r="AL139" s="147"/>
      <c r="AM139" s="147"/>
      <c r="AN139" s="147"/>
      <c r="AO139" s="147"/>
      <c r="AP139" s="147"/>
      <c r="AQ139" s="147"/>
      <c r="AR139" s="147"/>
      <c r="AS139" s="147"/>
      <c r="AT139" s="147"/>
      <c r="AU139" s="147"/>
      <c r="AV139" s="147"/>
      <c r="AW139" s="147"/>
      <c r="AX139" s="147"/>
      <c r="AY139" s="233"/>
      <c r="AZ139" s="147"/>
      <c r="BA139" s="147"/>
    </row>
    <row r="140" spans="1:53" ht="24.75" customHeight="1">
      <c r="A140" s="145"/>
      <c r="B140" s="147" t="s">
        <v>2</v>
      </c>
      <c r="C140" s="147"/>
      <c r="D140" s="147"/>
      <c r="E140" s="147" t="s">
        <v>26</v>
      </c>
      <c r="F140" s="148" t="s">
        <v>1142</v>
      </c>
      <c r="G140" s="148" t="s">
        <v>1143</v>
      </c>
      <c r="H140" s="147" t="s">
        <v>21</v>
      </c>
      <c r="I140" s="147" t="s">
        <v>22</v>
      </c>
      <c r="J140" s="147" t="s">
        <v>682</v>
      </c>
      <c r="K140" s="155" t="s">
        <v>40</v>
      </c>
      <c r="L140" s="147" t="s">
        <v>682</v>
      </c>
      <c r="M140" s="155"/>
      <c r="N140" s="147" t="s">
        <v>1144</v>
      </c>
      <c r="O140" s="148" t="s">
        <v>1145</v>
      </c>
      <c r="P140" s="148" t="s">
        <v>1146</v>
      </c>
      <c r="Q140" s="147"/>
      <c r="R140" s="147"/>
      <c r="S140" s="147"/>
      <c r="T140" s="147"/>
      <c r="U140" s="147"/>
      <c r="V140" s="155"/>
      <c r="W140" s="147"/>
      <c r="X140" s="148" t="s">
        <v>1147</v>
      </c>
      <c r="Y140" s="148"/>
      <c r="Z140" s="148" t="s">
        <v>1148</v>
      </c>
      <c r="AA140" s="148"/>
      <c r="AB140" s="147"/>
      <c r="AC140" s="147"/>
      <c r="AD140" s="147"/>
      <c r="AE140" s="147"/>
      <c r="AF140" s="147"/>
      <c r="AG140" s="147"/>
      <c r="AH140" s="147"/>
      <c r="AI140" s="147"/>
      <c r="AJ140" s="147"/>
      <c r="AK140" s="147"/>
      <c r="AL140" s="147"/>
      <c r="AM140" s="147"/>
      <c r="AN140" s="147"/>
      <c r="AO140" s="147"/>
      <c r="AP140" s="147"/>
      <c r="AQ140" s="147"/>
      <c r="AR140" s="147"/>
      <c r="AS140" s="147"/>
      <c r="AT140" s="147"/>
      <c r="AU140" s="147"/>
      <c r="AV140" s="147"/>
      <c r="AW140" s="147"/>
      <c r="AX140" s="147"/>
      <c r="AY140" s="233"/>
      <c r="AZ140" s="147"/>
      <c r="BA140" s="147"/>
    </row>
    <row r="141" spans="1:53" ht="24.75" customHeight="1">
      <c r="A141" s="145"/>
      <c r="B141" s="147" t="s">
        <v>2</v>
      </c>
      <c r="C141" s="147"/>
      <c r="D141" s="147"/>
      <c r="E141" s="147" t="s">
        <v>26</v>
      </c>
      <c r="F141" s="148" t="s">
        <v>1149</v>
      </c>
      <c r="G141" s="148"/>
      <c r="H141" s="147" t="s">
        <v>21</v>
      </c>
      <c r="I141" s="147" t="s">
        <v>22</v>
      </c>
      <c r="J141" s="147" t="s">
        <v>682</v>
      </c>
      <c r="K141" s="155" t="s">
        <v>40</v>
      </c>
      <c r="L141" s="147" t="s">
        <v>682</v>
      </c>
      <c r="M141" s="155"/>
      <c r="N141" s="147"/>
      <c r="O141" s="148"/>
      <c r="P141" s="148"/>
      <c r="Q141" s="147"/>
      <c r="R141" s="147"/>
      <c r="S141" s="147"/>
      <c r="T141" s="147"/>
      <c r="U141" s="147"/>
      <c r="V141" s="155" t="s">
        <v>1150</v>
      </c>
      <c r="W141" s="147"/>
      <c r="X141" s="161" t="s">
        <v>1151</v>
      </c>
      <c r="Y141" s="148"/>
      <c r="Z141" s="148"/>
      <c r="AA141" s="148"/>
      <c r="AB141" s="147"/>
      <c r="AC141" s="147"/>
      <c r="AD141" s="147"/>
      <c r="AE141" s="147"/>
      <c r="AF141" s="147"/>
      <c r="AG141" s="147"/>
      <c r="AH141" s="147"/>
      <c r="AI141" s="147"/>
      <c r="AJ141" s="147"/>
      <c r="AK141" s="147"/>
      <c r="AL141" s="147"/>
      <c r="AM141" s="147"/>
      <c r="AN141" s="147"/>
      <c r="AO141" s="147"/>
      <c r="AP141" s="147"/>
      <c r="AQ141" s="147"/>
      <c r="AR141" s="147"/>
      <c r="AS141" s="147"/>
      <c r="AT141" s="147"/>
      <c r="AU141" s="147"/>
      <c r="AV141" s="147"/>
      <c r="AW141" s="147"/>
      <c r="AX141" s="147"/>
      <c r="AY141" s="233"/>
      <c r="AZ141" s="147"/>
      <c r="BA141" s="147"/>
    </row>
    <row r="142" spans="1:53" ht="24.75" customHeight="1">
      <c r="A142" s="145"/>
      <c r="B142" s="147" t="s">
        <v>2</v>
      </c>
      <c r="C142" s="147"/>
      <c r="D142" s="147"/>
      <c r="E142" s="147" t="s">
        <v>26</v>
      </c>
      <c r="F142" s="148" t="s">
        <v>1152</v>
      </c>
      <c r="G142" s="148"/>
      <c r="H142" s="147" t="s">
        <v>21</v>
      </c>
      <c r="I142" s="147" t="s">
        <v>22</v>
      </c>
      <c r="J142" s="147" t="s">
        <v>682</v>
      </c>
      <c r="K142" s="155" t="s">
        <v>40</v>
      </c>
      <c r="L142" s="147" t="s">
        <v>682</v>
      </c>
      <c r="M142" s="155"/>
      <c r="N142" s="147"/>
      <c r="O142" s="148"/>
      <c r="P142" s="148"/>
      <c r="Q142" s="147"/>
      <c r="R142" s="147"/>
      <c r="S142" s="147"/>
      <c r="T142" s="147"/>
      <c r="U142" s="147"/>
      <c r="V142" s="155"/>
      <c r="W142" s="147"/>
      <c r="X142" s="161" t="s">
        <v>1153</v>
      </c>
      <c r="Y142" s="148"/>
      <c r="Z142" s="148"/>
      <c r="AA142" s="148"/>
      <c r="AB142" s="147"/>
      <c r="AC142" s="147"/>
      <c r="AD142" s="147"/>
      <c r="AE142" s="147"/>
      <c r="AF142" s="147"/>
      <c r="AG142" s="147"/>
      <c r="AH142" s="147"/>
      <c r="AI142" s="147"/>
      <c r="AJ142" s="147"/>
      <c r="AK142" s="147"/>
      <c r="AL142" s="147"/>
      <c r="AM142" s="147"/>
      <c r="AN142" s="147"/>
      <c r="AO142" s="147"/>
      <c r="AP142" s="147"/>
      <c r="AQ142" s="147"/>
      <c r="AR142" s="147"/>
      <c r="AS142" s="147"/>
      <c r="AT142" s="147"/>
      <c r="AU142" s="147"/>
      <c r="AV142" s="147"/>
      <c r="AW142" s="147"/>
      <c r="AX142" s="147"/>
      <c r="AY142" s="233"/>
      <c r="AZ142" s="147"/>
      <c r="BA142" s="147"/>
    </row>
    <row r="143" spans="1:53" ht="24.75" customHeight="1">
      <c r="A143" s="145"/>
      <c r="B143" s="147" t="s">
        <v>3</v>
      </c>
      <c r="C143" s="147"/>
      <c r="D143" s="147"/>
      <c r="E143" s="147" t="s">
        <v>26</v>
      </c>
      <c r="F143" s="148" t="s">
        <v>1154</v>
      </c>
      <c r="G143" s="148"/>
      <c r="H143" s="147" t="s">
        <v>22</v>
      </c>
      <c r="I143" s="147" t="s">
        <v>22</v>
      </c>
      <c r="J143" s="147"/>
      <c r="K143" s="155"/>
      <c r="L143" s="147" t="s">
        <v>1155</v>
      </c>
      <c r="M143" s="155"/>
      <c r="N143" s="147" t="s">
        <v>1156</v>
      </c>
      <c r="O143" s="148" t="s">
        <v>1157</v>
      </c>
      <c r="P143" s="148" t="s">
        <v>1158</v>
      </c>
      <c r="Q143" s="147"/>
      <c r="R143" s="147"/>
      <c r="S143" s="147"/>
      <c r="T143" s="147"/>
      <c r="U143" s="147"/>
      <c r="V143" s="155"/>
      <c r="W143" s="147"/>
      <c r="X143" s="148" t="s">
        <v>1159</v>
      </c>
      <c r="Y143" s="148"/>
      <c r="Z143" s="148" t="s">
        <v>1160</v>
      </c>
      <c r="AA143" s="148"/>
      <c r="AB143" s="147"/>
      <c r="AC143" s="147"/>
      <c r="AD143" s="147"/>
      <c r="AE143" s="147"/>
      <c r="AF143" s="147"/>
      <c r="AG143" s="147"/>
      <c r="AH143" s="147"/>
      <c r="AI143" s="147"/>
      <c r="AJ143" s="147"/>
      <c r="AK143" s="147"/>
      <c r="AL143" s="147"/>
      <c r="AM143" s="147"/>
      <c r="AN143" s="147"/>
      <c r="AO143" s="147"/>
      <c r="AP143" s="147"/>
      <c r="AQ143" s="147"/>
      <c r="AR143" s="147"/>
      <c r="AS143" s="147"/>
      <c r="AT143" s="147"/>
      <c r="AU143" s="147"/>
      <c r="AV143" s="147"/>
      <c r="AW143" s="147"/>
      <c r="AX143" s="147"/>
      <c r="AY143" s="233"/>
      <c r="AZ143" s="147"/>
      <c r="BA143" s="147"/>
    </row>
    <row r="144" spans="1:53" ht="24.75" customHeight="1">
      <c r="A144" s="145"/>
      <c r="B144" s="147" t="s">
        <v>3</v>
      </c>
      <c r="C144" s="147"/>
      <c r="D144" s="147"/>
      <c r="E144" s="147" t="s">
        <v>26</v>
      </c>
      <c r="F144" s="148" t="s">
        <v>1161</v>
      </c>
      <c r="G144" s="148"/>
      <c r="H144" s="147" t="s">
        <v>22</v>
      </c>
      <c r="I144" s="147" t="s">
        <v>22</v>
      </c>
      <c r="J144" s="147"/>
      <c r="K144" s="155"/>
      <c r="L144" s="147" t="s">
        <v>1162</v>
      </c>
      <c r="M144" s="155"/>
      <c r="N144" s="147" t="s">
        <v>1163</v>
      </c>
      <c r="O144" s="148" t="s">
        <v>1164</v>
      </c>
      <c r="P144" s="148" t="s">
        <v>1165</v>
      </c>
      <c r="Q144" s="147"/>
      <c r="R144" s="147"/>
      <c r="S144" s="147"/>
      <c r="T144" s="147"/>
      <c r="U144" s="147"/>
      <c r="V144" s="155"/>
      <c r="W144" s="147"/>
      <c r="X144" s="148" t="s">
        <v>1166</v>
      </c>
      <c r="Y144" s="148"/>
      <c r="Z144" s="148" t="s">
        <v>1167</v>
      </c>
      <c r="AA144" s="148"/>
      <c r="AB144" s="147"/>
      <c r="AC144" s="147"/>
      <c r="AD144" s="147"/>
      <c r="AE144" s="147"/>
      <c r="AF144" s="147"/>
      <c r="AG144" s="147"/>
      <c r="AH144" s="147"/>
      <c r="AI144" s="147"/>
      <c r="AJ144" s="147"/>
      <c r="AK144" s="147"/>
      <c r="AL144" s="147"/>
      <c r="AM144" s="147"/>
      <c r="AN144" s="147"/>
      <c r="AO144" s="147"/>
      <c r="AP144" s="147"/>
      <c r="AQ144" s="147"/>
      <c r="AR144" s="147"/>
      <c r="AS144" s="147"/>
      <c r="AT144" s="147"/>
      <c r="AU144" s="147"/>
      <c r="AV144" s="147"/>
      <c r="AW144" s="147"/>
      <c r="AX144" s="147"/>
      <c r="AY144" s="233"/>
      <c r="AZ144" s="147"/>
      <c r="BA144" s="147"/>
    </row>
    <row r="145" spans="1:53" ht="24.75" customHeight="1">
      <c r="A145" s="145"/>
      <c r="B145" s="147" t="s">
        <v>3</v>
      </c>
      <c r="C145" s="147"/>
      <c r="D145" s="147"/>
      <c r="E145" s="147" t="s">
        <v>26</v>
      </c>
      <c r="F145" s="148" t="s">
        <v>1168</v>
      </c>
      <c r="G145" s="148"/>
      <c r="H145" s="147" t="s">
        <v>22</v>
      </c>
      <c r="I145" s="147" t="s">
        <v>22</v>
      </c>
      <c r="J145" s="147"/>
      <c r="K145" s="155"/>
      <c r="L145" s="147" t="s">
        <v>1155</v>
      </c>
      <c r="M145" s="155"/>
      <c r="N145" s="147" t="s">
        <v>1169</v>
      </c>
      <c r="O145" s="148" t="s">
        <v>1170</v>
      </c>
      <c r="P145" s="148" t="s">
        <v>1171</v>
      </c>
      <c r="Q145" s="147"/>
      <c r="R145" s="147"/>
      <c r="S145" s="147"/>
      <c r="T145" s="147"/>
      <c r="U145" s="147"/>
      <c r="V145" s="155"/>
      <c r="W145" s="147"/>
      <c r="X145" s="148" t="s">
        <v>1172</v>
      </c>
      <c r="Y145" s="148"/>
      <c r="Z145" s="148" t="s">
        <v>1173</v>
      </c>
      <c r="AA145" s="148"/>
      <c r="AB145" s="147"/>
      <c r="AC145" s="147"/>
      <c r="AD145" s="147"/>
      <c r="AE145" s="147"/>
      <c r="AF145" s="147"/>
      <c r="AG145" s="147"/>
      <c r="AH145" s="147"/>
      <c r="AI145" s="147"/>
      <c r="AJ145" s="147"/>
      <c r="AK145" s="147"/>
      <c r="AL145" s="147"/>
      <c r="AM145" s="147"/>
      <c r="AN145" s="147"/>
      <c r="AO145" s="147"/>
      <c r="AP145" s="147"/>
      <c r="AQ145" s="147"/>
      <c r="AR145" s="147"/>
      <c r="AS145" s="147"/>
      <c r="AT145" s="147"/>
      <c r="AU145" s="147"/>
      <c r="AV145" s="147"/>
      <c r="AW145" s="147"/>
      <c r="AX145" s="147"/>
      <c r="AY145" s="233"/>
      <c r="AZ145" s="147"/>
      <c r="BA145" s="147"/>
    </row>
    <row r="146" spans="1:53" ht="24.75" customHeight="1">
      <c r="A146" s="145"/>
      <c r="B146" s="147" t="s">
        <v>3</v>
      </c>
      <c r="C146" s="147"/>
      <c r="D146" s="147"/>
      <c r="E146" s="147" t="s">
        <v>26</v>
      </c>
      <c r="F146" s="148" t="s">
        <v>1174</v>
      </c>
      <c r="G146" s="148"/>
      <c r="H146" s="147" t="s">
        <v>22</v>
      </c>
      <c r="I146" s="147" t="s">
        <v>22</v>
      </c>
      <c r="J146" s="147"/>
      <c r="K146" s="155"/>
      <c r="L146" s="147" t="s">
        <v>1155</v>
      </c>
      <c r="M146" s="155"/>
      <c r="N146" s="147" t="s">
        <v>32</v>
      </c>
      <c r="O146" s="148" t="s">
        <v>1175</v>
      </c>
      <c r="P146" s="148" t="s">
        <v>354</v>
      </c>
      <c r="Q146" s="147"/>
      <c r="R146" s="147"/>
      <c r="S146" s="147"/>
      <c r="T146" s="147"/>
      <c r="U146" s="147"/>
      <c r="V146" s="155"/>
      <c r="W146" s="147"/>
      <c r="X146" s="148" t="s">
        <v>1176</v>
      </c>
      <c r="Y146" s="148"/>
      <c r="Z146" s="148" t="s">
        <v>1177</v>
      </c>
      <c r="AA146" s="148"/>
      <c r="AB146" s="147"/>
      <c r="AC146" s="147"/>
      <c r="AD146" s="147"/>
      <c r="AE146" s="147"/>
      <c r="AF146" s="147"/>
      <c r="AG146" s="147"/>
      <c r="AH146" s="147"/>
      <c r="AI146" s="147"/>
      <c r="AJ146" s="147"/>
      <c r="AK146" s="147"/>
      <c r="AL146" s="147"/>
      <c r="AM146" s="147"/>
      <c r="AN146" s="147"/>
      <c r="AO146" s="147"/>
      <c r="AP146" s="147"/>
      <c r="AQ146" s="147"/>
      <c r="AR146" s="147"/>
      <c r="AS146" s="147"/>
      <c r="AT146" s="147"/>
      <c r="AU146" s="147"/>
      <c r="AV146" s="147"/>
      <c r="AW146" s="147"/>
      <c r="AX146" s="147"/>
      <c r="AY146" s="233"/>
      <c r="AZ146" s="147"/>
      <c r="BA146" s="147"/>
    </row>
    <row r="147" spans="1:53" ht="24.75" customHeight="1">
      <c r="A147" s="145"/>
      <c r="B147" s="147" t="s">
        <v>3</v>
      </c>
      <c r="C147" s="147"/>
      <c r="D147" s="147"/>
      <c r="E147" s="147"/>
      <c r="F147" s="148" t="s">
        <v>1178</v>
      </c>
      <c r="G147" s="148"/>
      <c r="H147" s="147" t="s">
        <v>22</v>
      </c>
      <c r="I147" s="147" t="s">
        <v>22</v>
      </c>
      <c r="J147" s="147"/>
      <c r="K147" s="155"/>
      <c r="L147" s="147" t="s">
        <v>1155</v>
      </c>
      <c r="M147" s="155"/>
      <c r="N147" s="147" t="s">
        <v>32</v>
      </c>
      <c r="O147" s="148" t="s">
        <v>1179</v>
      </c>
      <c r="P147" s="148" t="s">
        <v>1180</v>
      </c>
      <c r="Q147" s="147"/>
      <c r="R147" s="147"/>
      <c r="S147" s="147"/>
      <c r="T147" s="147"/>
      <c r="U147" s="147"/>
      <c r="V147" s="155"/>
      <c r="W147" s="147"/>
      <c r="X147" s="148" t="s">
        <v>1181</v>
      </c>
      <c r="Y147" s="148"/>
      <c r="Z147" s="148" t="s">
        <v>1182</v>
      </c>
      <c r="AA147" s="148"/>
      <c r="AB147" s="147"/>
      <c r="AC147" s="147"/>
      <c r="AD147" s="147"/>
      <c r="AE147" s="147"/>
      <c r="AF147" s="147"/>
      <c r="AG147" s="147"/>
      <c r="AH147" s="147"/>
      <c r="AI147" s="147"/>
      <c r="AJ147" s="147"/>
      <c r="AK147" s="147"/>
      <c r="AL147" s="147"/>
      <c r="AM147" s="147"/>
      <c r="AN147" s="147"/>
      <c r="AO147" s="147"/>
      <c r="AP147" s="147"/>
      <c r="AQ147" s="147"/>
      <c r="AR147" s="147"/>
      <c r="AS147" s="147"/>
      <c r="AT147" s="147"/>
      <c r="AU147" s="147"/>
      <c r="AV147" s="147"/>
      <c r="AW147" s="147"/>
      <c r="AX147" s="147"/>
      <c r="AY147" s="233"/>
      <c r="AZ147" s="147"/>
      <c r="BA147" s="147"/>
    </row>
    <row r="148" spans="1:53" ht="24.75" customHeight="1">
      <c r="A148" s="145"/>
      <c r="B148" s="147" t="s">
        <v>3</v>
      </c>
      <c r="C148" s="147"/>
      <c r="D148" s="147"/>
      <c r="E148" s="147" t="s">
        <v>29</v>
      </c>
      <c r="F148" s="148" t="s">
        <v>1059</v>
      </c>
      <c r="G148" s="148"/>
      <c r="H148" s="147" t="s">
        <v>23</v>
      </c>
      <c r="I148" s="147" t="s">
        <v>23</v>
      </c>
      <c r="J148" s="147"/>
      <c r="K148" s="155"/>
      <c r="L148" s="147" t="s">
        <v>324</v>
      </c>
      <c r="M148" s="155"/>
      <c r="N148" s="147" t="s">
        <v>29</v>
      </c>
      <c r="O148" s="148" t="s">
        <v>1183</v>
      </c>
      <c r="P148" s="148" t="s">
        <v>1184</v>
      </c>
      <c r="Q148" s="147"/>
      <c r="R148" s="147"/>
      <c r="S148" s="147"/>
      <c r="T148" s="147"/>
      <c r="U148" s="147"/>
      <c r="V148" s="155"/>
      <c r="W148" s="147"/>
      <c r="X148" s="148" t="s">
        <v>1185</v>
      </c>
      <c r="Y148" s="148"/>
      <c r="Z148" s="148" t="s">
        <v>1186</v>
      </c>
      <c r="AA148" s="148"/>
      <c r="AB148" s="147"/>
      <c r="AC148" s="147"/>
      <c r="AD148" s="147"/>
      <c r="AE148" s="147"/>
      <c r="AF148" s="147"/>
      <c r="AG148" s="147"/>
      <c r="AH148" s="147"/>
      <c r="AI148" s="147"/>
      <c r="AJ148" s="147"/>
      <c r="AK148" s="147"/>
      <c r="AL148" s="147"/>
      <c r="AM148" s="147"/>
      <c r="AN148" s="147"/>
      <c r="AO148" s="147"/>
      <c r="AP148" s="147"/>
      <c r="AQ148" s="147"/>
      <c r="AR148" s="147"/>
      <c r="AS148" s="147"/>
      <c r="AT148" s="147"/>
      <c r="AU148" s="147"/>
      <c r="AV148" s="147"/>
      <c r="AW148" s="147"/>
      <c r="AX148" s="147"/>
      <c r="AY148" s="233"/>
      <c r="AZ148" s="147"/>
      <c r="BA148" s="147"/>
    </row>
    <row r="149" spans="1:53" ht="24.75" customHeight="1">
      <c r="A149" s="145"/>
      <c r="B149" s="147" t="s">
        <v>3</v>
      </c>
      <c r="C149" s="147"/>
      <c r="D149" s="147"/>
      <c r="E149" s="147" t="s">
        <v>26</v>
      </c>
      <c r="F149" s="148" t="s">
        <v>1187</v>
      </c>
      <c r="G149" s="148"/>
      <c r="H149" s="147" t="s">
        <v>20</v>
      </c>
      <c r="I149" s="147"/>
      <c r="J149" s="147" t="s">
        <v>499</v>
      </c>
      <c r="K149" s="155" t="s">
        <v>37</v>
      </c>
      <c r="L149" s="147" t="s">
        <v>499</v>
      </c>
      <c r="M149" s="155" t="s">
        <v>500</v>
      </c>
      <c r="N149" s="147" t="s">
        <v>33</v>
      </c>
      <c r="O149" s="148"/>
      <c r="P149" s="148"/>
      <c r="Q149" s="147"/>
      <c r="R149" s="147"/>
      <c r="S149" s="147"/>
      <c r="T149" s="147"/>
      <c r="U149" s="147"/>
      <c r="V149" s="155" t="s">
        <v>1188</v>
      </c>
      <c r="W149" s="147"/>
      <c r="X149" s="148" t="s">
        <v>1189</v>
      </c>
      <c r="Y149" s="148"/>
      <c r="Z149" s="148" t="s">
        <v>1190</v>
      </c>
      <c r="AA149" s="148"/>
      <c r="AB149" s="147"/>
      <c r="AC149" s="147"/>
      <c r="AD149" s="147"/>
      <c r="AE149" s="147"/>
      <c r="AF149" s="147"/>
      <c r="AG149" s="147"/>
      <c r="AH149" s="147"/>
      <c r="AI149" s="147"/>
      <c r="AJ149" s="147"/>
      <c r="AK149" s="147"/>
      <c r="AL149" s="147"/>
      <c r="AM149" s="147"/>
      <c r="AN149" s="152" t="str" cm="1">
        <f t="array" ref="AN149">IFERROR(
  LOOKUP(
    2,
    1/((AB149:AM149&lt;&gt;"")*(ISNUMBER(AB149:AM149)+ISNONTEXT(AB149:AM149)&gt;0)),
    {10,20,30,40,45,50,60,70,75,80,90,100}
  ) &amp; "%",
  "0%"
)</f>
        <v>0%</v>
      </c>
      <c r="AO149" s="147"/>
      <c r="AP149" s="147"/>
      <c r="AQ149" s="147"/>
      <c r="AR149" s="147"/>
      <c r="AS149" s="147"/>
      <c r="AT149" s="147"/>
      <c r="AU149" s="147"/>
      <c r="AV149" s="147"/>
      <c r="AW149" s="147"/>
      <c r="AX149" s="147"/>
      <c r="AY149" s="233"/>
      <c r="AZ149" s="147"/>
      <c r="BA149" s="147"/>
    </row>
    <row r="150" spans="1:53" ht="24.75" customHeight="1">
      <c r="A150" s="145"/>
      <c r="B150" s="147" t="s">
        <v>3</v>
      </c>
      <c r="C150" s="147"/>
      <c r="D150" s="147"/>
      <c r="E150" s="147" t="s">
        <v>26</v>
      </c>
      <c r="F150" s="148" t="s">
        <v>1191</v>
      </c>
      <c r="G150" s="148"/>
      <c r="H150" s="147" t="s">
        <v>20</v>
      </c>
      <c r="I150" s="147"/>
      <c r="J150" s="147" t="s">
        <v>499</v>
      </c>
      <c r="K150" s="155" t="s">
        <v>37</v>
      </c>
      <c r="L150" s="147" t="s">
        <v>499</v>
      </c>
      <c r="M150" s="155" t="s">
        <v>500</v>
      </c>
      <c r="N150" s="147" t="s">
        <v>33</v>
      </c>
      <c r="O150" s="148"/>
      <c r="P150" s="148"/>
      <c r="Q150" s="147"/>
      <c r="R150" s="147"/>
      <c r="S150" s="147"/>
      <c r="T150" s="147"/>
      <c r="U150" s="147"/>
      <c r="V150" s="155"/>
      <c r="W150" s="147"/>
      <c r="X150" s="148" t="s">
        <v>1192</v>
      </c>
      <c r="Y150" s="148"/>
      <c r="Z150" s="148" t="s">
        <v>1193</v>
      </c>
      <c r="AA150" s="148"/>
      <c r="AB150" s="147"/>
      <c r="AC150" s="147"/>
      <c r="AD150" s="147"/>
      <c r="AE150" s="147"/>
      <c r="AF150" s="147"/>
      <c r="AG150" s="147"/>
      <c r="AH150" s="147"/>
      <c r="AI150" s="147"/>
      <c r="AJ150" s="147"/>
      <c r="AK150" s="147"/>
      <c r="AL150" s="147"/>
      <c r="AM150" s="147"/>
      <c r="AN150" s="152" t="str" cm="1">
        <f t="array" ref="AN150">IFERROR(
  LOOKUP(
    2,
    1/((AB150:AM150&lt;&gt;"")*(ISNUMBER(AB150:AM150)+ISNONTEXT(AB150:AM150)&gt;0)),
    {10,20,30,40,45,50,60,70,75,80,90,100}
  ) &amp; "%",
  "0%"
)</f>
        <v>0%</v>
      </c>
      <c r="AO150" s="147"/>
      <c r="AP150" s="147"/>
      <c r="AQ150" s="147"/>
      <c r="AR150" s="147"/>
      <c r="AS150" s="147"/>
      <c r="AT150" s="147"/>
      <c r="AU150" s="147"/>
      <c r="AV150" s="147"/>
      <c r="AW150" s="147"/>
      <c r="AX150" s="147"/>
      <c r="AY150" s="233"/>
      <c r="AZ150" s="147"/>
      <c r="BA150" s="147"/>
    </row>
    <row r="151" spans="1:53" ht="24.75" customHeight="1">
      <c r="A151" s="145"/>
      <c r="B151" s="147" t="s">
        <v>3</v>
      </c>
      <c r="C151" s="147"/>
      <c r="D151" s="147"/>
      <c r="E151" s="147" t="s">
        <v>26</v>
      </c>
      <c r="F151" s="148" t="s">
        <v>1194</v>
      </c>
      <c r="G151" s="148"/>
      <c r="H151" s="147" t="s">
        <v>21</v>
      </c>
      <c r="I151" s="147" t="s">
        <v>22</v>
      </c>
      <c r="J151" s="147"/>
      <c r="K151" s="155"/>
      <c r="L151" s="147" t="s">
        <v>39</v>
      </c>
      <c r="M151" s="155"/>
      <c r="N151" s="147"/>
      <c r="O151" s="148" t="s">
        <v>1195</v>
      </c>
      <c r="P151" s="148" t="s">
        <v>1196</v>
      </c>
      <c r="Q151" s="147"/>
      <c r="R151" s="147"/>
      <c r="S151" s="147"/>
      <c r="T151" s="147"/>
      <c r="U151" s="147"/>
      <c r="V151" s="155" t="s">
        <v>1197</v>
      </c>
      <c r="W151" s="147"/>
      <c r="X151" s="148" t="s">
        <v>1198</v>
      </c>
      <c r="Y151" s="148"/>
      <c r="Z151" s="148" t="s">
        <v>1199</v>
      </c>
      <c r="AA151" s="148" t="s">
        <v>1200</v>
      </c>
      <c r="AB151" s="147"/>
      <c r="AC151" s="147"/>
      <c r="AD151" s="147"/>
      <c r="AE151" s="147"/>
      <c r="AF151" s="147"/>
      <c r="AG151" s="147"/>
      <c r="AH151" s="147"/>
      <c r="AI151" s="147"/>
      <c r="AJ151" s="147"/>
      <c r="AK151" s="147"/>
      <c r="AL151" s="147"/>
      <c r="AM151" s="147"/>
      <c r="AN151" s="147"/>
      <c r="AO151" s="147"/>
      <c r="AP151" s="147"/>
      <c r="AQ151" s="147"/>
      <c r="AR151" s="147"/>
      <c r="AS151" s="147"/>
      <c r="AT151" s="147"/>
      <c r="AU151" s="147"/>
      <c r="AV151" s="147"/>
      <c r="AW151" s="147"/>
      <c r="AX151" s="147"/>
      <c r="AY151" s="233" t="s">
        <v>1201</v>
      </c>
      <c r="AZ151" s="147"/>
      <c r="BA151" s="147"/>
    </row>
    <row r="152" spans="1:53" ht="24.75" customHeight="1">
      <c r="A152" s="145"/>
      <c r="B152" s="147" t="s">
        <v>3</v>
      </c>
      <c r="C152" s="147"/>
      <c r="D152" s="147"/>
      <c r="E152" s="147" t="s">
        <v>26</v>
      </c>
      <c r="F152" s="148" t="s">
        <v>1202</v>
      </c>
      <c r="G152" s="148"/>
      <c r="H152" s="147" t="s">
        <v>21</v>
      </c>
      <c r="I152" s="147" t="s">
        <v>22</v>
      </c>
      <c r="J152" s="147"/>
      <c r="K152" s="155"/>
      <c r="L152" s="147" t="s">
        <v>39</v>
      </c>
      <c r="M152" s="155"/>
      <c r="N152" s="147"/>
      <c r="O152" s="148" t="s">
        <v>1203</v>
      </c>
      <c r="P152" s="148" t="s">
        <v>1135</v>
      </c>
      <c r="Q152" s="147"/>
      <c r="R152" s="147"/>
      <c r="S152" s="147"/>
      <c r="T152" s="147"/>
      <c r="U152" s="147"/>
      <c r="V152" s="155">
        <v>90228027</v>
      </c>
      <c r="W152" s="147"/>
      <c r="X152" s="148" t="s">
        <v>1204</v>
      </c>
      <c r="Y152" s="148"/>
      <c r="Z152" s="148" t="s">
        <v>1205</v>
      </c>
      <c r="AA152" s="148" t="s">
        <v>1206</v>
      </c>
      <c r="AB152" s="147"/>
      <c r="AC152" s="147"/>
      <c r="AD152" s="147"/>
      <c r="AE152" s="147"/>
      <c r="AF152" s="147"/>
      <c r="AG152" s="147"/>
      <c r="AH152" s="147"/>
      <c r="AI152" s="147"/>
      <c r="AJ152" s="147"/>
      <c r="AK152" s="147"/>
      <c r="AL152" s="147"/>
      <c r="AM152" s="147"/>
      <c r="AN152" s="147"/>
      <c r="AO152" s="147"/>
      <c r="AP152" s="147"/>
      <c r="AQ152" s="147"/>
      <c r="AR152" s="147"/>
      <c r="AS152" s="147"/>
      <c r="AT152" s="147"/>
      <c r="AU152" s="147"/>
      <c r="AV152" s="147"/>
      <c r="AW152" s="147"/>
      <c r="AX152" s="147"/>
      <c r="AY152" s="233" t="s">
        <v>1207</v>
      </c>
      <c r="AZ152" s="147"/>
      <c r="BA152" s="147"/>
    </row>
    <row r="153" spans="1:53" ht="24.75" customHeight="1">
      <c r="A153" s="145"/>
      <c r="B153" s="147" t="s">
        <v>3</v>
      </c>
      <c r="C153" s="147"/>
      <c r="D153" s="147"/>
      <c r="E153" s="147" t="s">
        <v>26</v>
      </c>
      <c r="F153" s="148" t="s">
        <v>1208</v>
      </c>
      <c r="G153" s="148"/>
      <c r="H153" s="147" t="s">
        <v>21</v>
      </c>
      <c r="I153" s="147" t="s">
        <v>22</v>
      </c>
      <c r="J153" s="147"/>
      <c r="K153" s="155"/>
      <c r="L153" s="147" t="s">
        <v>39</v>
      </c>
      <c r="M153" s="155"/>
      <c r="N153" s="147"/>
      <c r="O153" s="148" t="s">
        <v>1209</v>
      </c>
      <c r="P153" s="148" t="s">
        <v>1135</v>
      </c>
      <c r="Q153" s="147"/>
      <c r="R153" s="147"/>
      <c r="S153" s="147"/>
      <c r="T153" s="147"/>
      <c r="U153" s="147"/>
      <c r="V153" s="155">
        <v>98988975</v>
      </c>
      <c r="W153" s="147"/>
      <c r="X153" s="148" t="s">
        <v>1210</v>
      </c>
      <c r="Y153" s="148"/>
      <c r="Z153" s="148" t="s">
        <v>1211</v>
      </c>
      <c r="AA153" s="148" t="s">
        <v>1212</v>
      </c>
      <c r="AB153" s="147"/>
      <c r="AC153" s="147"/>
      <c r="AD153" s="147"/>
      <c r="AE153" s="147"/>
      <c r="AF153" s="147"/>
      <c r="AG153" s="147"/>
      <c r="AH153" s="147"/>
      <c r="AI153" s="147"/>
      <c r="AJ153" s="147"/>
      <c r="AK153" s="147"/>
      <c r="AL153" s="147"/>
      <c r="AM153" s="147"/>
      <c r="AN153" s="147"/>
      <c r="AO153" s="147"/>
      <c r="AP153" s="147"/>
      <c r="AQ153" s="147"/>
      <c r="AR153" s="147"/>
      <c r="AS153" s="147"/>
      <c r="AT153" s="147"/>
      <c r="AU153" s="147"/>
      <c r="AV153" s="147"/>
      <c r="AW153" s="147"/>
      <c r="AX153" s="147"/>
      <c r="AY153" s="233" t="s">
        <v>1213</v>
      </c>
      <c r="AZ153" s="147"/>
      <c r="BA153" s="147"/>
    </row>
    <row r="154" spans="1:53" ht="24.75" customHeight="1">
      <c r="A154" s="145"/>
      <c r="B154" s="147" t="s">
        <v>3</v>
      </c>
      <c r="C154" s="147"/>
      <c r="D154" s="147"/>
      <c r="E154" s="147" t="s">
        <v>26</v>
      </c>
      <c r="F154" s="148" t="s">
        <v>1214</v>
      </c>
      <c r="G154" s="148"/>
      <c r="H154" s="147" t="s">
        <v>21</v>
      </c>
      <c r="I154" s="147" t="s">
        <v>22</v>
      </c>
      <c r="J154" s="147"/>
      <c r="K154" s="155"/>
      <c r="L154" s="147" t="s">
        <v>39</v>
      </c>
      <c r="M154" s="155"/>
      <c r="N154" s="147"/>
      <c r="O154" s="148" t="s">
        <v>1215</v>
      </c>
      <c r="P154" s="148" t="s">
        <v>1042</v>
      </c>
      <c r="Q154" s="147"/>
      <c r="R154" s="147"/>
      <c r="S154" s="147"/>
      <c r="T154" s="147"/>
      <c r="U154" s="147"/>
      <c r="V154" s="155">
        <v>97561783</v>
      </c>
      <c r="W154" s="147"/>
      <c r="X154" s="148" t="s">
        <v>1216</v>
      </c>
      <c r="Y154" s="148"/>
      <c r="Z154" s="148" t="s">
        <v>1217</v>
      </c>
      <c r="AA154" s="148" t="s">
        <v>1218</v>
      </c>
      <c r="AB154" s="147"/>
      <c r="AC154" s="147"/>
      <c r="AD154" s="147"/>
      <c r="AE154" s="147"/>
      <c r="AF154" s="147"/>
      <c r="AG154" s="147"/>
      <c r="AH154" s="147"/>
      <c r="AI154" s="147"/>
      <c r="AJ154" s="147"/>
      <c r="AK154" s="147"/>
      <c r="AL154" s="147"/>
      <c r="AM154" s="147"/>
      <c r="AN154" s="147"/>
      <c r="AO154" s="147"/>
      <c r="AP154" s="147"/>
      <c r="AQ154" s="147"/>
      <c r="AR154" s="147"/>
      <c r="AS154" s="147"/>
      <c r="AT154" s="147"/>
      <c r="AU154" s="147"/>
      <c r="AV154" s="147"/>
      <c r="AW154" s="147"/>
      <c r="AX154" s="147"/>
      <c r="AY154" s="233" t="s">
        <v>1207</v>
      </c>
      <c r="AZ154" s="147"/>
      <c r="BA154" s="147"/>
    </row>
    <row r="155" spans="1:53" ht="24.75" customHeight="1">
      <c r="A155" s="145"/>
      <c r="B155" s="147" t="s">
        <v>3</v>
      </c>
      <c r="C155" s="147"/>
      <c r="D155" s="147"/>
      <c r="E155" s="147" t="s">
        <v>26</v>
      </c>
      <c r="F155" s="148" t="s">
        <v>1219</v>
      </c>
      <c r="G155" s="148"/>
      <c r="H155" s="147" t="s">
        <v>21</v>
      </c>
      <c r="I155" s="147" t="s">
        <v>22</v>
      </c>
      <c r="J155" s="147"/>
      <c r="K155" s="155"/>
      <c r="L155" s="147" t="s">
        <v>39</v>
      </c>
      <c r="M155" s="155"/>
      <c r="N155" s="147"/>
      <c r="O155" s="148"/>
      <c r="P155" s="148"/>
      <c r="Q155" s="147"/>
      <c r="R155" s="147"/>
      <c r="S155" s="147"/>
      <c r="T155" s="147"/>
      <c r="U155" s="147"/>
      <c r="V155" s="155"/>
      <c r="W155" s="147"/>
      <c r="X155" s="148"/>
      <c r="Y155" s="148"/>
      <c r="Z155" s="148"/>
      <c r="AA155" s="148"/>
      <c r="AB155" s="147"/>
      <c r="AC155" s="147"/>
      <c r="AD155" s="147"/>
      <c r="AE155" s="147"/>
      <c r="AF155" s="147"/>
      <c r="AG155" s="147"/>
      <c r="AH155" s="147"/>
      <c r="AI155" s="147"/>
      <c r="AJ155" s="147"/>
      <c r="AK155" s="147"/>
      <c r="AL155" s="147"/>
      <c r="AM155" s="147"/>
      <c r="AN155" s="147"/>
      <c r="AO155" s="147"/>
      <c r="AP155" s="147"/>
      <c r="AQ155" s="147"/>
      <c r="AR155" s="147"/>
      <c r="AS155" s="147"/>
      <c r="AT155" s="147"/>
      <c r="AU155" s="147"/>
      <c r="AV155" s="147"/>
      <c r="AW155" s="147"/>
      <c r="AX155" s="147"/>
      <c r="AY155" s="233"/>
      <c r="AZ155" s="147"/>
      <c r="BA155" s="147"/>
    </row>
    <row r="156" spans="1:53" ht="24.75" customHeight="1">
      <c r="A156" s="145"/>
      <c r="B156" s="147" t="s">
        <v>3</v>
      </c>
      <c r="C156" s="147"/>
      <c r="D156" s="147"/>
      <c r="E156" s="147" t="s">
        <v>26</v>
      </c>
      <c r="F156" s="148" t="s">
        <v>1220</v>
      </c>
      <c r="G156" s="148"/>
      <c r="H156" s="147" t="s">
        <v>21</v>
      </c>
      <c r="I156" s="147" t="s">
        <v>22</v>
      </c>
      <c r="J156" s="147"/>
      <c r="K156" s="155"/>
      <c r="L156" s="147" t="s">
        <v>39</v>
      </c>
      <c r="M156" s="155"/>
      <c r="N156" s="147"/>
      <c r="O156" s="148" t="s">
        <v>1221</v>
      </c>
      <c r="P156" s="148" t="s">
        <v>1222</v>
      </c>
      <c r="Q156" s="147"/>
      <c r="R156" s="147"/>
      <c r="S156" s="147"/>
      <c r="T156" s="147"/>
      <c r="U156" s="147"/>
      <c r="V156" s="155" t="s">
        <v>1223</v>
      </c>
      <c r="W156" s="147"/>
      <c r="X156" s="148" t="s">
        <v>1224</v>
      </c>
      <c r="Y156" s="148"/>
      <c r="Z156" s="148" t="s">
        <v>1225</v>
      </c>
      <c r="AA156" s="148" t="s">
        <v>1226</v>
      </c>
      <c r="AB156" s="147"/>
      <c r="AC156" s="147"/>
      <c r="AD156" s="147"/>
      <c r="AE156" s="147"/>
      <c r="AF156" s="147"/>
      <c r="AG156" s="147"/>
      <c r="AH156" s="147"/>
      <c r="AI156" s="147"/>
      <c r="AJ156" s="147"/>
      <c r="AK156" s="147"/>
      <c r="AL156" s="147"/>
      <c r="AM156" s="147"/>
      <c r="AN156" s="147"/>
      <c r="AO156" s="147"/>
      <c r="AP156" s="147"/>
      <c r="AQ156" s="147"/>
      <c r="AR156" s="147"/>
      <c r="AS156" s="147"/>
      <c r="AT156" s="147"/>
      <c r="AU156" s="147"/>
      <c r="AV156" s="147"/>
      <c r="AW156" s="147"/>
      <c r="AX156" s="147"/>
      <c r="AY156" s="233" t="s">
        <v>820</v>
      </c>
      <c r="AZ156" s="147"/>
      <c r="BA156" s="147"/>
    </row>
    <row r="157" spans="1:53" ht="24.75" customHeight="1">
      <c r="A157" s="145"/>
      <c r="B157" s="147" t="s">
        <v>3</v>
      </c>
      <c r="C157" s="147"/>
      <c r="D157" s="147"/>
      <c r="E157" s="147" t="s">
        <v>26</v>
      </c>
      <c r="F157" s="148" t="s">
        <v>1227</v>
      </c>
      <c r="G157" s="148"/>
      <c r="H157" s="147" t="s">
        <v>21</v>
      </c>
      <c r="I157" s="147" t="s">
        <v>22</v>
      </c>
      <c r="J157" s="147"/>
      <c r="K157" s="155"/>
      <c r="L157" s="147" t="s">
        <v>39</v>
      </c>
      <c r="M157" s="155"/>
      <c r="N157" s="147"/>
      <c r="O157" s="148" t="s">
        <v>1228</v>
      </c>
      <c r="P157" s="148" t="s">
        <v>1135</v>
      </c>
      <c r="Q157" s="147"/>
      <c r="R157" s="147"/>
      <c r="S157" s="147"/>
      <c r="T157" s="147"/>
      <c r="U157" s="147"/>
      <c r="V157" s="155" t="s">
        <v>1229</v>
      </c>
      <c r="W157" s="147"/>
      <c r="X157" s="148" t="s">
        <v>1230</v>
      </c>
      <c r="Y157" s="148"/>
      <c r="Z157" s="148" t="s">
        <v>1231</v>
      </c>
      <c r="AA157" s="148" t="s">
        <v>1232</v>
      </c>
      <c r="AB157" s="147"/>
      <c r="AC157" s="147"/>
      <c r="AD157" s="147"/>
      <c r="AE157" s="147"/>
      <c r="AF157" s="147"/>
      <c r="AG157" s="147"/>
      <c r="AH157" s="147"/>
      <c r="AI157" s="147"/>
      <c r="AJ157" s="147"/>
      <c r="AK157" s="147"/>
      <c r="AL157" s="147"/>
      <c r="AM157" s="147"/>
      <c r="AN157" s="147"/>
      <c r="AO157" s="147"/>
      <c r="AP157" s="147"/>
      <c r="AQ157" s="147"/>
      <c r="AR157" s="147"/>
      <c r="AS157" s="147"/>
      <c r="AT157" s="147"/>
      <c r="AU157" s="147"/>
      <c r="AV157" s="147"/>
      <c r="AW157" s="147"/>
      <c r="AX157" s="147"/>
      <c r="AY157" s="233" t="s">
        <v>1082</v>
      </c>
      <c r="AZ157" s="147"/>
      <c r="BA157" s="147"/>
    </row>
    <row r="158" spans="1:53" ht="24.75" customHeight="1">
      <c r="A158" s="145"/>
      <c r="B158" s="147" t="s">
        <v>3</v>
      </c>
      <c r="C158" s="147"/>
      <c r="D158" s="147"/>
      <c r="E158" s="147" t="s">
        <v>26</v>
      </c>
      <c r="F158" s="148" t="s">
        <v>1233</v>
      </c>
      <c r="G158" s="148"/>
      <c r="H158" s="147" t="s">
        <v>21</v>
      </c>
      <c r="I158" s="147" t="s">
        <v>22</v>
      </c>
      <c r="J158" s="147"/>
      <c r="K158" s="155"/>
      <c r="L158" s="147" t="s">
        <v>39</v>
      </c>
      <c r="M158" s="155"/>
      <c r="N158" s="147"/>
      <c r="O158" s="148"/>
      <c r="P158" s="148"/>
      <c r="Q158" s="147"/>
      <c r="R158" s="147"/>
      <c r="S158" s="147"/>
      <c r="T158" s="147"/>
      <c r="U158" s="147"/>
      <c r="V158" s="155"/>
      <c r="W158" s="147"/>
      <c r="X158" s="148"/>
      <c r="Y158" s="148"/>
      <c r="Z158" s="148"/>
      <c r="AA158" s="148"/>
      <c r="AB158" s="147"/>
      <c r="AC158" s="147"/>
      <c r="AD158" s="147"/>
      <c r="AE158" s="147"/>
      <c r="AF158" s="147"/>
      <c r="AG158" s="147"/>
      <c r="AH158" s="147"/>
      <c r="AI158" s="147"/>
      <c r="AJ158" s="147"/>
      <c r="AK158" s="147"/>
      <c r="AL158" s="147"/>
      <c r="AM158" s="147"/>
      <c r="AN158" s="147"/>
      <c r="AO158" s="147"/>
      <c r="AP158" s="147"/>
      <c r="AQ158" s="147"/>
      <c r="AR158" s="147"/>
      <c r="AS158" s="147"/>
      <c r="AT158" s="147"/>
      <c r="AU158" s="147"/>
      <c r="AV158" s="147"/>
      <c r="AW158" s="147"/>
      <c r="AX158" s="147"/>
      <c r="AY158" s="233"/>
      <c r="AZ158" s="147"/>
      <c r="BA158" s="147"/>
    </row>
    <row r="159" spans="1:53" ht="24.75" customHeight="1">
      <c r="A159" s="145"/>
      <c r="B159" s="147" t="s">
        <v>3</v>
      </c>
      <c r="C159" s="147"/>
      <c r="D159" s="147"/>
      <c r="E159" s="147" t="s">
        <v>26</v>
      </c>
      <c r="F159" s="148" t="s">
        <v>1234</v>
      </c>
      <c r="G159" s="148"/>
      <c r="H159" s="147" t="s">
        <v>21</v>
      </c>
      <c r="I159" s="147" t="s">
        <v>22</v>
      </c>
      <c r="J159" s="147"/>
      <c r="K159" s="155"/>
      <c r="L159" s="147" t="s">
        <v>39</v>
      </c>
      <c r="M159" s="155"/>
      <c r="N159" s="147"/>
      <c r="O159" s="148"/>
      <c r="P159" s="148"/>
      <c r="Q159" s="147"/>
      <c r="R159" s="147"/>
      <c r="S159" s="147"/>
      <c r="T159" s="147"/>
      <c r="U159" s="147"/>
      <c r="V159" s="155"/>
      <c r="W159" s="147"/>
      <c r="X159" s="148"/>
      <c r="Y159" s="148"/>
      <c r="Z159" s="148"/>
      <c r="AA159" s="148"/>
      <c r="AB159" s="147"/>
      <c r="AC159" s="147"/>
      <c r="AD159" s="147"/>
      <c r="AE159" s="147"/>
      <c r="AF159" s="147"/>
      <c r="AG159" s="147"/>
      <c r="AH159" s="147"/>
      <c r="AI159" s="147"/>
      <c r="AJ159" s="147"/>
      <c r="AK159" s="147"/>
      <c r="AL159" s="147"/>
      <c r="AM159" s="147"/>
      <c r="AN159" s="147"/>
      <c r="AO159" s="147"/>
      <c r="AP159" s="147"/>
      <c r="AQ159" s="147"/>
      <c r="AR159" s="147"/>
      <c r="AS159" s="147"/>
      <c r="AT159" s="147"/>
      <c r="AU159" s="147"/>
      <c r="AV159" s="147"/>
      <c r="AW159" s="147"/>
      <c r="AX159" s="147"/>
      <c r="AY159" s="233"/>
      <c r="AZ159" s="147"/>
      <c r="BA159" s="147"/>
    </row>
    <row r="160" spans="1:53" ht="24.75" customHeight="1">
      <c r="A160" s="145"/>
      <c r="B160" s="147" t="s">
        <v>3</v>
      </c>
      <c r="C160" s="147"/>
      <c r="D160" s="147"/>
      <c r="E160" s="147" t="s">
        <v>26</v>
      </c>
      <c r="F160" s="148" t="s">
        <v>1235</v>
      </c>
      <c r="G160" s="148"/>
      <c r="H160" s="147" t="s">
        <v>21</v>
      </c>
      <c r="I160" s="147" t="s">
        <v>22</v>
      </c>
      <c r="J160" s="147" t="s">
        <v>1074</v>
      </c>
      <c r="K160" s="155" t="s">
        <v>801</v>
      </c>
      <c r="L160" s="147" t="s">
        <v>1074</v>
      </c>
      <c r="M160" s="155" t="s">
        <v>1075</v>
      </c>
      <c r="N160" s="147" t="s">
        <v>1236</v>
      </c>
      <c r="O160" s="148"/>
      <c r="P160" s="148"/>
      <c r="Q160" s="147"/>
      <c r="R160" s="147"/>
      <c r="S160" s="147"/>
      <c r="T160" s="147"/>
      <c r="U160" s="147"/>
      <c r="V160" s="155"/>
      <c r="W160" s="147"/>
      <c r="X160" s="148"/>
      <c r="Y160" s="148"/>
      <c r="Z160" s="148"/>
      <c r="AA160" s="148"/>
      <c r="AB160" s="147"/>
      <c r="AC160" s="147"/>
      <c r="AD160" s="147"/>
      <c r="AE160" s="147"/>
      <c r="AF160" s="147"/>
      <c r="AG160" s="147"/>
      <c r="AH160" s="147"/>
      <c r="AI160" s="147"/>
      <c r="AJ160" s="147"/>
      <c r="AK160" s="147"/>
      <c r="AL160" s="147"/>
      <c r="AM160" s="147"/>
      <c r="AN160" s="147"/>
      <c r="AO160" s="147"/>
      <c r="AP160" s="147"/>
      <c r="AQ160" s="147"/>
      <c r="AR160" s="147"/>
      <c r="AS160" s="147"/>
      <c r="AT160" s="147"/>
      <c r="AU160" s="147"/>
      <c r="AV160" s="147"/>
      <c r="AW160" s="147"/>
      <c r="AX160" s="147"/>
      <c r="AY160" s="233"/>
      <c r="AZ160" s="147"/>
      <c r="BA160" s="147"/>
    </row>
    <row r="161" spans="1:53" ht="24.75" customHeight="1">
      <c r="A161" s="145"/>
      <c r="B161" s="147" t="s">
        <v>3</v>
      </c>
      <c r="C161" s="147"/>
      <c r="D161" s="147"/>
      <c r="E161" s="147" t="s">
        <v>26</v>
      </c>
      <c r="F161" s="195" t="s">
        <v>1237</v>
      </c>
      <c r="G161" s="148" t="s">
        <v>1238</v>
      </c>
      <c r="H161" s="147" t="s">
        <v>21</v>
      </c>
      <c r="I161" s="147" t="s">
        <v>22</v>
      </c>
      <c r="J161" s="147" t="s">
        <v>469</v>
      </c>
      <c r="K161" s="155" t="s">
        <v>801</v>
      </c>
      <c r="L161" s="147" t="s">
        <v>469</v>
      </c>
      <c r="M161" s="155" t="s">
        <v>470</v>
      </c>
      <c r="N161" s="147" t="s">
        <v>33</v>
      </c>
      <c r="O161" s="148" t="s">
        <v>1239</v>
      </c>
      <c r="P161" s="148" t="s">
        <v>1240</v>
      </c>
      <c r="Q161" s="147"/>
      <c r="R161" s="147"/>
      <c r="S161" s="147"/>
      <c r="T161" s="147"/>
      <c r="U161" s="147"/>
      <c r="V161" s="155" t="s">
        <v>1241</v>
      </c>
      <c r="W161" s="147"/>
      <c r="X161" s="148" t="s">
        <v>1242</v>
      </c>
      <c r="Y161" s="148" t="s">
        <v>1243</v>
      </c>
      <c r="Z161" s="148" t="s">
        <v>1244</v>
      </c>
      <c r="AA161" s="148" t="s">
        <v>1245</v>
      </c>
      <c r="AB161" s="147"/>
      <c r="AC161" s="147"/>
      <c r="AD161" s="147"/>
      <c r="AE161" s="147"/>
      <c r="AF161" s="147"/>
      <c r="AG161" s="147"/>
      <c r="AH161" s="147"/>
      <c r="AI161" s="147"/>
      <c r="AJ161" s="147"/>
      <c r="AK161" s="147"/>
      <c r="AL161" s="147"/>
      <c r="AM161" s="147"/>
      <c r="AN161" s="152" t="str" cm="1">
        <f t="array" ref="AN161">IFERROR(
  LOOKUP(
    2,
    1/((AB161:AM161&lt;&gt;"")*(ISNUMBER(AB161:AM161)+ISNONTEXT(AB161:AM161)&gt;0)),
    {10,20,30,40,45,50,60,70,75,80,90,100}
  ) &amp; "%",
  "0%"
)</f>
        <v>0%</v>
      </c>
      <c r="AO161" s="147"/>
      <c r="AP161" s="147"/>
      <c r="AQ161" s="147"/>
      <c r="AR161" s="147"/>
      <c r="AS161" s="147"/>
      <c r="AT161" s="147"/>
      <c r="AU161" s="147"/>
      <c r="AV161" s="147"/>
      <c r="AW161" s="147"/>
      <c r="AX161" s="147"/>
      <c r="AY161" s="233"/>
      <c r="AZ161" s="147"/>
      <c r="BA161" s="147"/>
    </row>
    <row r="162" spans="1:53" ht="24.75" customHeight="1">
      <c r="A162" s="145"/>
      <c r="B162" s="147" t="s">
        <v>3</v>
      </c>
      <c r="C162" s="147"/>
      <c r="D162" s="147"/>
      <c r="E162" s="147" t="s">
        <v>26</v>
      </c>
      <c r="F162" s="148" t="s">
        <v>1246</v>
      </c>
      <c r="G162" s="148"/>
      <c r="H162" s="147" t="s">
        <v>22</v>
      </c>
      <c r="I162" s="147" t="s">
        <v>22</v>
      </c>
      <c r="J162" s="147" t="s">
        <v>827</v>
      </c>
      <c r="K162" s="155" t="s">
        <v>801</v>
      </c>
      <c r="L162" s="147" t="s">
        <v>827</v>
      </c>
      <c r="M162" s="155"/>
      <c r="N162" s="147"/>
      <c r="O162" s="148"/>
      <c r="P162" s="148"/>
      <c r="Q162" s="147"/>
      <c r="R162" s="147"/>
      <c r="S162" s="147"/>
      <c r="T162" s="147"/>
      <c r="U162" s="147"/>
      <c r="V162" s="155"/>
      <c r="W162" s="147"/>
      <c r="X162" s="148"/>
      <c r="Y162" s="148"/>
      <c r="Z162" s="148"/>
      <c r="AA162" s="148"/>
      <c r="AB162" s="147"/>
      <c r="AC162" s="147"/>
      <c r="AD162" s="147"/>
      <c r="AE162" s="147"/>
      <c r="AF162" s="147"/>
      <c r="AG162" s="147"/>
      <c r="AH162" s="147"/>
      <c r="AI162" s="147"/>
      <c r="AJ162" s="147"/>
      <c r="AK162" s="147"/>
      <c r="AL162" s="147"/>
      <c r="AM162" s="147"/>
      <c r="AN162" s="147"/>
      <c r="AO162" s="147"/>
      <c r="AP162" s="147"/>
      <c r="AQ162" s="147"/>
      <c r="AR162" s="147"/>
      <c r="AS162" s="147"/>
      <c r="AT162" s="147"/>
      <c r="AU162" s="147"/>
      <c r="AV162" s="147"/>
      <c r="AW162" s="147"/>
      <c r="AX162" s="147"/>
      <c r="AY162" s="233"/>
      <c r="AZ162" s="147"/>
      <c r="BA162" s="147"/>
    </row>
    <row r="163" spans="1:53" ht="24.75" customHeight="1">
      <c r="A163" s="145"/>
      <c r="B163" s="147" t="s">
        <v>3</v>
      </c>
      <c r="C163" s="147"/>
      <c r="D163" s="147"/>
      <c r="E163" s="164" t="s">
        <v>26</v>
      </c>
      <c r="F163" s="148" t="s">
        <v>1247</v>
      </c>
      <c r="G163" s="148" t="s">
        <v>1247</v>
      </c>
      <c r="H163" s="147" t="s">
        <v>21</v>
      </c>
      <c r="I163" s="147" t="s">
        <v>22</v>
      </c>
      <c r="J163" s="147" t="s">
        <v>1074</v>
      </c>
      <c r="K163" s="155" t="s">
        <v>801</v>
      </c>
      <c r="L163" s="147" t="s">
        <v>1074</v>
      </c>
      <c r="M163" s="155"/>
      <c r="N163" s="147" t="s">
        <v>1248</v>
      </c>
      <c r="O163" s="148"/>
      <c r="P163" s="148"/>
      <c r="Q163" s="147"/>
      <c r="R163" s="147"/>
      <c r="S163" s="147"/>
      <c r="T163" s="147"/>
      <c r="U163" s="147"/>
      <c r="V163" s="155"/>
      <c r="W163" s="147"/>
      <c r="X163" s="161" t="s">
        <v>1249</v>
      </c>
      <c r="Y163" s="148"/>
      <c r="Z163" s="148" t="s">
        <v>1250</v>
      </c>
      <c r="AA163" s="148"/>
      <c r="AB163" s="147"/>
      <c r="AC163" s="147"/>
      <c r="AD163" s="147"/>
      <c r="AE163" s="147"/>
      <c r="AF163" s="147"/>
      <c r="AG163" s="147"/>
      <c r="AH163" s="147"/>
      <c r="AI163" s="147"/>
      <c r="AJ163" s="147"/>
      <c r="AK163" s="147"/>
      <c r="AL163" s="147"/>
      <c r="AM163" s="147"/>
      <c r="AN163" s="147"/>
      <c r="AO163" s="147"/>
      <c r="AP163" s="147"/>
      <c r="AQ163" s="147"/>
      <c r="AR163" s="147"/>
      <c r="AS163" s="147"/>
      <c r="AT163" s="147"/>
      <c r="AU163" s="147"/>
      <c r="AV163" s="147"/>
      <c r="AW163" s="147"/>
      <c r="AX163" s="147"/>
      <c r="AY163" s="233"/>
      <c r="AZ163" s="147"/>
      <c r="BA163" s="147"/>
    </row>
    <row r="164" spans="1:53" ht="24.75" customHeight="1">
      <c r="A164" s="145"/>
      <c r="B164" s="147" t="s">
        <v>3</v>
      </c>
      <c r="C164" s="147"/>
      <c r="D164" s="147"/>
      <c r="E164" s="147" t="s">
        <v>26</v>
      </c>
      <c r="F164" s="148" t="s">
        <v>1251</v>
      </c>
      <c r="G164" s="148"/>
      <c r="H164" s="147" t="s">
        <v>22</v>
      </c>
      <c r="I164" s="147" t="s">
        <v>22</v>
      </c>
      <c r="J164" s="147"/>
      <c r="K164" s="155"/>
      <c r="L164" s="147"/>
      <c r="M164" s="155"/>
      <c r="N164" s="147"/>
      <c r="O164" s="148" t="s">
        <v>1252</v>
      </c>
      <c r="P164" s="148" t="s">
        <v>1253</v>
      </c>
      <c r="Q164" s="147"/>
      <c r="R164" s="147"/>
      <c r="S164" s="147"/>
      <c r="T164" s="147"/>
      <c r="U164" s="147"/>
      <c r="V164" s="155"/>
      <c r="W164" s="147"/>
      <c r="X164" s="148" t="s">
        <v>1254</v>
      </c>
      <c r="Y164" s="148"/>
      <c r="Z164" s="148" t="s">
        <v>1255</v>
      </c>
      <c r="AA164" s="148"/>
      <c r="AB164" s="147"/>
      <c r="AC164" s="147"/>
      <c r="AD164" s="147"/>
      <c r="AE164" s="147"/>
      <c r="AF164" s="147"/>
      <c r="AG164" s="147"/>
      <c r="AH164" s="147"/>
      <c r="AI164" s="147"/>
      <c r="AJ164" s="147"/>
      <c r="AK164" s="147"/>
      <c r="AL164" s="147"/>
      <c r="AM164" s="147"/>
      <c r="AN164" s="147"/>
      <c r="AO164" s="147"/>
      <c r="AP164" s="147"/>
      <c r="AQ164" s="147"/>
      <c r="AR164" s="147"/>
      <c r="AS164" s="147"/>
      <c r="AT164" s="147"/>
      <c r="AU164" s="147"/>
      <c r="AV164" s="147"/>
      <c r="AW164" s="147"/>
      <c r="AX164" s="147"/>
      <c r="AY164" s="233"/>
      <c r="AZ164" s="147"/>
      <c r="BA164" s="147"/>
    </row>
    <row r="165" spans="1:53" ht="24.75" customHeight="1">
      <c r="A165" s="145"/>
      <c r="B165" s="147" t="s">
        <v>3</v>
      </c>
      <c r="C165" s="147"/>
      <c r="D165" s="147"/>
      <c r="E165" s="164" t="s">
        <v>26</v>
      </c>
      <c r="F165" s="148" t="s">
        <v>1256</v>
      </c>
      <c r="G165" s="148" t="s">
        <v>1256</v>
      </c>
      <c r="H165" s="147" t="s">
        <v>21</v>
      </c>
      <c r="I165" s="147" t="s">
        <v>22</v>
      </c>
      <c r="J165" s="147" t="s">
        <v>1074</v>
      </c>
      <c r="K165" s="155" t="s">
        <v>801</v>
      </c>
      <c r="L165" s="147" t="s">
        <v>1074</v>
      </c>
      <c r="M165" s="155" t="s">
        <v>1257</v>
      </c>
      <c r="N165" s="147" t="s">
        <v>1258</v>
      </c>
      <c r="O165" s="148" t="s">
        <v>1259</v>
      </c>
      <c r="P165" s="148" t="s">
        <v>354</v>
      </c>
      <c r="Q165" s="147"/>
      <c r="R165" s="147"/>
      <c r="S165" s="147"/>
      <c r="T165" s="147"/>
      <c r="U165" s="147"/>
      <c r="V165" s="155"/>
      <c r="W165" s="147"/>
      <c r="X165" s="148" t="s">
        <v>1260</v>
      </c>
      <c r="Y165" s="148"/>
      <c r="Z165" s="148" t="s">
        <v>1261</v>
      </c>
      <c r="AA165" s="148"/>
      <c r="AB165" s="147"/>
      <c r="AC165" s="147"/>
      <c r="AD165" s="147"/>
      <c r="AE165" s="147"/>
      <c r="AF165" s="147"/>
      <c r="AG165" s="147"/>
      <c r="AH165" s="147"/>
      <c r="AI165" s="147"/>
      <c r="AJ165" s="147"/>
      <c r="AK165" s="147"/>
      <c r="AL165" s="147"/>
      <c r="AM165" s="147"/>
      <c r="AN165" s="147"/>
      <c r="AO165" s="147"/>
      <c r="AP165" s="147"/>
      <c r="AQ165" s="147"/>
      <c r="AR165" s="147"/>
      <c r="AS165" s="147"/>
      <c r="AT165" s="147"/>
      <c r="AU165" s="147"/>
      <c r="AV165" s="147"/>
      <c r="AW165" s="147"/>
      <c r="AX165" s="147"/>
      <c r="AY165" s="233"/>
      <c r="AZ165" s="147"/>
      <c r="BA165" s="147"/>
    </row>
    <row r="166" spans="1:53" ht="24.75" customHeight="1">
      <c r="A166" s="145"/>
      <c r="B166" s="147" t="s">
        <v>3</v>
      </c>
      <c r="C166" s="147"/>
      <c r="D166" s="147"/>
      <c r="E166" s="164" t="s">
        <v>26</v>
      </c>
      <c r="F166" s="148" t="s">
        <v>1262</v>
      </c>
      <c r="G166" s="148" t="s">
        <v>1262</v>
      </c>
      <c r="H166" s="147" t="s">
        <v>21</v>
      </c>
      <c r="I166" s="147" t="s">
        <v>22</v>
      </c>
      <c r="J166" s="147" t="s">
        <v>1263</v>
      </c>
      <c r="K166" s="155" t="s">
        <v>947</v>
      </c>
      <c r="L166" s="147" t="s">
        <v>682</v>
      </c>
      <c r="M166" s="155" t="s">
        <v>914</v>
      </c>
      <c r="N166" s="147" t="s">
        <v>1264</v>
      </c>
      <c r="O166" s="148" t="s">
        <v>1265</v>
      </c>
      <c r="P166" s="148" t="s">
        <v>1266</v>
      </c>
      <c r="Q166" s="147"/>
      <c r="R166" s="147"/>
      <c r="S166" s="147"/>
      <c r="T166" s="147"/>
      <c r="U166" s="147"/>
      <c r="V166" s="155"/>
      <c r="W166" s="147"/>
      <c r="X166" s="148" t="s">
        <v>1267</v>
      </c>
      <c r="Y166" s="148"/>
      <c r="Z166" s="148" t="s">
        <v>1268</v>
      </c>
      <c r="AA166" s="148"/>
      <c r="AB166" s="147"/>
      <c r="AC166" s="147"/>
      <c r="AD166" s="147"/>
      <c r="AE166" s="147"/>
      <c r="AF166" s="147"/>
      <c r="AG166" s="147"/>
      <c r="AH166" s="147"/>
      <c r="AI166" s="147"/>
      <c r="AJ166" s="147"/>
      <c r="AK166" s="147"/>
      <c r="AL166" s="147"/>
      <c r="AM166" s="147"/>
      <c r="AN166" s="147"/>
      <c r="AO166" s="147"/>
      <c r="AP166" s="147"/>
      <c r="AQ166" s="147"/>
      <c r="AR166" s="147"/>
      <c r="AS166" s="147"/>
      <c r="AT166" s="147"/>
      <c r="AU166" s="147"/>
      <c r="AV166" s="147"/>
      <c r="AW166" s="147"/>
      <c r="AX166" s="147"/>
      <c r="AY166" s="233"/>
      <c r="AZ166" s="147"/>
      <c r="BA166" s="147"/>
    </row>
    <row r="167" spans="1:53" ht="24.75" customHeight="1">
      <c r="A167" s="145"/>
      <c r="B167" s="147" t="s">
        <v>3</v>
      </c>
      <c r="C167" s="147"/>
      <c r="D167" s="147"/>
      <c r="E167" s="164" t="s">
        <v>26</v>
      </c>
      <c r="F167" s="148" t="s">
        <v>1269</v>
      </c>
      <c r="G167" s="148" t="s">
        <v>1269</v>
      </c>
      <c r="H167" s="147" t="s">
        <v>21</v>
      </c>
      <c r="I167" s="147" t="s">
        <v>22</v>
      </c>
      <c r="J167" s="147" t="s">
        <v>469</v>
      </c>
      <c r="K167" s="155" t="s">
        <v>801</v>
      </c>
      <c r="L167" s="147" t="s">
        <v>469</v>
      </c>
      <c r="M167" s="155" t="s">
        <v>1270</v>
      </c>
      <c r="N167" s="147" t="s">
        <v>1271</v>
      </c>
      <c r="O167" s="148" t="s">
        <v>1272</v>
      </c>
      <c r="P167" s="148" t="s">
        <v>1273</v>
      </c>
      <c r="Q167" s="147"/>
      <c r="R167" s="147"/>
      <c r="S167" s="147"/>
      <c r="T167" s="147"/>
      <c r="U167" s="147"/>
      <c r="V167" s="155"/>
      <c r="W167" s="147"/>
      <c r="X167" s="148" t="s">
        <v>1274</v>
      </c>
      <c r="Y167" s="148"/>
      <c r="Z167" s="148" t="s">
        <v>1275</v>
      </c>
      <c r="AA167" s="148"/>
      <c r="AB167" s="147"/>
      <c r="AC167" s="147"/>
      <c r="AD167" s="147"/>
      <c r="AE167" s="147"/>
      <c r="AF167" s="147"/>
      <c r="AG167" s="147"/>
      <c r="AH167" s="147"/>
      <c r="AI167" s="147"/>
      <c r="AJ167" s="147"/>
      <c r="AK167" s="147"/>
      <c r="AL167" s="147"/>
      <c r="AM167" s="147"/>
      <c r="AN167" s="147"/>
      <c r="AO167" s="147"/>
      <c r="AP167" s="147"/>
      <c r="AQ167" s="147"/>
      <c r="AR167" s="147"/>
      <c r="AS167" s="147"/>
      <c r="AT167" s="147"/>
      <c r="AU167" s="147"/>
      <c r="AV167" s="147"/>
      <c r="AW167" s="147"/>
      <c r="AX167" s="147"/>
      <c r="AY167" s="233"/>
      <c r="AZ167" s="147"/>
      <c r="BA167" s="147"/>
    </row>
    <row r="168" spans="1:53" ht="24.75" customHeight="1">
      <c r="A168" s="145"/>
      <c r="B168" s="147" t="s">
        <v>3</v>
      </c>
      <c r="C168" s="147"/>
      <c r="D168" s="147"/>
      <c r="E168" s="164" t="s">
        <v>26</v>
      </c>
      <c r="F168" s="148" t="s">
        <v>1276</v>
      </c>
      <c r="G168" s="148"/>
      <c r="H168" s="147" t="s">
        <v>21</v>
      </c>
      <c r="I168" s="147" t="s">
        <v>22</v>
      </c>
      <c r="J168" s="147" t="s">
        <v>1074</v>
      </c>
      <c r="K168" s="155" t="s">
        <v>801</v>
      </c>
      <c r="L168" s="147" t="s">
        <v>1074</v>
      </c>
      <c r="M168" s="155" t="s">
        <v>1277</v>
      </c>
      <c r="N168" s="147" t="s">
        <v>1278</v>
      </c>
      <c r="O168" s="148" t="s">
        <v>1279</v>
      </c>
      <c r="P168" s="148" t="s">
        <v>608</v>
      </c>
      <c r="Q168" s="147"/>
      <c r="R168" s="147"/>
      <c r="S168" s="147"/>
      <c r="T168" s="147"/>
      <c r="U168" s="147"/>
      <c r="V168" s="155"/>
      <c r="W168" s="147"/>
      <c r="X168" s="148" t="s">
        <v>1280</v>
      </c>
      <c r="Y168" s="148"/>
      <c r="Z168" s="148" t="s">
        <v>1281</v>
      </c>
      <c r="AA168" s="148"/>
      <c r="AB168" s="147"/>
      <c r="AC168" s="147"/>
      <c r="AD168" s="147"/>
      <c r="AE168" s="147"/>
      <c r="AF168" s="147"/>
      <c r="AG168" s="147"/>
      <c r="AH168" s="147"/>
      <c r="AI168" s="147"/>
      <c r="AJ168" s="147"/>
      <c r="AK168" s="147"/>
      <c r="AL168" s="147"/>
      <c r="AM168" s="147"/>
      <c r="AN168" s="147"/>
      <c r="AO168" s="147"/>
      <c r="AP168" s="147"/>
      <c r="AQ168" s="147"/>
      <c r="AR168" s="147"/>
      <c r="AS168" s="147"/>
      <c r="AT168" s="147"/>
      <c r="AU168" s="147"/>
      <c r="AV168" s="147"/>
      <c r="AW168" s="147"/>
      <c r="AX168" s="147"/>
      <c r="AY168" s="233"/>
      <c r="AZ168" s="147"/>
      <c r="BA168" s="147"/>
    </row>
    <row r="169" spans="1:53" ht="24.75" customHeight="1">
      <c r="A169" s="145"/>
      <c r="B169" s="147" t="s">
        <v>3</v>
      </c>
      <c r="C169" s="147"/>
      <c r="D169" s="147"/>
      <c r="E169" s="164" t="s">
        <v>26</v>
      </c>
      <c r="F169" s="148" t="s">
        <v>1282</v>
      </c>
      <c r="G169" s="148" t="s">
        <v>1283</v>
      </c>
      <c r="H169" s="147" t="s">
        <v>21</v>
      </c>
      <c r="I169" s="147" t="s">
        <v>22</v>
      </c>
      <c r="J169" s="147" t="s">
        <v>827</v>
      </c>
      <c r="K169" s="155" t="s">
        <v>38</v>
      </c>
      <c r="L169" s="147" t="s">
        <v>827</v>
      </c>
      <c r="M169" s="155" t="s">
        <v>1284</v>
      </c>
      <c r="N169" s="147" t="s">
        <v>1285</v>
      </c>
      <c r="O169" s="148" t="s">
        <v>1286</v>
      </c>
      <c r="P169" s="148" t="s">
        <v>1146</v>
      </c>
      <c r="Q169" s="147"/>
      <c r="R169" s="147"/>
      <c r="S169" s="147"/>
      <c r="T169" s="147"/>
      <c r="U169" s="147"/>
      <c r="V169" s="155"/>
      <c r="W169" s="147"/>
      <c r="X169" s="148" t="s">
        <v>1287</v>
      </c>
      <c r="Y169" s="148"/>
      <c r="Z169" s="148" t="s">
        <v>1288</v>
      </c>
      <c r="AA169" s="148"/>
      <c r="AB169" s="147"/>
      <c r="AC169" s="147"/>
      <c r="AD169" s="147"/>
      <c r="AE169" s="147"/>
      <c r="AF169" s="147"/>
      <c r="AG169" s="147"/>
      <c r="AH169" s="147"/>
      <c r="AI169" s="147"/>
      <c r="AJ169" s="147"/>
      <c r="AK169" s="147"/>
      <c r="AL169" s="147"/>
      <c r="AM169" s="147"/>
      <c r="AN169" s="147"/>
      <c r="AO169" s="147"/>
      <c r="AP169" s="147"/>
      <c r="AQ169" s="147"/>
      <c r="AR169" s="147"/>
      <c r="AS169" s="147"/>
      <c r="AT169" s="147"/>
      <c r="AU169" s="147"/>
      <c r="AV169" s="147"/>
      <c r="AW169" s="147"/>
      <c r="AX169" s="147"/>
      <c r="AY169" s="233"/>
      <c r="AZ169" s="147"/>
      <c r="BA169" s="147"/>
    </row>
    <row r="170" spans="1:53" ht="24.75" customHeight="1">
      <c r="A170" s="145"/>
      <c r="B170" s="147" t="s">
        <v>3</v>
      </c>
      <c r="C170" s="147"/>
      <c r="D170" s="147"/>
      <c r="E170" s="147" t="s">
        <v>26</v>
      </c>
      <c r="F170" s="148" t="s">
        <v>1289</v>
      </c>
      <c r="G170" s="148"/>
      <c r="H170" s="147" t="s">
        <v>22</v>
      </c>
      <c r="I170" s="147" t="s">
        <v>22</v>
      </c>
      <c r="J170" s="147" t="s">
        <v>1290</v>
      </c>
      <c r="K170" s="155"/>
      <c r="L170" s="147"/>
      <c r="M170" s="155"/>
      <c r="N170" s="147" t="s">
        <v>1291</v>
      </c>
      <c r="O170" s="148" t="s">
        <v>1292</v>
      </c>
      <c r="P170" s="148" t="s">
        <v>1293</v>
      </c>
      <c r="Q170" s="147"/>
      <c r="R170" s="147"/>
      <c r="S170" s="147"/>
      <c r="T170" s="147"/>
      <c r="U170" s="147"/>
      <c r="V170" s="155"/>
      <c r="W170" s="147"/>
      <c r="X170" s="148" t="s">
        <v>1294</v>
      </c>
      <c r="Y170" s="148"/>
      <c r="Z170" s="148" t="s">
        <v>1295</v>
      </c>
      <c r="AA170" s="148"/>
      <c r="AB170" s="147"/>
      <c r="AC170" s="147"/>
      <c r="AD170" s="147"/>
      <c r="AE170" s="147"/>
      <c r="AF170" s="147"/>
      <c r="AG170" s="147"/>
      <c r="AH170" s="147"/>
      <c r="AI170" s="147"/>
      <c r="AJ170" s="147"/>
      <c r="AK170" s="147"/>
      <c r="AL170" s="147"/>
      <c r="AM170" s="147"/>
      <c r="AN170" s="147"/>
      <c r="AO170" s="147"/>
      <c r="AP170" s="147"/>
      <c r="AQ170" s="147"/>
      <c r="AR170" s="147"/>
      <c r="AS170" s="147"/>
      <c r="AT170" s="147"/>
      <c r="AU170" s="147"/>
      <c r="AV170" s="147"/>
      <c r="AW170" s="147"/>
      <c r="AX170" s="147"/>
      <c r="AY170" s="233"/>
      <c r="AZ170" s="147"/>
      <c r="BA170" s="147"/>
    </row>
    <row r="171" spans="1:53" ht="24.75" customHeight="1">
      <c r="A171" s="145"/>
      <c r="B171" s="147" t="s">
        <v>3</v>
      </c>
      <c r="C171" s="147"/>
      <c r="D171" s="147"/>
      <c r="E171" s="147" t="s">
        <v>26</v>
      </c>
      <c r="F171" s="148" t="s">
        <v>1296</v>
      </c>
      <c r="G171" s="148"/>
      <c r="H171" s="147" t="s">
        <v>22</v>
      </c>
      <c r="I171" s="147" t="s">
        <v>22</v>
      </c>
      <c r="J171" s="147"/>
      <c r="K171" s="155"/>
      <c r="L171" s="147"/>
      <c r="M171" s="155"/>
      <c r="N171" s="155" t="s">
        <v>1297</v>
      </c>
      <c r="O171" s="148" t="s">
        <v>1298</v>
      </c>
      <c r="P171" s="148"/>
      <c r="Q171" s="147"/>
      <c r="R171" s="147"/>
      <c r="S171" s="147"/>
      <c r="T171" s="147"/>
      <c r="U171" s="147"/>
      <c r="V171" s="155"/>
      <c r="W171" s="147"/>
      <c r="X171" s="148" t="s">
        <v>1299</v>
      </c>
      <c r="Y171" s="148"/>
      <c r="Z171" s="148" t="s">
        <v>1300</v>
      </c>
      <c r="AA171" s="148"/>
      <c r="AB171" s="147"/>
      <c r="AC171" s="147"/>
      <c r="AD171" s="147"/>
      <c r="AE171" s="147"/>
      <c r="AF171" s="147"/>
      <c r="AG171" s="147"/>
      <c r="AH171" s="147"/>
      <c r="AI171" s="147"/>
      <c r="AJ171" s="147"/>
      <c r="AK171" s="147"/>
      <c r="AL171" s="147"/>
      <c r="AM171" s="147"/>
      <c r="AN171" s="147"/>
      <c r="AO171" s="147"/>
      <c r="AP171" s="147"/>
      <c r="AQ171" s="147"/>
      <c r="AR171" s="147"/>
      <c r="AS171" s="147"/>
      <c r="AT171" s="147"/>
      <c r="AU171" s="147"/>
      <c r="AV171" s="147"/>
      <c r="AW171" s="147"/>
      <c r="AX171" s="147"/>
      <c r="AY171" s="233"/>
      <c r="AZ171" s="147"/>
      <c r="BA171" s="147"/>
    </row>
    <row r="172" spans="1:53" ht="24.75" customHeight="1">
      <c r="A172" s="145"/>
      <c r="B172" s="147" t="s">
        <v>3</v>
      </c>
      <c r="C172" s="147"/>
      <c r="D172" s="147"/>
      <c r="E172" s="147" t="s">
        <v>26</v>
      </c>
      <c r="F172" s="148" t="s">
        <v>1301</v>
      </c>
      <c r="G172" s="148"/>
      <c r="H172" s="147" t="s">
        <v>21</v>
      </c>
      <c r="I172" s="147" t="s">
        <v>22</v>
      </c>
      <c r="J172" s="147"/>
      <c r="K172" s="155"/>
      <c r="L172" s="147"/>
      <c r="M172" s="155"/>
      <c r="N172" s="147" t="s">
        <v>950</v>
      </c>
      <c r="O172" s="148" t="s">
        <v>1302</v>
      </c>
      <c r="P172" s="148" t="s">
        <v>608</v>
      </c>
      <c r="Q172" s="147"/>
      <c r="R172" s="147"/>
      <c r="S172" s="147"/>
      <c r="T172" s="147"/>
      <c r="U172" s="147"/>
      <c r="V172" s="155"/>
      <c r="W172" s="147"/>
      <c r="X172" s="148" t="s">
        <v>1303</v>
      </c>
      <c r="Y172" s="148"/>
      <c r="Z172" s="148" t="s">
        <v>1304</v>
      </c>
      <c r="AA172" s="148"/>
      <c r="AB172" s="147"/>
      <c r="AC172" s="147"/>
      <c r="AD172" s="147"/>
      <c r="AE172" s="147"/>
      <c r="AF172" s="147"/>
      <c r="AG172" s="147"/>
      <c r="AH172" s="147"/>
      <c r="AI172" s="147"/>
      <c r="AJ172" s="147"/>
      <c r="AK172" s="147"/>
      <c r="AL172" s="147"/>
      <c r="AM172" s="147"/>
      <c r="AN172" s="147"/>
      <c r="AO172" s="147"/>
      <c r="AP172" s="147"/>
      <c r="AQ172" s="147"/>
      <c r="AR172" s="147"/>
      <c r="AS172" s="147"/>
      <c r="AT172" s="147"/>
      <c r="AU172" s="147"/>
      <c r="AV172" s="147"/>
      <c r="AW172" s="147"/>
      <c r="AX172" s="147"/>
      <c r="AY172" s="233"/>
      <c r="AZ172" s="147"/>
      <c r="BA172" s="147"/>
    </row>
    <row r="173" spans="1:53" ht="24.75" customHeight="1">
      <c r="A173" s="145"/>
      <c r="B173" s="147" t="s">
        <v>3</v>
      </c>
      <c r="C173" s="147"/>
      <c r="D173" s="147"/>
      <c r="E173" s="147" t="s">
        <v>26</v>
      </c>
      <c r="F173" s="148" t="s">
        <v>1305</v>
      </c>
      <c r="G173" s="148"/>
      <c r="H173" s="147" t="s">
        <v>21</v>
      </c>
      <c r="I173" s="147" t="s">
        <v>22</v>
      </c>
      <c r="J173" s="147" t="s">
        <v>1306</v>
      </c>
      <c r="K173" s="155" t="s">
        <v>801</v>
      </c>
      <c r="L173" s="147" t="s">
        <v>1306</v>
      </c>
      <c r="M173" s="155" t="s">
        <v>1307</v>
      </c>
      <c r="N173" s="147" t="s">
        <v>950</v>
      </c>
      <c r="O173" s="148" t="s">
        <v>1308</v>
      </c>
      <c r="P173" s="148" t="s">
        <v>1309</v>
      </c>
      <c r="Q173" s="147"/>
      <c r="R173" s="147"/>
      <c r="S173" s="147"/>
      <c r="T173" s="147"/>
      <c r="U173" s="147"/>
      <c r="V173" s="155"/>
      <c r="W173" s="147"/>
      <c r="X173" s="148" t="s">
        <v>1310</v>
      </c>
      <c r="Y173" s="148"/>
      <c r="Z173" s="148" t="s">
        <v>1311</v>
      </c>
      <c r="AA173" s="148"/>
      <c r="AB173" s="147"/>
      <c r="AC173" s="147"/>
      <c r="AD173" s="147"/>
      <c r="AE173" s="147"/>
      <c r="AF173" s="147"/>
      <c r="AG173" s="147"/>
      <c r="AH173" s="147"/>
      <c r="AI173" s="147"/>
      <c r="AJ173" s="147"/>
      <c r="AK173" s="147"/>
      <c r="AL173" s="147"/>
      <c r="AM173" s="147"/>
      <c r="AN173" s="147"/>
      <c r="AO173" s="147"/>
      <c r="AP173" s="147"/>
      <c r="AQ173" s="147"/>
      <c r="AR173" s="147"/>
      <c r="AS173" s="147"/>
      <c r="AT173" s="147"/>
      <c r="AU173" s="147"/>
      <c r="AV173" s="147"/>
      <c r="AW173" s="147"/>
      <c r="AX173" s="147"/>
      <c r="AY173" s="233"/>
      <c r="AZ173" s="147"/>
      <c r="BA173" s="147"/>
    </row>
    <row r="174" spans="1:53" ht="24.75" customHeight="1">
      <c r="A174" s="145"/>
      <c r="B174" s="147" t="s">
        <v>3</v>
      </c>
      <c r="C174" s="147"/>
      <c r="D174" s="147"/>
      <c r="E174" s="147" t="s">
        <v>26</v>
      </c>
      <c r="F174" s="148" t="s">
        <v>1312</v>
      </c>
      <c r="G174" s="148"/>
      <c r="H174" s="147" t="s">
        <v>22</v>
      </c>
      <c r="I174" s="147" t="s">
        <v>22</v>
      </c>
      <c r="J174" s="147" t="s">
        <v>1313</v>
      </c>
      <c r="K174" s="155" t="s">
        <v>37</v>
      </c>
      <c r="L174" s="147" t="s">
        <v>1313</v>
      </c>
      <c r="M174" s="155" t="s">
        <v>1314</v>
      </c>
      <c r="N174" s="147" t="s">
        <v>1315</v>
      </c>
      <c r="O174" s="148" t="s">
        <v>1316</v>
      </c>
      <c r="P174" s="148" t="s">
        <v>608</v>
      </c>
      <c r="Q174" s="147"/>
      <c r="R174" s="147"/>
      <c r="S174" s="147"/>
      <c r="T174" s="147"/>
      <c r="U174" s="147"/>
      <c r="V174" s="155"/>
      <c r="W174" s="147"/>
      <c r="X174" s="148" t="s">
        <v>1317</v>
      </c>
      <c r="Y174" s="148"/>
      <c r="Z174" s="148" t="s">
        <v>1318</v>
      </c>
      <c r="AA174" s="148"/>
      <c r="AB174" s="147"/>
      <c r="AC174" s="147"/>
      <c r="AD174" s="147"/>
      <c r="AE174" s="147"/>
      <c r="AF174" s="147"/>
      <c r="AG174" s="147"/>
      <c r="AH174" s="147"/>
      <c r="AI174" s="147"/>
      <c r="AJ174" s="147"/>
      <c r="AK174" s="147"/>
      <c r="AL174" s="147"/>
      <c r="AM174" s="147"/>
      <c r="AN174" s="147"/>
      <c r="AO174" s="147"/>
      <c r="AP174" s="147"/>
      <c r="AQ174" s="147"/>
      <c r="AR174" s="147"/>
      <c r="AS174" s="147"/>
      <c r="AT174" s="147"/>
      <c r="AU174" s="147"/>
      <c r="AV174" s="147"/>
      <c r="AW174" s="147"/>
      <c r="AX174" s="147"/>
      <c r="AY174" s="233"/>
      <c r="AZ174" s="147"/>
      <c r="BA174" s="147"/>
    </row>
    <row r="175" spans="1:53" ht="24.75" customHeight="1">
      <c r="A175" s="145"/>
      <c r="B175" s="147" t="s">
        <v>3</v>
      </c>
      <c r="C175" s="147"/>
      <c r="D175" s="147"/>
      <c r="E175" s="147" t="s">
        <v>26</v>
      </c>
      <c r="F175" s="148" t="s">
        <v>1319</v>
      </c>
      <c r="G175" s="148" t="s">
        <v>1320</v>
      </c>
      <c r="H175" s="147" t="s">
        <v>21</v>
      </c>
      <c r="I175" s="147" t="s">
        <v>22</v>
      </c>
      <c r="J175" s="147" t="s">
        <v>39</v>
      </c>
      <c r="K175" s="155" t="s">
        <v>801</v>
      </c>
      <c r="L175" s="147" t="s">
        <v>39</v>
      </c>
      <c r="M175" s="155" t="s">
        <v>39</v>
      </c>
      <c r="N175" s="147" t="s">
        <v>1321</v>
      </c>
      <c r="O175" s="148" t="s">
        <v>1322</v>
      </c>
      <c r="P175" s="148" t="s">
        <v>1323</v>
      </c>
      <c r="Q175" s="147"/>
      <c r="R175" s="147"/>
      <c r="S175" s="147"/>
      <c r="T175" s="147"/>
      <c r="U175" s="147"/>
      <c r="V175" s="155" t="s">
        <v>1324</v>
      </c>
      <c r="W175" s="147"/>
      <c r="X175" s="148" t="s">
        <v>1325</v>
      </c>
      <c r="Y175" s="148"/>
      <c r="Z175" s="148" t="s">
        <v>1326</v>
      </c>
      <c r="AA175" s="148" t="s">
        <v>1327</v>
      </c>
      <c r="AB175" s="147"/>
      <c r="AC175" s="147"/>
      <c r="AD175" s="147"/>
      <c r="AE175" s="147"/>
      <c r="AF175" s="147"/>
      <c r="AG175" s="147"/>
      <c r="AH175" s="147"/>
      <c r="AI175" s="147"/>
      <c r="AJ175" s="147"/>
      <c r="AK175" s="147"/>
      <c r="AL175" s="147"/>
      <c r="AM175" s="147"/>
      <c r="AN175" s="147"/>
      <c r="AO175" s="147"/>
      <c r="AP175" s="147"/>
      <c r="AQ175" s="147"/>
      <c r="AR175" s="147"/>
      <c r="AS175" s="147"/>
      <c r="AT175" s="147"/>
      <c r="AU175" s="147"/>
      <c r="AV175" s="147"/>
      <c r="AW175" s="147"/>
      <c r="AX175" s="147"/>
      <c r="AY175" s="233" t="s">
        <v>1328</v>
      </c>
      <c r="AZ175" s="147"/>
      <c r="BA175" s="147"/>
    </row>
    <row r="176" spans="1:53" ht="24.75" customHeight="1">
      <c r="A176" s="145"/>
      <c r="B176" s="147" t="s">
        <v>3</v>
      </c>
      <c r="C176" s="147"/>
      <c r="D176" s="147"/>
      <c r="E176" s="147" t="s">
        <v>26</v>
      </c>
      <c r="F176" s="148" t="s">
        <v>1329</v>
      </c>
      <c r="G176" s="148"/>
      <c r="H176" s="147" t="s">
        <v>21</v>
      </c>
      <c r="I176" s="147" t="s">
        <v>22</v>
      </c>
      <c r="J176" s="147"/>
      <c r="K176" s="155"/>
      <c r="L176" s="147"/>
      <c r="M176" s="155"/>
      <c r="N176" s="147"/>
      <c r="O176" s="148" t="s">
        <v>1330</v>
      </c>
      <c r="P176" s="148" t="s">
        <v>1331</v>
      </c>
      <c r="Q176" s="147"/>
      <c r="R176" s="147"/>
      <c r="S176" s="147"/>
      <c r="T176" s="147"/>
      <c r="U176" s="147"/>
      <c r="V176" s="155"/>
      <c r="W176" s="147"/>
      <c r="X176" s="148" t="s">
        <v>1332</v>
      </c>
      <c r="Y176" s="148"/>
      <c r="Z176" s="148" t="s">
        <v>1333</v>
      </c>
      <c r="AA176" s="148"/>
      <c r="AB176" s="147"/>
      <c r="AC176" s="147"/>
      <c r="AD176" s="147"/>
      <c r="AE176" s="147"/>
      <c r="AF176" s="147"/>
      <c r="AG176" s="147"/>
      <c r="AH176" s="147"/>
      <c r="AI176" s="147"/>
      <c r="AJ176" s="147"/>
      <c r="AK176" s="147"/>
      <c r="AL176" s="147"/>
      <c r="AM176" s="147"/>
      <c r="AN176" s="147"/>
      <c r="AO176" s="147"/>
      <c r="AP176" s="147"/>
      <c r="AQ176" s="147"/>
      <c r="AR176" s="147"/>
      <c r="AS176" s="147"/>
      <c r="AT176" s="147"/>
      <c r="AU176" s="147"/>
      <c r="AV176" s="147"/>
      <c r="AW176" s="147"/>
      <c r="AX176" s="147"/>
      <c r="AY176" s="233"/>
      <c r="AZ176" s="147"/>
      <c r="BA176" s="147"/>
    </row>
    <row r="177" spans="1:53" ht="24.75" customHeight="1">
      <c r="A177" s="145"/>
      <c r="B177" s="147" t="s">
        <v>3</v>
      </c>
      <c r="C177" s="147"/>
      <c r="D177" s="147"/>
      <c r="E177" s="147" t="s">
        <v>26</v>
      </c>
      <c r="F177" s="148" t="s">
        <v>1334</v>
      </c>
      <c r="G177" s="148" t="s">
        <v>1335</v>
      </c>
      <c r="H177" s="147" t="s">
        <v>21</v>
      </c>
      <c r="I177" s="147" t="s">
        <v>22</v>
      </c>
      <c r="J177" s="147" t="s">
        <v>363</v>
      </c>
      <c r="K177" s="155" t="s">
        <v>801</v>
      </c>
      <c r="L177" s="147" t="s">
        <v>363</v>
      </c>
      <c r="M177" s="155" t="s">
        <v>1336</v>
      </c>
      <c r="N177" s="147" t="s">
        <v>1321</v>
      </c>
      <c r="O177" s="148" t="s">
        <v>1337</v>
      </c>
      <c r="P177" s="148" t="s">
        <v>1331</v>
      </c>
      <c r="Q177" s="147"/>
      <c r="R177" s="147"/>
      <c r="S177" s="147"/>
      <c r="T177" s="147"/>
      <c r="U177" s="147"/>
      <c r="V177" s="155"/>
      <c r="W177" s="147"/>
      <c r="X177" s="148" t="s">
        <v>1338</v>
      </c>
      <c r="Y177" s="148"/>
      <c r="Z177" s="148" t="s">
        <v>1339</v>
      </c>
      <c r="AA177" s="148"/>
      <c r="AB177" s="147"/>
      <c r="AC177" s="147"/>
      <c r="AD177" s="147"/>
      <c r="AE177" s="147"/>
      <c r="AF177" s="147"/>
      <c r="AG177" s="147"/>
      <c r="AH177" s="147"/>
      <c r="AI177" s="147"/>
      <c r="AJ177" s="147"/>
      <c r="AK177" s="147"/>
      <c r="AL177" s="147"/>
      <c r="AM177" s="147"/>
      <c r="AN177" s="147"/>
      <c r="AO177" s="147"/>
      <c r="AP177" s="147"/>
      <c r="AQ177" s="147"/>
      <c r="AR177" s="147"/>
      <c r="AS177" s="147"/>
      <c r="AT177" s="147"/>
      <c r="AU177" s="147"/>
      <c r="AV177" s="147"/>
      <c r="AW177" s="147"/>
      <c r="AX177" s="147"/>
      <c r="AY177" s="233"/>
      <c r="AZ177" s="147"/>
      <c r="BA177" s="147"/>
    </row>
    <row r="178" spans="1:53" ht="24.75" customHeight="1">
      <c r="A178" s="145"/>
      <c r="B178" s="147" t="s">
        <v>3</v>
      </c>
      <c r="C178" s="147"/>
      <c r="D178" s="147"/>
      <c r="E178" s="147" t="s">
        <v>26</v>
      </c>
      <c r="F178" s="148" t="s">
        <v>1340</v>
      </c>
      <c r="G178" s="148" t="s">
        <v>1341</v>
      </c>
      <c r="H178" s="147" t="s">
        <v>22</v>
      </c>
      <c r="I178" s="147" t="s">
        <v>22</v>
      </c>
      <c r="J178" s="147" t="s">
        <v>410</v>
      </c>
      <c r="K178" s="155" t="s">
        <v>37</v>
      </c>
      <c r="L178" s="147" t="s">
        <v>410</v>
      </c>
      <c r="M178" s="155" t="s">
        <v>1342</v>
      </c>
      <c r="N178" s="147" t="s">
        <v>1343</v>
      </c>
      <c r="O178" s="148" t="s">
        <v>1344</v>
      </c>
      <c r="P178" s="148"/>
      <c r="Q178" s="147"/>
      <c r="R178" s="147"/>
      <c r="S178" s="147"/>
      <c r="T178" s="147"/>
      <c r="U178" s="147"/>
      <c r="V178" s="155"/>
      <c r="W178" s="147"/>
      <c r="X178" s="148"/>
      <c r="Y178" s="148"/>
      <c r="Z178" s="148" t="s">
        <v>1345</v>
      </c>
      <c r="AA178" s="148"/>
      <c r="AB178" s="147"/>
      <c r="AC178" s="147"/>
      <c r="AD178" s="147"/>
      <c r="AE178" s="147"/>
      <c r="AF178" s="147"/>
      <c r="AG178" s="147"/>
      <c r="AH178" s="147"/>
      <c r="AI178" s="147"/>
      <c r="AJ178" s="147"/>
      <c r="AK178" s="147"/>
      <c r="AL178" s="147"/>
      <c r="AM178" s="147"/>
      <c r="AN178" s="147"/>
      <c r="AO178" s="147"/>
      <c r="AP178" s="147"/>
      <c r="AQ178" s="147"/>
      <c r="AR178" s="147"/>
      <c r="AS178" s="147"/>
      <c r="AT178" s="147"/>
      <c r="AU178" s="147"/>
      <c r="AV178" s="147"/>
      <c r="AW178" s="147"/>
      <c r="AX178" s="147"/>
      <c r="AY178" s="233"/>
      <c r="AZ178" s="147"/>
      <c r="BA178" s="147"/>
    </row>
    <row r="179" spans="1:53" ht="24.75" customHeight="1">
      <c r="A179" s="145"/>
      <c r="B179" s="147" t="s">
        <v>3</v>
      </c>
      <c r="C179" s="147"/>
      <c r="D179" s="147"/>
      <c r="E179" s="147" t="s">
        <v>26</v>
      </c>
      <c r="F179" s="148" t="s">
        <v>1346</v>
      </c>
      <c r="G179" s="148" t="s">
        <v>1347</v>
      </c>
      <c r="H179" s="147" t="s">
        <v>21</v>
      </c>
      <c r="I179" s="147" t="s">
        <v>22</v>
      </c>
      <c r="J179" s="147" t="s">
        <v>682</v>
      </c>
      <c r="K179" s="155" t="s">
        <v>947</v>
      </c>
      <c r="L179" s="147" t="s">
        <v>682</v>
      </c>
      <c r="M179" s="155" t="s">
        <v>1348</v>
      </c>
      <c r="N179" s="147" t="s">
        <v>1349</v>
      </c>
      <c r="O179" s="148" t="s">
        <v>1350</v>
      </c>
      <c r="P179" s="148" t="s">
        <v>1331</v>
      </c>
      <c r="Q179" s="147"/>
      <c r="R179" s="147"/>
      <c r="S179" s="147"/>
      <c r="T179" s="147"/>
      <c r="U179" s="147"/>
      <c r="V179" s="155"/>
      <c r="W179" s="147"/>
      <c r="X179" s="148" t="s">
        <v>1351</v>
      </c>
      <c r="Y179" s="148"/>
      <c r="Z179" s="148" t="s">
        <v>1352</v>
      </c>
      <c r="AA179" s="148"/>
      <c r="AB179" s="147"/>
      <c r="AC179" s="147"/>
      <c r="AD179" s="147"/>
      <c r="AE179" s="147"/>
      <c r="AF179" s="147"/>
      <c r="AG179" s="147"/>
      <c r="AH179" s="147"/>
      <c r="AI179" s="147"/>
      <c r="AJ179" s="147"/>
      <c r="AK179" s="147"/>
      <c r="AL179" s="147"/>
      <c r="AM179" s="147"/>
      <c r="AN179" s="147"/>
      <c r="AO179" s="147"/>
      <c r="AP179" s="147"/>
      <c r="AQ179" s="147"/>
      <c r="AR179" s="147"/>
      <c r="AS179" s="147"/>
      <c r="AT179" s="147"/>
      <c r="AU179" s="147"/>
      <c r="AV179" s="147"/>
      <c r="AW179" s="147"/>
      <c r="AX179" s="147"/>
      <c r="AY179" s="233"/>
      <c r="AZ179" s="147"/>
      <c r="BA179" s="147"/>
    </row>
    <row r="180" spans="1:53" ht="24.75" customHeight="1">
      <c r="A180" s="145"/>
      <c r="B180" s="147" t="s">
        <v>3</v>
      </c>
      <c r="C180" s="147"/>
      <c r="D180" s="147"/>
      <c r="E180" s="147" t="s">
        <v>26</v>
      </c>
      <c r="F180" s="148" t="s">
        <v>1353</v>
      </c>
      <c r="G180" s="148"/>
      <c r="H180" s="147" t="s">
        <v>20</v>
      </c>
      <c r="I180" s="147"/>
      <c r="J180" s="147" t="s">
        <v>499</v>
      </c>
      <c r="K180" s="155"/>
      <c r="L180" s="147" t="s">
        <v>499</v>
      </c>
      <c r="M180" s="155" t="s">
        <v>1354</v>
      </c>
      <c r="N180" s="147" t="s">
        <v>31</v>
      </c>
      <c r="O180" s="148" t="s">
        <v>1355</v>
      </c>
      <c r="P180" s="148" t="s">
        <v>635</v>
      </c>
      <c r="Q180" s="147"/>
      <c r="R180" s="147"/>
      <c r="S180" s="147"/>
      <c r="T180" s="147"/>
      <c r="U180" s="147"/>
      <c r="V180" s="155"/>
      <c r="W180" s="147"/>
      <c r="X180" s="148"/>
      <c r="Y180" s="148"/>
      <c r="Z180" s="148" t="s">
        <v>1356</v>
      </c>
      <c r="AA180" s="148"/>
      <c r="AB180" s="147"/>
      <c r="AC180" s="147"/>
      <c r="AD180" s="147"/>
      <c r="AE180" s="147"/>
      <c r="AF180" s="147"/>
      <c r="AG180" s="147"/>
      <c r="AH180" s="147"/>
      <c r="AI180" s="147"/>
      <c r="AJ180" s="147"/>
      <c r="AK180" s="147"/>
      <c r="AL180" s="147"/>
      <c r="AM180" s="147"/>
      <c r="AN180" s="147"/>
      <c r="AO180" s="147"/>
      <c r="AP180" s="147"/>
      <c r="AQ180" s="147"/>
      <c r="AR180" s="147"/>
      <c r="AS180" s="147"/>
      <c r="AT180" s="147"/>
      <c r="AU180" s="147"/>
      <c r="AV180" s="147"/>
      <c r="AW180" s="147"/>
      <c r="AX180" s="147"/>
      <c r="AY180" s="233"/>
      <c r="AZ180" s="147"/>
      <c r="BA180" s="147"/>
    </row>
    <row r="181" spans="1:53" ht="24.75" customHeight="1">
      <c r="A181" s="145"/>
      <c r="B181" s="147" t="s">
        <v>3</v>
      </c>
      <c r="C181" s="147"/>
      <c r="D181" s="147"/>
      <c r="E181" s="147" t="s">
        <v>26</v>
      </c>
      <c r="F181" s="148" t="s">
        <v>1357</v>
      </c>
      <c r="G181" s="148" t="s">
        <v>1357</v>
      </c>
      <c r="H181" s="147" t="s">
        <v>23</v>
      </c>
      <c r="I181" s="147"/>
      <c r="J181" s="147" t="s">
        <v>410</v>
      </c>
      <c r="K181" s="155" t="s">
        <v>37</v>
      </c>
      <c r="L181" s="147" t="s">
        <v>410</v>
      </c>
      <c r="M181" s="155" t="s">
        <v>1358</v>
      </c>
      <c r="N181" s="147" t="s">
        <v>1359</v>
      </c>
      <c r="O181" s="148" t="s">
        <v>1360</v>
      </c>
      <c r="P181" s="148"/>
      <c r="Q181" s="147"/>
      <c r="R181" s="147"/>
      <c r="S181" s="147"/>
      <c r="T181" s="147"/>
      <c r="U181" s="147"/>
      <c r="V181" s="155"/>
      <c r="W181" s="147"/>
      <c r="X181" s="148" t="s">
        <v>1361</v>
      </c>
      <c r="Y181" s="148"/>
      <c r="Z181" s="148" t="s">
        <v>1362</v>
      </c>
      <c r="AA181" s="148"/>
      <c r="AB181" s="147"/>
      <c r="AC181" s="147"/>
      <c r="AD181" s="147"/>
      <c r="AE181" s="147"/>
      <c r="AF181" s="147"/>
      <c r="AG181" s="147"/>
      <c r="AH181" s="147"/>
      <c r="AI181" s="147"/>
      <c r="AJ181" s="147"/>
      <c r="AK181" s="147"/>
      <c r="AL181" s="147"/>
      <c r="AM181" s="147"/>
      <c r="AN181" s="147"/>
      <c r="AO181" s="147"/>
      <c r="AP181" s="147"/>
      <c r="AQ181" s="147"/>
      <c r="AR181" s="147"/>
      <c r="AS181" s="147"/>
      <c r="AT181" s="147"/>
      <c r="AU181" s="147"/>
      <c r="AV181" s="147"/>
      <c r="AW181" s="147"/>
      <c r="AX181" s="147"/>
      <c r="AY181" s="233"/>
      <c r="AZ181" s="147"/>
      <c r="BA181" s="147"/>
    </row>
    <row r="182" spans="1:53" ht="24.75" customHeight="1">
      <c r="A182" s="145"/>
      <c r="B182" s="147" t="s">
        <v>3</v>
      </c>
      <c r="C182" s="147"/>
      <c r="D182" s="147"/>
      <c r="E182" s="147" t="s">
        <v>26</v>
      </c>
      <c r="F182" s="148" t="s">
        <v>1363</v>
      </c>
      <c r="G182" s="148" t="s">
        <v>1363</v>
      </c>
      <c r="H182" s="147" t="s">
        <v>21</v>
      </c>
      <c r="I182" s="147" t="s">
        <v>22</v>
      </c>
      <c r="J182" s="147" t="s">
        <v>469</v>
      </c>
      <c r="K182" s="155" t="s">
        <v>38</v>
      </c>
      <c r="L182" s="147" t="s">
        <v>469</v>
      </c>
      <c r="M182" s="155" t="s">
        <v>1364</v>
      </c>
      <c r="N182" s="147" t="s">
        <v>1365</v>
      </c>
      <c r="O182" s="148" t="s">
        <v>1366</v>
      </c>
      <c r="P182" s="148" t="s">
        <v>1367</v>
      </c>
      <c r="Q182" s="147"/>
      <c r="R182" s="147"/>
      <c r="S182" s="147"/>
      <c r="T182" s="147"/>
      <c r="U182" s="147"/>
      <c r="V182" s="155"/>
      <c r="W182" s="147"/>
      <c r="X182" s="148" t="s">
        <v>1368</v>
      </c>
      <c r="Y182" s="148"/>
      <c r="Z182" s="148" t="s">
        <v>1369</v>
      </c>
      <c r="AA182" s="148"/>
      <c r="AB182" s="147"/>
      <c r="AC182" s="147"/>
      <c r="AD182" s="147"/>
      <c r="AE182" s="147"/>
      <c r="AF182" s="147"/>
      <c r="AG182" s="147"/>
      <c r="AH182" s="147"/>
      <c r="AI182" s="147"/>
      <c r="AJ182" s="147"/>
      <c r="AK182" s="147"/>
      <c r="AL182" s="147"/>
      <c r="AM182" s="147"/>
      <c r="AN182" s="147"/>
      <c r="AO182" s="147"/>
      <c r="AP182" s="147"/>
      <c r="AQ182" s="147"/>
      <c r="AR182" s="147"/>
      <c r="AS182" s="147"/>
      <c r="AT182" s="147"/>
      <c r="AU182" s="147"/>
      <c r="AV182" s="147"/>
      <c r="AW182" s="147"/>
      <c r="AX182" s="147"/>
      <c r="AY182" s="233"/>
      <c r="AZ182" s="147"/>
      <c r="BA182" s="147"/>
    </row>
    <row r="183" spans="1:53" ht="24.75" customHeight="1">
      <c r="A183" s="145"/>
      <c r="B183" s="147" t="s">
        <v>3</v>
      </c>
      <c r="C183" s="147"/>
      <c r="D183" s="147"/>
      <c r="E183" s="147" t="s">
        <v>26</v>
      </c>
      <c r="F183" s="148" t="s">
        <v>1370</v>
      </c>
      <c r="G183" s="148" t="s">
        <v>1371</v>
      </c>
      <c r="H183" s="147" t="s">
        <v>21</v>
      </c>
      <c r="I183" s="147" t="s">
        <v>22</v>
      </c>
      <c r="J183" s="147" t="s">
        <v>469</v>
      </c>
      <c r="K183" s="155" t="s">
        <v>38</v>
      </c>
      <c r="L183" s="147" t="s">
        <v>469</v>
      </c>
      <c r="M183" s="155" t="s">
        <v>1372</v>
      </c>
      <c r="N183" s="147" t="s">
        <v>1321</v>
      </c>
      <c r="O183" s="148" t="s">
        <v>1373</v>
      </c>
      <c r="P183" s="148" t="s">
        <v>354</v>
      </c>
      <c r="Q183" s="147"/>
      <c r="R183" s="147"/>
      <c r="S183" s="147"/>
      <c r="T183" s="147"/>
      <c r="U183" s="147"/>
      <c r="V183" s="155"/>
      <c r="W183" s="147"/>
      <c r="X183" s="148" t="s">
        <v>1374</v>
      </c>
      <c r="Y183" s="148"/>
      <c r="Z183" s="148" t="s">
        <v>1375</v>
      </c>
      <c r="AA183" s="148"/>
      <c r="AB183" s="147"/>
      <c r="AC183" s="147"/>
      <c r="AD183" s="147"/>
      <c r="AE183" s="147"/>
      <c r="AF183" s="147"/>
      <c r="AG183" s="147"/>
      <c r="AH183" s="147"/>
      <c r="AI183" s="147"/>
      <c r="AJ183" s="147"/>
      <c r="AK183" s="147"/>
      <c r="AL183" s="147"/>
      <c r="AM183" s="147"/>
      <c r="AN183" s="147"/>
      <c r="AO183" s="147"/>
      <c r="AP183" s="147"/>
      <c r="AQ183" s="147"/>
      <c r="AR183" s="147"/>
      <c r="AS183" s="147"/>
      <c r="AT183" s="147"/>
      <c r="AU183" s="147"/>
      <c r="AV183" s="147"/>
      <c r="AW183" s="147"/>
      <c r="AX183" s="147"/>
      <c r="AY183" s="233"/>
      <c r="AZ183" s="147"/>
      <c r="BA183" s="147"/>
    </row>
    <row r="184" spans="1:53" ht="24.75" customHeight="1">
      <c r="A184" s="145"/>
      <c r="B184" s="147" t="s">
        <v>3</v>
      </c>
      <c r="C184" s="147"/>
      <c r="D184" s="147"/>
      <c r="E184" s="147" t="s">
        <v>26</v>
      </c>
      <c r="F184" s="148" t="s">
        <v>1376</v>
      </c>
      <c r="G184" s="148" t="s">
        <v>1377</v>
      </c>
      <c r="H184" s="147" t="s">
        <v>21</v>
      </c>
      <c r="I184" s="147" t="s">
        <v>22</v>
      </c>
      <c r="J184" s="147" t="s">
        <v>827</v>
      </c>
      <c r="K184" s="155" t="s">
        <v>38</v>
      </c>
      <c r="L184" s="147" t="s">
        <v>827</v>
      </c>
      <c r="M184" s="155" t="s">
        <v>1284</v>
      </c>
      <c r="N184" s="147" t="s">
        <v>1378</v>
      </c>
      <c r="O184" s="148" t="s">
        <v>1379</v>
      </c>
      <c r="P184" s="148" t="s">
        <v>1380</v>
      </c>
      <c r="Q184" s="147"/>
      <c r="R184" s="147"/>
      <c r="S184" s="147"/>
      <c r="T184" s="147"/>
      <c r="U184" s="147"/>
      <c r="V184" s="155"/>
      <c r="W184" s="147"/>
      <c r="X184" s="148"/>
      <c r="Y184" s="148"/>
      <c r="Z184" s="148" t="s">
        <v>1381</v>
      </c>
      <c r="AA184" s="148"/>
      <c r="AB184" s="147"/>
      <c r="AC184" s="147"/>
      <c r="AD184" s="147"/>
      <c r="AE184" s="147"/>
      <c r="AF184" s="147"/>
      <c r="AG184" s="147"/>
      <c r="AH184" s="147"/>
      <c r="AI184" s="147"/>
      <c r="AJ184" s="147"/>
      <c r="AK184" s="147"/>
      <c r="AL184" s="147"/>
      <c r="AM184" s="147"/>
      <c r="AN184" s="147"/>
      <c r="AO184" s="147"/>
      <c r="AP184" s="147"/>
      <c r="AQ184" s="147"/>
      <c r="AR184" s="147"/>
      <c r="AS184" s="147"/>
      <c r="AT184" s="147"/>
      <c r="AU184" s="147"/>
      <c r="AV184" s="147"/>
      <c r="AW184" s="147"/>
      <c r="AX184" s="147"/>
      <c r="AY184" s="233"/>
      <c r="AZ184" s="147"/>
      <c r="BA184" s="147"/>
    </row>
    <row r="185" spans="1:53" ht="24.75" customHeight="1">
      <c r="A185" s="145"/>
      <c r="B185" s="147" t="s">
        <v>3</v>
      </c>
      <c r="C185" s="147"/>
      <c r="D185" s="147"/>
      <c r="E185" s="147" t="s">
        <v>26</v>
      </c>
      <c r="F185" s="148" t="s">
        <v>1382</v>
      </c>
      <c r="G185" s="148"/>
      <c r="H185" s="147" t="s">
        <v>22</v>
      </c>
      <c r="I185" s="147" t="s">
        <v>22</v>
      </c>
      <c r="J185" s="147" t="s">
        <v>997</v>
      </c>
      <c r="K185" s="155"/>
      <c r="L185" s="147" t="s">
        <v>1383</v>
      </c>
      <c r="M185" s="155"/>
      <c r="N185" s="155" t="s">
        <v>1384</v>
      </c>
      <c r="O185" s="148" t="s">
        <v>1385</v>
      </c>
      <c r="P185" s="148" t="s">
        <v>1386</v>
      </c>
      <c r="Q185" s="147"/>
      <c r="R185" s="147"/>
      <c r="S185" s="147"/>
      <c r="T185" s="147"/>
      <c r="U185" s="147"/>
      <c r="V185" s="155"/>
      <c r="W185" s="147"/>
      <c r="X185" s="148" t="s">
        <v>1387</v>
      </c>
      <c r="Y185" s="148"/>
      <c r="Z185" s="148" t="s">
        <v>1388</v>
      </c>
      <c r="AA185" s="148"/>
      <c r="AB185" s="147"/>
      <c r="AC185" s="147"/>
      <c r="AD185" s="147"/>
      <c r="AE185" s="147"/>
      <c r="AF185" s="147"/>
      <c r="AG185" s="147"/>
      <c r="AH185" s="147"/>
      <c r="AI185" s="147"/>
      <c r="AJ185" s="147"/>
      <c r="AK185" s="147"/>
      <c r="AL185" s="147"/>
      <c r="AM185" s="147"/>
      <c r="AN185" s="147"/>
      <c r="AO185" s="147"/>
      <c r="AP185" s="147"/>
      <c r="AQ185" s="147"/>
      <c r="AR185" s="147"/>
      <c r="AS185" s="147"/>
      <c r="AT185" s="147"/>
      <c r="AU185" s="147"/>
      <c r="AV185" s="147"/>
      <c r="AW185" s="147"/>
      <c r="AX185" s="147"/>
      <c r="AY185" s="233"/>
      <c r="AZ185" s="147"/>
      <c r="BA185" s="147"/>
    </row>
    <row r="186" spans="1:53" ht="24.75" customHeight="1">
      <c r="A186" s="145"/>
      <c r="B186" s="147" t="s">
        <v>3</v>
      </c>
      <c r="C186" s="147"/>
      <c r="D186" s="147"/>
      <c r="E186" s="147" t="s">
        <v>26</v>
      </c>
      <c r="F186" s="148" t="s">
        <v>1389</v>
      </c>
      <c r="G186" s="148"/>
      <c r="H186" s="147" t="s">
        <v>20</v>
      </c>
      <c r="I186" s="147"/>
      <c r="J186" s="147" t="s">
        <v>499</v>
      </c>
      <c r="K186" s="155" t="s">
        <v>37</v>
      </c>
      <c r="L186" s="147" t="s">
        <v>499</v>
      </c>
      <c r="M186" s="155" t="s">
        <v>500</v>
      </c>
      <c r="N186" s="147" t="s">
        <v>1359</v>
      </c>
      <c r="O186" s="148" t="s">
        <v>1390</v>
      </c>
      <c r="P186" s="148" t="s">
        <v>1323</v>
      </c>
      <c r="Q186" s="147"/>
      <c r="R186" s="147"/>
      <c r="S186" s="147"/>
      <c r="T186" s="147"/>
      <c r="U186" s="147"/>
      <c r="V186" s="155"/>
      <c r="W186" s="147"/>
      <c r="X186" s="148" t="s">
        <v>1391</v>
      </c>
      <c r="Y186" s="148"/>
      <c r="Z186" s="148" t="s">
        <v>1392</v>
      </c>
      <c r="AA186" s="148"/>
      <c r="AB186" s="147"/>
      <c r="AC186" s="147"/>
      <c r="AD186" s="147"/>
      <c r="AE186" s="147"/>
      <c r="AF186" s="147"/>
      <c r="AG186" s="147"/>
      <c r="AH186" s="147"/>
      <c r="AI186" s="147"/>
      <c r="AJ186" s="147"/>
      <c r="AK186" s="147"/>
      <c r="AL186" s="147"/>
      <c r="AM186" s="147"/>
      <c r="AN186" s="152" t="str" cm="1">
        <f t="array" ref="AN186">IFERROR(
  LOOKUP(
    2,
    1/((AB186:AM186&lt;&gt;"")*(ISNUMBER(AB186:AM186)+ISNONTEXT(AB186:AM186)&gt;0)),
    {10,20,30,40,45,50,60,70,75,80,90,100}
  ) &amp; "%",
  "0%"
)</f>
        <v>0%</v>
      </c>
      <c r="AO186" s="147"/>
      <c r="AP186" s="147"/>
      <c r="AQ186" s="147"/>
      <c r="AR186" s="147"/>
      <c r="AS186" s="147"/>
      <c r="AT186" s="147"/>
      <c r="AU186" s="147"/>
      <c r="AV186" s="147"/>
      <c r="AW186" s="147"/>
      <c r="AX186" s="147"/>
      <c r="AY186" s="233"/>
      <c r="AZ186" s="147"/>
      <c r="BA186" s="147"/>
    </row>
    <row r="187" spans="1:53" ht="24.75" customHeight="1">
      <c r="A187" s="145"/>
      <c r="B187" s="147" t="s">
        <v>3</v>
      </c>
      <c r="C187" s="147"/>
      <c r="D187" s="147"/>
      <c r="E187" s="147" t="s">
        <v>26</v>
      </c>
      <c r="F187" s="148" t="s">
        <v>1393</v>
      </c>
      <c r="G187" s="148" t="s">
        <v>1394</v>
      </c>
      <c r="H187" s="147" t="s">
        <v>21</v>
      </c>
      <c r="I187" s="147" t="s">
        <v>22</v>
      </c>
      <c r="J187" s="147" t="s">
        <v>1074</v>
      </c>
      <c r="K187" s="155" t="s">
        <v>38</v>
      </c>
      <c r="L187" s="147" t="s">
        <v>1074</v>
      </c>
      <c r="M187" s="155" t="s">
        <v>1075</v>
      </c>
      <c r="N187" s="147" t="s">
        <v>32</v>
      </c>
      <c r="O187" s="148"/>
      <c r="P187" s="148"/>
      <c r="Q187" s="147"/>
      <c r="R187" s="147"/>
      <c r="S187" s="147"/>
      <c r="T187" s="147"/>
      <c r="U187" s="147"/>
      <c r="V187" s="155"/>
      <c r="W187" s="147"/>
      <c r="X187" s="148"/>
      <c r="Y187" s="148"/>
      <c r="Z187" s="148"/>
      <c r="AA187" s="148"/>
      <c r="AB187" s="147"/>
      <c r="AC187" s="147"/>
      <c r="AD187" s="147"/>
      <c r="AE187" s="147"/>
      <c r="AF187" s="147"/>
      <c r="AG187" s="147"/>
      <c r="AH187" s="147"/>
      <c r="AI187" s="147"/>
      <c r="AJ187" s="147"/>
      <c r="AK187" s="147"/>
      <c r="AL187" s="147"/>
      <c r="AM187" s="147"/>
      <c r="AN187" s="147"/>
      <c r="AO187" s="147"/>
      <c r="AP187" s="147"/>
      <c r="AQ187" s="147"/>
      <c r="AR187" s="147"/>
      <c r="AS187" s="147"/>
      <c r="AT187" s="147"/>
      <c r="AU187" s="147"/>
      <c r="AV187" s="147"/>
      <c r="AW187" s="147"/>
      <c r="AX187" s="147"/>
      <c r="AY187" s="233"/>
      <c r="AZ187" s="147"/>
      <c r="BA187" s="147"/>
    </row>
    <row r="188" spans="1:53" ht="24.75" customHeight="1">
      <c r="A188" s="145"/>
      <c r="B188" s="147" t="s">
        <v>3</v>
      </c>
      <c r="C188" s="147"/>
      <c r="D188" s="147"/>
      <c r="E188" s="147" t="s">
        <v>26</v>
      </c>
      <c r="F188" s="148" t="s">
        <v>1395</v>
      </c>
      <c r="G188" s="148" t="s">
        <v>1395</v>
      </c>
      <c r="H188" s="147" t="s">
        <v>21</v>
      </c>
      <c r="I188" s="147" t="s">
        <v>22</v>
      </c>
      <c r="J188" s="147" t="s">
        <v>1074</v>
      </c>
      <c r="K188" s="155" t="s">
        <v>38</v>
      </c>
      <c r="L188" s="147" t="s">
        <v>1074</v>
      </c>
      <c r="M188" s="155" t="s">
        <v>1075</v>
      </c>
      <c r="N188" s="147" t="s">
        <v>1359</v>
      </c>
      <c r="O188" s="148"/>
      <c r="P188" s="148"/>
      <c r="Q188" s="147"/>
      <c r="R188" s="147"/>
      <c r="S188" s="147"/>
      <c r="T188" s="147"/>
      <c r="U188" s="147"/>
      <c r="V188" s="155"/>
      <c r="W188" s="147"/>
      <c r="X188" s="161" t="s">
        <v>1396</v>
      </c>
      <c r="Y188" s="148"/>
      <c r="Z188" s="148"/>
      <c r="AA188" s="148"/>
      <c r="AB188" s="147"/>
      <c r="AC188" s="147"/>
      <c r="AD188" s="147"/>
      <c r="AE188" s="147"/>
      <c r="AF188" s="147"/>
      <c r="AG188" s="147"/>
      <c r="AH188" s="147"/>
      <c r="AI188" s="147"/>
      <c r="AJ188" s="147"/>
      <c r="AK188" s="147"/>
      <c r="AL188" s="147"/>
      <c r="AM188" s="147"/>
      <c r="AN188" s="147"/>
      <c r="AO188" s="147"/>
      <c r="AP188" s="147"/>
      <c r="AQ188" s="147"/>
      <c r="AR188" s="147"/>
      <c r="AS188" s="147"/>
      <c r="AT188" s="147"/>
      <c r="AU188" s="147"/>
      <c r="AV188" s="147"/>
      <c r="AW188" s="147"/>
      <c r="AX188" s="147"/>
      <c r="AY188" s="233"/>
      <c r="AZ188" s="147"/>
      <c r="BA188" s="147"/>
    </row>
    <row r="189" spans="1:53" ht="24.75" customHeight="1">
      <c r="A189" s="145"/>
      <c r="B189" s="147" t="s">
        <v>3</v>
      </c>
      <c r="C189" s="147"/>
      <c r="D189" s="147"/>
      <c r="E189" s="147" t="s">
        <v>26</v>
      </c>
      <c r="F189" s="148" t="s">
        <v>1397</v>
      </c>
      <c r="G189" s="148" t="s">
        <v>1397</v>
      </c>
      <c r="H189" s="147" t="s">
        <v>21</v>
      </c>
      <c r="I189" s="147" t="s">
        <v>22</v>
      </c>
      <c r="J189" s="147" t="s">
        <v>1074</v>
      </c>
      <c r="K189" s="155" t="s">
        <v>38</v>
      </c>
      <c r="L189" s="147" t="s">
        <v>1074</v>
      </c>
      <c r="M189" s="155" t="s">
        <v>1075</v>
      </c>
      <c r="N189" s="147" t="s">
        <v>810</v>
      </c>
      <c r="O189" s="148"/>
      <c r="P189" s="148"/>
      <c r="Q189" s="147"/>
      <c r="R189" s="147"/>
      <c r="S189" s="147"/>
      <c r="T189" s="147"/>
      <c r="U189" s="147"/>
      <c r="V189" s="155"/>
      <c r="W189" s="147"/>
      <c r="X189" s="148"/>
      <c r="Y189" s="148"/>
      <c r="Z189" s="148"/>
      <c r="AA189" s="148"/>
      <c r="AB189" s="147"/>
      <c r="AC189" s="147"/>
      <c r="AD189" s="147"/>
      <c r="AE189" s="147"/>
      <c r="AF189" s="147"/>
      <c r="AG189" s="147"/>
      <c r="AH189" s="147"/>
      <c r="AI189" s="147"/>
      <c r="AJ189" s="147"/>
      <c r="AK189" s="147"/>
      <c r="AL189" s="147"/>
      <c r="AM189" s="147"/>
      <c r="AN189" s="147"/>
      <c r="AO189" s="147"/>
      <c r="AP189" s="147"/>
      <c r="AQ189" s="147"/>
      <c r="AR189" s="147"/>
      <c r="AS189" s="147"/>
      <c r="AT189" s="147"/>
      <c r="AU189" s="147"/>
      <c r="AV189" s="147"/>
      <c r="AW189" s="147"/>
      <c r="AX189" s="147"/>
      <c r="AY189" s="233"/>
      <c r="AZ189" s="147"/>
      <c r="BA189" s="147"/>
    </row>
    <row r="190" spans="1:53" ht="24.75" customHeight="1">
      <c r="A190" s="145"/>
      <c r="B190" s="147" t="s">
        <v>3</v>
      </c>
      <c r="C190" s="147"/>
      <c r="D190" s="147"/>
      <c r="E190" s="147" t="s">
        <v>26</v>
      </c>
      <c r="F190" s="148" t="s">
        <v>1398</v>
      </c>
      <c r="G190" s="148"/>
      <c r="H190" s="147" t="s">
        <v>21</v>
      </c>
      <c r="I190" s="147" t="s">
        <v>22</v>
      </c>
      <c r="J190" s="147" t="s">
        <v>1074</v>
      </c>
      <c r="K190" s="155" t="s">
        <v>38</v>
      </c>
      <c r="L190" s="147" t="s">
        <v>1074</v>
      </c>
      <c r="M190" s="155" t="s">
        <v>1075</v>
      </c>
      <c r="N190" s="147" t="s">
        <v>1321</v>
      </c>
      <c r="O190" s="148"/>
      <c r="P190" s="148"/>
      <c r="Q190" s="147"/>
      <c r="R190" s="147"/>
      <c r="S190" s="147"/>
      <c r="T190" s="147"/>
      <c r="U190" s="147"/>
      <c r="V190" s="155"/>
      <c r="W190" s="147"/>
      <c r="X190" s="148" t="s">
        <v>1399</v>
      </c>
      <c r="Y190" s="148"/>
      <c r="Z190" s="148"/>
      <c r="AA190" s="148"/>
      <c r="AB190" s="147"/>
      <c r="AC190" s="147"/>
      <c r="AD190" s="147"/>
      <c r="AE190" s="147"/>
      <c r="AF190" s="147"/>
      <c r="AG190" s="147"/>
      <c r="AH190" s="147"/>
      <c r="AI190" s="147"/>
      <c r="AJ190" s="147"/>
      <c r="AK190" s="147"/>
      <c r="AL190" s="147"/>
      <c r="AM190" s="147"/>
      <c r="AN190" s="147"/>
      <c r="AO190" s="147"/>
      <c r="AP190" s="147"/>
      <c r="AQ190" s="147"/>
      <c r="AR190" s="147"/>
      <c r="AS190" s="147"/>
      <c r="AT190" s="147"/>
      <c r="AU190" s="147"/>
      <c r="AV190" s="147"/>
      <c r="AW190" s="147"/>
      <c r="AX190" s="147"/>
      <c r="AY190" s="233"/>
      <c r="AZ190" s="147"/>
      <c r="BA190" s="147"/>
    </row>
    <row r="191" spans="1:53" ht="24.75" customHeight="1">
      <c r="A191" s="145"/>
      <c r="B191" s="147" t="s">
        <v>3</v>
      </c>
      <c r="C191" s="147"/>
      <c r="D191" s="147"/>
      <c r="E191" s="147" t="s">
        <v>26</v>
      </c>
      <c r="F191" s="148" t="s">
        <v>1400</v>
      </c>
      <c r="G191" s="148"/>
      <c r="H191" s="147" t="s">
        <v>22</v>
      </c>
      <c r="I191" s="147" t="s">
        <v>22</v>
      </c>
      <c r="J191" s="147" t="s">
        <v>1306</v>
      </c>
      <c r="K191" s="155" t="s">
        <v>38</v>
      </c>
      <c r="L191" s="147" t="s">
        <v>1306</v>
      </c>
      <c r="M191" s="155" t="s">
        <v>1401</v>
      </c>
      <c r="N191" s="147" t="s">
        <v>1402</v>
      </c>
      <c r="O191" s="148"/>
      <c r="P191" s="148"/>
      <c r="Q191" s="147"/>
      <c r="R191" s="147"/>
      <c r="S191" s="147"/>
      <c r="T191" s="147"/>
      <c r="U191" s="147"/>
      <c r="V191" s="155"/>
      <c r="W191" s="147"/>
      <c r="X191" s="148"/>
      <c r="Y191" s="148"/>
      <c r="Z191" s="148"/>
      <c r="AA191" s="148"/>
      <c r="AB191" s="147"/>
      <c r="AC191" s="147"/>
      <c r="AD191" s="147"/>
      <c r="AE191" s="147"/>
      <c r="AF191" s="147"/>
      <c r="AG191" s="147"/>
      <c r="AH191" s="147"/>
      <c r="AI191" s="147"/>
      <c r="AJ191" s="147"/>
      <c r="AK191" s="147"/>
      <c r="AL191" s="147"/>
      <c r="AM191" s="147"/>
      <c r="AN191" s="147"/>
      <c r="AO191" s="147"/>
      <c r="AP191" s="147"/>
      <c r="AQ191" s="147"/>
      <c r="AR191" s="147"/>
      <c r="AS191" s="147"/>
      <c r="AT191" s="147"/>
      <c r="AU191" s="147"/>
      <c r="AV191" s="147"/>
      <c r="AW191" s="147"/>
      <c r="AX191" s="147"/>
      <c r="AY191" s="233"/>
      <c r="AZ191" s="147"/>
      <c r="BA191" s="147"/>
    </row>
    <row r="192" spans="1:53" ht="24.75" customHeight="1">
      <c r="A192" s="145"/>
      <c r="B192" s="147" t="s">
        <v>3</v>
      </c>
      <c r="C192" s="147"/>
      <c r="D192" s="147"/>
      <c r="E192" s="147" t="s">
        <v>26</v>
      </c>
      <c r="F192" s="148" t="s">
        <v>1403</v>
      </c>
      <c r="G192" s="148"/>
      <c r="H192" s="147" t="s">
        <v>22</v>
      </c>
      <c r="I192" s="147" t="s">
        <v>22</v>
      </c>
      <c r="J192" s="147" t="s">
        <v>1306</v>
      </c>
      <c r="K192" s="155" t="s">
        <v>38</v>
      </c>
      <c r="L192" s="147" t="s">
        <v>1306</v>
      </c>
      <c r="M192" s="155" t="s">
        <v>1401</v>
      </c>
      <c r="N192" s="147" t="s">
        <v>1402</v>
      </c>
      <c r="O192" s="148"/>
      <c r="P192" s="148"/>
      <c r="Q192" s="147"/>
      <c r="R192" s="147"/>
      <c r="S192" s="147"/>
      <c r="T192" s="147"/>
      <c r="U192" s="147"/>
      <c r="V192" s="155"/>
      <c r="W192" s="147"/>
      <c r="X192" s="148"/>
      <c r="Y192" s="148"/>
      <c r="Z192" s="148"/>
      <c r="AA192" s="148"/>
      <c r="AB192" s="147"/>
      <c r="AC192" s="147"/>
      <c r="AD192" s="147"/>
      <c r="AE192" s="147"/>
      <c r="AF192" s="147"/>
      <c r="AG192" s="147"/>
      <c r="AH192" s="147"/>
      <c r="AI192" s="147"/>
      <c r="AJ192" s="147"/>
      <c r="AK192" s="147"/>
      <c r="AL192" s="147"/>
      <c r="AM192" s="147"/>
      <c r="AN192" s="147"/>
      <c r="AO192" s="147"/>
      <c r="AP192" s="147"/>
      <c r="AQ192" s="147"/>
      <c r="AR192" s="147"/>
      <c r="AS192" s="147"/>
      <c r="AT192" s="147"/>
      <c r="AU192" s="147"/>
      <c r="AV192" s="147"/>
      <c r="AW192" s="147"/>
      <c r="AX192" s="147"/>
      <c r="AY192" s="233"/>
      <c r="AZ192" s="147"/>
      <c r="BA192" s="147"/>
    </row>
    <row r="193" spans="1:53" ht="24.75" customHeight="1">
      <c r="A193" s="145"/>
      <c r="B193" s="147" t="s">
        <v>3</v>
      </c>
      <c r="C193" s="147"/>
      <c r="D193" s="147"/>
      <c r="E193" s="147" t="s">
        <v>26</v>
      </c>
      <c r="F193" s="148" t="s">
        <v>1404</v>
      </c>
      <c r="G193" s="148"/>
      <c r="H193" s="147" t="s">
        <v>21</v>
      </c>
      <c r="I193" s="147" t="s">
        <v>22</v>
      </c>
      <c r="J193" s="147" t="s">
        <v>1405</v>
      </c>
      <c r="K193" s="155" t="s">
        <v>40</v>
      </c>
      <c r="L193" s="147" t="s">
        <v>1405</v>
      </c>
      <c r="M193" s="155" t="s">
        <v>1406</v>
      </c>
      <c r="N193" s="147" t="s">
        <v>1407</v>
      </c>
      <c r="O193" s="148"/>
      <c r="P193" s="148"/>
      <c r="Q193" s="147"/>
      <c r="R193" s="147"/>
      <c r="S193" s="147"/>
      <c r="T193" s="147"/>
      <c r="U193" s="147"/>
      <c r="V193" s="155"/>
      <c r="W193" s="147"/>
      <c r="X193" s="148"/>
      <c r="Y193" s="148"/>
      <c r="Z193" s="148"/>
      <c r="AA193" s="148"/>
      <c r="AB193" s="147"/>
      <c r="AC193" s="147"/>
      <c r="AD193" s="147"/>
      <c r="AE193" s="147"/>
      <c r="AF193" s="147"/>
      <c r="AG193" s="147"/>
      <c r="AH193" s="147"/>
      <c r="AI193" s="147"/>
      <c r="AJ193" s="147"/>
      <c r="AK193" s="147"/>
      <c r="AL193" s="147"/>
      <c r="AM193" s="147"/>
      <c r="AN193" s="147"/>
      <c r="AO193" s="147"/>
      <c r="AP193" s="147"/>
      <c r="AQ193" s="147"/>
      <c r="AR193" s="147"/>
      <c r="AS193" s="147"/>
      <c r="AT193" s="147"/>
      <c r="AU193" s="147"/>
      <c r="AV193" s="147"/>
      <c r="AW193" s="147"/>
      <c r="AX193" s="147"/>
      <c r="AY193" s="233"/>
      <c r="AZ193" s="147"/>
      <c r="BA193" s="147"/>
    </row>
    <row r="194" spans="1:53" ht="24.75" customHeight="1">
      <c r="A194" s="145"/>
      <c r="B194" s="147" t="s">
        <v>3</v>
      </c>
      <c r="C194" s="147"/>
      <c r="D194" s="147"/>
      <c r="E194" s="147" t="s">
        <v>26</v>
      </c>
      <c r="F194" s="148" t="s">
        <v>1408</v>
      </c>
      <c r="G194" s="148"/>
      <c r="H194" s="147" t="s">
        <v>21</v>
      </c>
      <c r="I194" s="147" t="s">
        <v>22</v>
      </c>
      <c r="J194" s="147" t="s">
        <v>1405</v>
      </c>
      <c r="K194" s="155" t="s">
        <v>40</v>
      </c>
      <c r="L194" s="147" t="s">
        <v>1405</v>
      </c>
      <c r="M194" s="155" t="s">
        <v>1406</v>
      </c>
      <c r="N194" s="147" t="s">
        <v>1402</v>
      </c>
      <c r="O194" s="148"/>
      <c r="P194" s="148"/>
      <c r="Q194" s="147"/>
      <c r="R194" s="147"/>
      <c r="S194" s="147"/>
      <c r="T194" s="147"/>
      <c r="U194" s="147"/>
      <c r="V194" s="155"/>
      <c r="W194" s="147"/>
      <c r="X194" s="148"/>
      <c r="Y194" s="148"/>
      <c r="Z194" s="148"/>
      <c r="AA194" s="148"/>
      <c r="AB194" s="147"/>
      <c r="AC194" s="147"/>
      <c r="AD194" s="147"/>
      <c r="AE194" s="147"/>
      <c r="AF194" s="147"/>
      <c r="AG194" s="147"/>
      <c r="AH194" s="147"/>
      <c r="AI194" s="147"/>
      <c r="AJ194" s="147"/>
      <c r="AK194" s="147"/>
      <c r="AL194" s="147"/>
      <c r="AM194" s="147"/>
      <c r="AN194" s="147"/>
      <c r="AO194" s="147"/>
      <c r="AP194" s="147"/>
      <c r="AQ194" s="147"/>
      <c r="AR194" s="147"/>
      <c r="AS194" s="147"/>
      <c r="AT194" s="147"/>
      <c r="AU194" s="147"/>
      <c r="AV194" s="147"/>
      <c r="AW194" s="147"/>
      <c r="AX194" s="147"/>
      <c r="AY194" s="233"/>
      <c r="AZ194" s="147"/>
      <c r="BA194" s="147"/>
    </row>
    <row r="195" spans="1:53" ht="24.75" customHeight="1">
      <c r="A195" s="145"/>
      <c r="B195" s="147" t="s">
        <v>3</v>
      </c>
      <c r="C195" s="147"/>
      <c r="D195" s="147"/>
      <c r="E195" s="147" t="s">
        <v>26</v>
      </c>
      <c r="F195" s="148" t="s">
        <v>1409</v>
      </c>
      <c r="G195" s="148"/>
      <c r="H195" s="147" t="s">
        <v>21</v>
      </c>
      <c r="I195" s="147" t="s">
        <v>22</v>
      </c>
      <c r="J195" s="147" t="s">
        <v>198</v>
      </c>
      <c r="K195" s="155" t="s">
        <v>40</v>
      </c>
      <c r="L195" s="147" t="s">
        <v>198</v>
      </c>
      <c r="M195" s="155" t="s">
        <v>199</v>
      </c>
      <c r="N195" s="147" t="s">
        <v>1410</v>
      </c>
      <c r="O195" s="148"/>
      <c r="P195" s="148"/>
      <c r="Q195" s="147"/>
      <c r="R195" s="147"/>
      <c r="S195" s="147"/>
      <c r="T195" s="147"/>
      <c r="U195" s="147"/>
      <c r="V195" s="155"/>
      <c r="W195" s="147"/>
      <c r="X195" s="148"/>
      <c r="Y195" s="148"/>
      <c r="Z195" s="148"/>
      <c r="AA195" s="148"/>
      <c r="AB195" s="147"/>
      <c r="AC195" s="147"/>
      <c r="AD195" s="147"/>
      <c r="AE195" s="147"/>
      <c r="AF195" s="147"/>
      <c r="AG195" s="147"/>
      <c r="AH195" s="147"/>
      <c r="AI195" s="147"/>
      <c r="AJ195" s="147"/>
      <c r="AK195" s="147"/>
      <c r="AL195" s="147"/>
      <c r="AM195" s="147"/>
      <c r="AN195" s="147"/>
      <c r="AO195" s="147"/>
      <c r="AP195" s="147"/>
      <c r="AQ195" s="147"/>
      <c r="AR195" s="147"/>
      <c r="AS195" s="147"/>
      <c r="AT195" s="147"/>
      <c r="AU195" s="147"/>
      <c r="AV195" s="147"/>
      <c r="AW195" s="147"/>
      <c r="AX195" s="147"/>
      <c r="AY195" s="233"/>
      <c r="AZ195" s="147"/>
      <c r="BA195" s="147"/>
    </row>
    <row r="196" spans="1:53" ht="24.75" customHeight="1">
      <c r="A196" s="145"/>
      <c r="B196" s="147" t="s">
        <v>3</v>
      </c>
      <c r="C196" s="147"/>
      <c r="D196" s="147"/>
      <c r="E196" s="147" t="s">
        <v>26</v>
      </c>
      <c r="F196" s="148" t="s">
        <v>1411</v>
      </c>
      <c r="G196" s="148"/>
      <c r="H196" s="147" t="s">
        <v>21</v>
      </c>
      <c r="I196" s="147" t="s">
        <v>22</v>
      </c>
      <c r="J196" s="147" t="s">
        <v>198</v>
      </c>
      <c r="K196" s="155" t="s">
        <v>40</v>
      </c>
      <c r="L196" s="147" t="s">
        <v>198</v>
      </c>
      <c r="M196" s="155" t="s">
        <v>199</v>
      </c>
      <c r="N196" s="147" t="s">
        <v>35</v>
      </c>
      <c r="O196" s="148"/>
      <c r="P196" s="148"/>
      <c r="Q196" s="147"/>
      <c r="R196" s="147"/>
      <c r="S196" s="147"/>
      <c r="T196" s="147"/>
      <c r="U196" s="147"/>
      <c r="V196" s="155"/>
      <c r="W196" s="147"/>
      <c r="X196" s="148"/>
      <c r="Y196" s="148"/>
      <c r="Z196" s="148"/>
      <c r="AA196" s="148"/>
      <c r="AB196" s="147"/>
      <c r="AC196" s="147"/>
      <c r="AD196" s="147"/>
      <c r="AE196" s="147"/>
      <c r="AF196" s="147"/>
      <c r="AG196" s="147"/>
      <c r="AH196" s="147"/>
      <c r="AI196" s="147"/>
      <c r="AJ196" s="147"/>
      <c r="AK196" s="147"/>
      <c r="AL196" s="147"/>
      <c r="AM196" s="147"/>
      <c r="AN196" s="147"/>
      <c r="AO196" s="147"/>
      <c r="AP196" s="147"/>
      <c r="AQ196" s="147"/>
      <c r="AR196" s="147"/>
      <c r="AS196" s="147"/>
      <c r="AT196" s="147"/>
      <c r="AU196" s="147"/>
      <c r="AV196" s="147"/>
      <c r="AW196" s="147"/>
      <c r="AX196" s="147"/>
      <c r="AY196" s="233"/>
      <c r="AZ196" s="147"/>
      <c r="BA196" s="147"/>
    </row>
    <row r="197" spans="1:53" ht="24.75" customHeight="1">
      <c r="A197" s="145"/>
      <c r="B197" s="147" t="s">
        <v>3</v>
      </c>
      <c r="C197" s="147"/>
      <c r="D197" s="147"/>
      <c r="E197" s="147" t="s">
        <v>26</v>
      </c>
      <c r="F197" s="148" t="s">
        <v>1412</v>
      </c>
      <c r="G197" s="148"/>
      <c r="H197" s="147" t="s">
        <v>22</v>
      </c>
      <c r="I197" s="147" t="s">
        <v>22</v>
      </c>
      <c r="J197" s="147" t="s">
        <v>1413</v>
      </c>
      <c r="K197" s="155" t="s">
        <v>38</v>
      </c>
      <c r="L197" s="147" t="s">
        <v>1413</v>
      </c>
      <c r="M197" s="155" t="s">
        <v>1414</v>
      </c>
      <c r="N197" s="147" t="s">
        <v>1402</v>
      </c>
      <c r="O197" s="148"/>
      <c r="P197" s="148"/>
      <c r="Q197" s="147"/>
      <c r="R197" s="147"/>
      <c r="S197" s="147"/>
      <c r="T197" s="147"/>
      <c r="U197" s="147"/>
      <c r="V197" s="155"/>
      <c r="W197" s="147"/>
      <c r="X197" s="148"/>
      <c r="Y197" s="148"/>
      <c r="Z197" s="148"/>
      <c r="AA197" s="148"/>
      <c r="AB197" s="147"/>
      <c r="AC197" s="147"/>
      <c r="AD197" s="147"/>
      <c r="AE197" s="147"/>
      <c r="AF197" s="147"/>
      <c r="AG197" s="147"/>
      <c r="AH197" s="147"/>
      <c r="AI197" s="147"/>
      <c r="AJ197" s="147"/>
      <c r="AK197" s="147"/>
      <c r="AL197" s="147"/>
      <c r="AM197" s="147"/>
      <c r="AN197" s="147"/>
      <c r="AO197" s="147"/>
      <c r="AP197" s="147"/>
      <c r="AQ197" s="147"/>
      <c r="AR197" s="147"/>
      <c r="AS197" s="147"/>
      <c r="AT197" s="147"/>
      <c r="AU197" s="147"/>
      <c r="AV197" s="147"/>
      <c r="AW197" s="147"/>
      <c r="AX197" s="147"/>
      <c r="AY197" s="233"/>
      <c r="AZ197" s="147"/>
      <c r="BA197" s="147"/>
    </row>
    <row r="198" spans="1:53" ht="24.75" customHeight="1">
      <c r="A198" s="145"/>
      <c r="B198" s="147" t="s">
        <v>3</v>
      </c>
      <c r="C198" s="147"/>
      <c r="D198" s="147"/>
      <c r="E198" s="147" t="s">
        <v>26</v>
      </c>
      <c r="F198" s="148" t="s">
        <v>1415</v>
      </c>
      <c r="G198" s="148"/>
      <c r="H198" s="147" t="s">
        <v>21</v>
      </c>
      <c r="I198" s="147" t="s">
        <v>22</v>
      </c>
      <c r="J198" s="147" t="s">
        <v>1413</v>
      </c>
      <c r="K198" s="155" t="s">
        <v>38</v>
      </c>
      <c r="L198" s="147" t="s">
        <v>1413</v>
      </c>
      <c r="M198" s="155" t="s">
        <v>1414</v>
      </c>
      <c r="N198" s="147" t="s">
        <v>1321</v>
      </c>
      <c r="O198" s="148"/>
      <c r="P198" s="148"/>
      <c r="Q198" s="147"/>
      <c r="R198" s="147"/>
      <c r="S198" s="147"/>
      <c r="T198" s="147"/>
      <c r="U198" s="147"/>
      <c r="V198" s="155"/>
      <c r="W198" s="147"/>
      <c r="X198" s="148"/>
      <c r="Y198" s="148"/>
      <c r="Z198" s="148"/>
      <c r="AA198" s="148"/>
      <c r="AB198" s="147"/>
      <c r="AC198" s="147"/>
      <c r="AD198" s="147"/>
      <c r="AE198" s="147"/>
      <c r="AF198" s="147"/>
      <c r="AG198" s="147"/>
      <c r="AH198" s="147"/>
      <c r="AI198" s="147"/>
      <c r="AJ198" s="147"/>
      <c r="AK198" s="147"/>
      <c r="AL198" s="147"/>
      <c r="AM198" s="147"/>
      <c r="AN198" s="147"/>
      <c r="AO198" s="147"/>
      <c r="AP198" s="147"/>
      <c r="AQ198" s="147"/>
      <c r="AR198" s="147"/>
      <c r="AS198" s="147"/>
      <c r="AT198" s="147"/>
      <c r="AU198" s="147"/>
      <c r="AV198" s="147"/>
      <c r="AW198" s="147"/>
      <c r="AX198" s="147"/>
      <c r="AY198" s="233"/>
      <c r="AZ198" s="147"/>
      <c r="BA198" s="147"/>
    </row>
    <row r="199" spans="1:53" ht="24.75" customHeight="1">
      <c r="A199" s="145"/>
      <c r="B199" s="147" t="s">
        <v>3</v>
      </c>
      <c r="C199" s="147"/>
      <c r="D199" s="147"/>
      <c r="E199" s="147" t="s">
        <v>26</v>
      </c>
      <c r="F199" s="148" t="s">
        <v>1416</v>
      </c>
      <c r="G199" s="148"/>
      <c r="H199" s="147" t="s">
        <v>22</v>
      </c>
      <c r="I199" s="147" t="s">
        <v>22</v>
      </c>
      <c r="J199" s="147"/>
      <c r="K199" s="155"/>
      <c r="L199" s="147"/>
      <c r="M199" s="155"/>
      <c r="N199" s="147"/>
      <c r="O199" s="148"/>
      <c r="P199" s="148"/>
      <c r="Q199" s="147"/>
      <c r="R199" s="147"/>
      <c r="S199" s="147"/>
      <c r="T199" s="147"/>
      <c r="U199" s="147"/>
      <c r="V199" s="155"/>
      <c r="W199" s="147"/>
      <c r="X199" s="148"/>
      <c r="Y199" s="148"/>
      <c r="Z199" s="148"/>
      <c r="AA199" s="148"/>
      <c r="AB199" s="147"/>
      <c r="AC199" s="147"/>
      <c r="AD199" s="147"/>
      <c r="AE199" s="147"/>
      <c r="AF199" s="147"/>
      <c r="AG199" s="147"/>
      <c r="AH199" s="147"/>
      <c r="AI199" s="147"/>
      <c r="AJ199" s="147"/>
      <c r="AK199" s="147"/>
      <c r="AL199" s="147"/>
      <c r="AM199" s="147"/>
      <c r="AN199" s="147"/>
      <c r="AO199" s="147"/>
      <c r="AP199" s="147"/>
      <c r="AQ199" s="147"/>
      <c r="AR199" s="147"/>
      <c r="AS199" s="147"/>
      <c r="AT199" s="147"/>
      <c r="AU199" s="147"/>
      <c r="AV199" s="147"/>
      <c r="AW199" s="147"/>
      <c r="AX199" s="147"/>
      <c r="AY199" s="233"/>
      <c r="AZ199" s="147"/>
      <c r="BA199" s="147"/>
    </row>
    <row r="200" spans="1:53" ht="24.75" customHeight="1">
      <c r="A200" s="145"/>
      <c r="B200" s="147" t="s">
        <v>3</v>
      </c>
      <c r="C200" s="147"/>
      <c r="D200" s="147"/>
      <c r="E200" s="147" t="s">
        <v>26</v>
      </c>
      <c r="F200" s="148" t="s">
        <v>1417</v>
      </c>
      <c r="G200" s="148"/>
      <c r="H200" s="147" t="s">
        <v>22</v>
      </c>
      <c r="I200" s="147" t="s">
        <v>22</v>
      </c>
      <c r="J200" s="147" t="s">
        <v>1418</v>
      </c>
      <c r="K200" s="155" t="s">
        <v>38</v>
      </c>
      <c r="L200" s="147" t="s">
        <v>1418</v>
      </c>
      <c r="M200" s="155" t="s">
        <v>1419</v>
      </c>
      <c r="N200" s="147" t="s">
        <v>1402</v>
      </c>
      <c r="O200" s="148"/>
      <c r="P200" s="148"/>
      <c r="Q200" s="147"/>
      <c r="R200" s="147"/>
      <c r="S200" s="147"/>
      <c r="T200" s="147"/>
      <c r="U200" s="147"/>
      <c r="V200" s="155"/>
      <c r="W200" s="147"/>
      <c r="X200" s="148"/>
      <c r="Y200" s="148"/>
      <c r="Z200" s="148"/>
      <c r="AA200" s="148"/>
      <c r="AB200" s="147"/>
      <c r="AC200" s="147"/>
      <c r="AD200" s="147"/>
      <c r="AE200" s="147"/>
      <c r="AF200" s="147"/>
      <c r="AG200" s="147"/>
      <c r="AH200" s="147"/>
      <c r="AI200" s="147"/>
      <c r="AJ200" s="147"/>
      <c r="AK200" s="147"/>
      <c r="AL200" s="147"/>
      <c r="AM200" s="147"/>
      <c r="AN200" s="147"/>
      <c r="AO200" s="147"/>
      <c r="AP200" s="147"/>
      <c r="AQ200" s="147"/>
      <c r="AR200" s="147"/>
      <c r="AS200" s="147"/>
      <c r="AT200" s="147"/>
      <c r="AU200" s="147"/>
      <c r="AV200" s="147"/>
      <c r="AW200" s="147"/>
      <c r="AX200" s="147"/>
      <c r="AY200" s="233"/>
      <c r="AZ200" s="147"/>
      <c r="BA200" s="147"/>
    </row>
    <row r="201" spans="1:53" ht="24.75" customHeight="1">
      <c r="A201" s="145"/>
      <c r="B201" s="147" t="s">
        <v>3</v>
      </c>
      <c r="C201" s="147"/>
      <c r="D201" s="147"/>
      <c r="E201" s="147" t="s">
        <v>26</v>
      </c>
      <c r="F201" s="148" t="s">
        <v>1420</v>
      </c>
      <c r="G201" s="148"/>
      <c r="H201" s="147" t="s">
        <v>22</v>
      </c>
      <c r="I201" s="147" t="s">
        <v>22</v>
      </c>
      <c r="J201" s="147" t="s">
        <v>1418</v>
      </c>
      <c r="K201" s="155" t="s">
        <v>38</v>
      </c>
      <c r="L201" s="147" t="s">
        <v>1418</v>
      </c>
      <c r="M201" s="155" t="s">
        <v>1419</v>
      </c>
      <c r="N201" s="147" t="s">
        <v>1402</v>
      </c>
      <c r="O201" s="148"/>
      <c r="P201" s="148"/>
      <c r="Q201" s="147"/>
      <c r="R201" s="147"/>
      <c r="S201" s="147"/>
      <c r="T201" s="147"/>
      <c r="U201" s="147"/>
      <c r="V201" s="155"/>
      <c r="W201" s="147"/>
      <c r="X201" s="148"/>
      <c r="Y201" s="148"/>
      <c r="Z201" s="148"/>
      <c r="AA201" s="148"/>
      <c r="AB201" s="147"/>
      <c r="AC201" s="147"/>
      <c r="AD201" s="147"/>
      <c r="AE201" s="147"/>
      <c r="AF201" s="147"/>
      <c r="AG201" s="147"/>
      <c r="AH201" s="147"/>
      <c r="AI201" s="147"/>
      <c r="AJ201" s="147"/>
      <c r="AK201" s="147"/>
      <c r="AL201" s="147"/>
      <c r="AM201" s="147"/>
      <c r="AN201" s="147"/>
      <c r="AO201" s="147"/>
      <c r="AP201" s="147"/>
      <c r="AQ201" s="147"/>
      <c r="AR201" s="147"/>
      <c r="AS201" s="147"/>
      <c r="AT201" s="147"/>
      <c r="AU201" s="147"/>
      <c r="AV201" s="147"/>
      <c r="AW201" s="147"/>
      <c r="AX201" s="147"/>
      <c r="AY201" s="233"/>
      <c r="AZ201" s="147"/>
      <c r="BA201" s="147"/>
    </row>
    <row r="202" spans="1:53" ht="24.75" customHeight="1">
      <c r="A202" s="145"/>
      <c r="B202" s="147" t="s">
        <v>3</v>
      </c>
      <c r="C202" s="147"/>
      <c r="D202" s="147"/>
      <c r="E202" s="147" t="s">
        <v>26</v>
      </c>
      <c r="F202" s="148" t="s">
        <v>1421</v>
      </c>
      <c r="G202" s="148"/>
      <c r="H202" s="147" t="s">
        <v>22</v>
      </c>
      <c r="I202" s="147" t="s">
        <v>22</v>
      </c>
      <c r="J202" s="147"/>
      <c r="K202" s="155"/>
      <c r="L202" s="147"/>
      <c r="M202" s="155"/>
      <c r="N202" s="147"/>
      <c r="O202" s="148"/>
      <c r="P202" s="148"/>
      <c r="Q202" s="147"/>
      <c r="R202" s="147"/>
      <c r="S202" s="147"/>
      <c r="T202" s="147"/>
      <c r="U202" s="147"/>
      <c r="V202" s="155"/>
      <c r="W202" s="147"/>
      <c r="X202" s="148"/>
      <c r="Y202" s="148"/>
      <c r="Z202" s="148"/>
      <c r="AA202" s="148"/>
      <c r="AB202" s="147"/>
      <c r="AC202" s="147"/>
      <c r="AD202" s="147"/>
      <c r="AE202" s="147"/>
      <c r="AF202" s="147"/>
      <c r="AG202" s="147"/>
      <c r="AH202" s="147"/>
      <c r="AI202" s="147"/>
      <c r="AJ202" s="147"/>
      <c r="AK202" s="147"/>
      <c r="AL202" s="147"/>
      <c r="AM202" s="147"/>
      <c r="AN202" s="147"/>
      <c r="AO202" s="147"/>
      <c r="AP202" s="147"/>
      <c r="AQ202" s="147"/>
      <c r="AR202" s="147"/>
      <c r="AS202" s="147"/>
      <c r="AT202" s="147"/>
      <c r="AU202" s="147"/>
      <c r="AV202" s="147"/>
      <c r="AW202" s="147"/>
      <c r="AX202" s="147"/>
      <c r="AY202" s="233"/>
      <c r="AZ202" s="147"/>
      <c r="BA202" s="147"/>
    </row>
    <row r="203" spans="1:53" ht="24.75" customHeight="1">
      <c r="A203" s="145"/>
      <c r="B203" s="147" t="s">
        <v>3</v>
      </c>
      <c r="C203" s="147"/>
      <c r="D203" s="147"/>
      <c r="E203" s="147" t="s">
        <v>26</v>
      </c>
      <c r="F203" s="148" t="s">
        <v>1422</v>
      </c>
      <c r="G203" s="148"/>
      <c r="H203" s="147" t="s">
        <v>22</v>
      </c>
      <c r="I203" s="147" t="s">
        <v>22</v>
      </c>
      <c r="J203" s="147" t="s">
        <v>1423</v>
      </c>
      <c r="K203" s="155" t="s">
        <v>38</v>
      </c>
      <c r="L203" s="147" t="s">
        <v>1424</v>
      </c>
      <c r="M203" s="155" t="s">
        <v>1425</v>
      </c>
      <c r="N203" s="147" t="s">
        <v>1402</v>
      </c>
      <c r="O203" s="148"/>
      <c r="P203" s="148"/>
      <c r="Q203" s="147"/>
      <c r="R203" s="147"/>
      <c r="S203" s="147"/>
      <c r="T203" s="147"/>
      <c r="U203" s="147"/>
      <c r="V203" s="155"/>
      <c r="W203" s="147"/>
      <c r="X203" s="148"/>
      <c r="Y203" s="148"/>
      <c r="Z203" s="148"/>
      <c r="AA203" s="148"/>
      <c r="AB203" s="147"/>
      <c r="AC203" s="147"/>
      <c r="AD203" s="147"/>
      <c r="AE203" s="147"/>
      <c r="AF203" s="147"/>
      <c r="AG203" s="147"/>
      <c r="AH203" s="147"/>
      <c r="AI203" s="147"/>
      <c r="AJ203" s="147"/>
      <c r="AK203" s="147"/>
      <c r="AL203" s="147"/>
      <c r="AM203" s="147"/>
      <c r="AN203" s="147"/>
      <c r="AO203" s="147"/>
      <c r="AP203" s="147"/>
      <c r="AQ203" s="147"/>
      <c r="AR203" s="147"/>
      <c r="AS203" s="147"/>
      <c r="AT203" s="147"/>
      <c r="AU203" s="147"/>
      <c r="AV203" s="147"/>
      <c r="AW203" s="147"/>
      <c r="AX203" s="147"/>
      <c r="AY203" s="233"/>
      <c r="AZ203" s="147"/>
      <c r="BA203" s="147"/>
    </row>
    <row r="204" spans="1:53" ht="24.75" customHeight="1">
      <c r="A204" s="145"/>
      <c r="B204" s="147" t="s">
        <v>3</v>
      </c>
      <c r="C204" s="147"/>
      <c r="D204" s="147"/>
      <c r="E204" s="147" t="s">
        <v>26</v>
      </c>
      <c r="F204" s="148" t="s">
        <v>1426</v>
      </c>
      <c r="G204" s="148"/>
      <c r="H204" s="147" t="s">
        <v>22</v>
      </c>
      <c r="I204" s="147" t="s">
        <v>22</v>
      </c>
      <c r="J204" s="147"/>
      <c r="K204" s="155"/>
      <c r="L204" s="147"/>
      <c r="M204" s="155"/>
      <c r="N204" s="147"/>
      <c r="O204" s="148"/>
      <c r="P204" s="148"/>
      <c r="Q204" s="147"/>
      <c r="R204" s="147"/>
      <c r="S204" s="147"/>
      <c r="T204" s="147"/>
      <c r="U204" s="147"/>
      <c r="V204" s="155"/>
      <c r="W204" s="147"/>
      <c r="X204" s="148"/>
      <c r="Y204" s="148"/>
      <c r="Z204" s="148"/>
      <c r="AA204" s="148"/>
      <c r="AB204" s="147"/>
      <c r="AC204" s="147"/>
      <c r="AD204" s="147"/>
      <c r="AE204" s="147"/>
      <c r="AF204" s="147"/>
      <c r="AG204" s="147"/>
      <c r="AH204" s="147"/>
      <c r="AI204" s="147"/>
      <c r="AJ204" s="147"/>
      <c r="AK204" s="147"/>
      <c r="AL204" s="147"/>
      <c r="AM204" s="147"/>
      <c r="AN204" s="147"/>
      <c r="AO204" s="147"/>
      <c r="AP204" s="147"/>
      <c r="AQ204" s="147"/>
      <c r="AR204" s="147"/>
      <c r="AS204" s="147"/>
      <c r="AT204" s="147"/>
      <c r="AU204" s="147"/>
      <c r="AV204" s="147"/>
      <c r="AW204" s="147"/>
      <c r="AX204" s="147"/>
      <c r="AY204" s="233"/>
      <c r="AZ204" s="147"/>
      <c r="BA204" s="147"/>
    </row>
    <row r="205" spans="1:53" ht="24.75" customHeight="1">
      <c r="A205" s="145"/>
      <c r="B205" s="147" t="s">
        <v>3</v>
      </c>
      <c r="C205" s="147"/>
      <c r="D205" s="147"/>
      <c r="E205" s="147" t="s">
        <v>26</v>
      </c>
      <c r="F205" s="148" t="s">
        <v>1427</v>
      </c>
      <c r="G205" s="148"/>
      <c r="H205" s="147" t="s">
        <v>22</v>
      </c>
      <c r="I205" s="147" t="s">
        <v>22</v>
      </c>
      <c r="J205" s="147"/>
      <c r="K205" s="155"/>
      <c r="L205" s="147"/>
      <c r="M205" s="155"/>
      <c r="N205" s="147"/>
      <c r="O205" s="148"/>
      <c r="P205" s="148"/>
      <c r="Q205" s="147"/>
      <c r="R205" s="147"/>
      <c r="S205" s="147"/>
      <c r="T205" s="147"/>
      <c r="U205" s="147"/>
      <c r="V205" s="155"/>
      <c r="W205" s="147"/>
      <c r="X205" s="148"/>
      <c r="Y205" s="148"/>
      <c r="Z205" s="148"/>
      <c r="AA205" s="148"/>
      <c r="AB205" s="147"/>
      <c r="AC205" s="147"/>
      <c r="AD205" s="147"/>
      <c r="AE205" s="147"/>
      <c r="AF205" s="147"/>
      <c r="AG205" s="147"/>
      <c r="AH205" s="147"/>
      <c r="AI205" s="147"/>
      <c r="AJ205" s="147"/>
      <c r="AK205" s="147"/>
      <c r="AL205" s="147"/>
      <c r="AM205" s="147"/>
      <c r="AN205" s="147"/>
      <c r="AO205" s="147"/>
      <c r="AP205" s="147"/>
      <c r="AQ205" s="147"/>
      <c r="AR205" s="147"/>
      <c r="AS205" s="147"/>
      <c r="AT205" s="147"/>
      <c r="AU205" s="147"/>
      <c r="AV205" s="147"/>
      <c r="AW205" s="147"/>
      <c r="AX205" s="147"/>
      <c r="AY205" s="233"/>
      <c r="AZ205" s="147"/>
      <c r="BA205" s="147"/>
    </row>
    <row r="206" spans="1:53" ht="24.75" customHeight="1">
      <c r="A206" s="145"/>
      <c r="B206" s="147" t="s">
        <v>3</v>
      </c>
      <c r="C206" s="147"/>
      <c r="D206" s="147"/>
      <c r="E206" s="147" t="s">
        <v>26</v>
      </c>
      <c r="F206" s="148" t="s">
        <v>1428</v>
      </c>
      <c r="G206" s="148"/>
      <c r="H206" s="147" t="s">
        <v>20</v>
      </c>
      <c r="I206" s="147"/>
      <c r="J206" s="147" t="s">
        <v>499</v>
      </c>
      <c r="K206" s="155" t="s">
        <v>37</v>
      </c>
      <c r="L206" s="147" t="s">
        <v>499</v>
      </c>
      <c r="M206" s="155" t="s">
        <v>500</v>
      </c>
      <c r="N206" s="147" t="s">
        <v>1359</v>
      </c>
      <c r="O206" s="148" t="s">
        <v>1429</v>
      </c>
      <c r="P206" s="148"/>
      <c r="Q206" s="147"/>
      <c r="R206" s="147"/>
      <c r="S206" s="147"/>
      <c r="T206" s="147"/>
      <c r="U206" s="147"/>
      <c r="V206" s="155"/>
      <c r="W206" s="147"/>
      <c r="X206" s="161" t="s">
        <v>1430</v>
      </c>
      <c r="Y206" s="148"/>
      <c r="Z206" s="161" t="s">
        <v>1431</v>
      </c>
      <c r="AA206" s="148"/>
      <c r="AB206" s="150">
        <v>45993</v>
      </c>
      <c r="AC206" s="147"/>
      <c r="AD206" s="147"/>
      <c r="AE206" s="147"/>
      <c r="AF206" s="147"/>
      <c r="AG206" s="147"/>
      <c r="AH206" s="147"/>
      <c r="AI206" s="147"/>
      <c r="AJ206" s="147"/>
      <c r="AK206" s="147"/>
      <c r="AL206" s="147"/>
      <c r="AM206" s="147"/>
      <c r="AN206" s="152" t="str" cm="1">
        <f t="array" ref="AN206">IFERROR(
  LOOKUP(
    2,
    1/((AB206:AM206&lt;&gt;"")*(ISNUMBER(AB206:AM206)+ISNONTEXT(AB206:AM206)&gt;0)),
    {10,20,30,40,45,50,60,70,75,80,90,100}
  ) &amp; "%",
  "0%"
)</f>
        <v>10%</v>
      </c>
      <c r="AO206" s="147"/>
      <c r="AP206" s="147"/>
      <c r="AQ206" s="147"/>
      <c r="AR206" s="147"/>
      <c r="AS206" s="147"/>
      <c r="AT206" s="147"/>
      <c r="AU206" s="147"/>
      <c r="AV206" s="147"/>
      <c r="AW206" s="147"/>
      <c r="AX206" s="147"/>
      <c r="AY206" s="233"/>
      <c r="AZ206" s="147"/>
      <c r="BA206" s="147"/>
    </row>
    <row r="207" spans="1:53" ht="24.75" customHeight="1">
      <c r="A207" s="145"/>
      <c r="B207" s="147" t="s">
        <v>3</v>
      </c>
      <c r="C207" s="147"/>
      <c r="D207" s="147"/>
      <c r="E207" s="147" t="s">
        <v>26</v>
      </c>
      <c r="F207" s="148" t="s">
        <v>1432</v>
      </c>
      <c r="G207" s="148"/>
      <c r="H207" s="147" t="s">
        <v>20</v>
      </c>
      <c r="I207" s="147"/>
      <c r="J207" s="147" t="s">
        <v>499</v>
      </c>
      <c r="K207" s="155" t="s">
        <v>37</v>
      </c>
      <c r="L207" s="147" t="s">
        <v>499</v>
      </c>
      <c r="M207" s="155" t="s">
        <v>500</v>
      </c>
      <c r="N207" s="147" t="s">
        <v>1433</v>
      </c>
      <c r="O207" s="148" t="s">
        <v>21</v>
      </c>
      <c r="P207" s="148"/>
      <c r="Q207" s="147"/>
      <c r="R207" s="147"/>
      <c r="S207" s="147"/>
      <c r="T207" s="147"/>
      <c r="U207" s="147"/>
      <c r="V207" s="155"/>
      <c r="W207" s="147"/>
      <c r="X207" s="161" t="s">
        <v>1434</v>
      </c>
      <c r="Y207" s="161"/>
      <c r="Z207" s="161" t="s">
        <v>1435</v>
      </c>
      <c r="AA207" s="148" t="s">
        <v>1436</v>
      </c>
      <c r="AB207" s="150">
        <v>45993</v>
      </c>
      <c r="AC207" s="147"/>
      <c r="AD207" s="147"/>
      <c r="AE207" s="147"/>
      <c r="AF207" s="147"/>
      <c r="AG207" s="147"/>
      <c r="AH207" s="147"/>
      <c r="AI207" s="147"/>
      <c r="AJ207" s="147"/>
      <c r="AK207" s="147"/>
      <c r="AL207" s="147"/>
      <c r="AM207" s="147"/>
      <c r="AN207" s="152" t="str" cm="1">
        <f t="array" ref="AN207">IFERROR(
  LOOKUP(
    2,
    1/((AB207:AM207&lt;&gt;"")*(ISNUMBER(AB207:AM207)+ISNONTEXT(AB207:AM207)&gt;0)),
    {10,20,30,40,45,50,60,70,75,80,90,100}
  ) &amp; "%",
  "0%"
)</f>
        <v>10%</v>
      </c>
      <c r="AO207" s="147"/>
      <c r="AP207" s="147"/>
      <c r="AQ207" s="147"/>
      <c r="AR207" s="147"/>
      <c r="AS207" s="147"/>
      <c r="AT207" s="147"/>
      <c r="AU207" s="147"/>
      <c r="AV207" s="147"/>
      <c r="AW207" s="147"/>
      <c r="AX207" s="147"/>
      <c r="AY207" s="233"/>
      <c r="AZ207" s="147"/>
      <c r="BA207" s="147"/>
    </row>
    <row r="208" spans="1:53" ht="24.75" customHeight="1">
      <c r="A208" s="145"/>
      <c r="B208" s="147" t="s">
        <v>3</v>
      </c>
      <c r="C208" s="147"/>
      <c r="D208" s="147"/>
      <c r="E208" s="147" t="s">
        <v>26</v>
      </c>
      <c r="F208" s="148" t="s">
        <v>1437</v>
      </c>
      <c r="G208" s="148"/>
      <c r="H208" s="147" t="s">
        <v>21</v>
      </c>
      <c r="I208" s="147" t="s">
        <v>22</v>
      </c>
      <c r="J208" s="147" t="s">
        <v>1438</v>
      </c>
      <c r="K208" s="155" t="s">
        <v>1439</v>
      </c>
      <c r="L208" s="147" t="s">
        <v>1438</v>
      </c>
      <c r="M208" s="155" t="s">
        <v>1440</v>
      </c>
      <c r="N208" s="147" t="s">
        <v>1441</v>
      </c>
      <c r="O208" s="148" t="s">
        <v>1442</v>
      </c>
      <c r="P208" s="148"/>
      <c r="Q208" s="147"/>
      <c r="R208" s="147"/>
      <c r="S208" s="147"/>
      <c r="T208" s="147"/>
      <c r="U208" s="147"/>
      <c r="V208" s="155"/>
      <c r="W208" s="147"/>
      <c r="X208" s="161" t="s">
        <v>1443</v>
      </c>
      <c r="Y208" s="161" t="s">
        <v>1444</v>
      </c>
      <c r="Z208" s="161" t="s">
        <v>1445</v>
      </c>
      <c r="AA208" s="148"/>
      <c r="AB208" s="150">
        <v>45993</v>
      </c>
      <c r="AC208" s="147"/>
      <c r="AD208" s="147"/>
      <c r="AE208" s="147"/>
      <c r="AF208" s="147"/>
      <c r="AG208" s="147"/>
      <c r="AH208" s="147"/>
      <c r="AI208" s="147"/>
      <c r="AJ208" s="147"/>
      <c r="AK208" s="147"/>
      <c r="AL208" s="147"/>
      <c r="AM208" s="147"/>
      <c r="AN208" s="152" t="str" cm="1">
        <f t="array" ref="AN208">IFERROR(
  LOOKUP(
    2,
    1/((AB208:AM208&lt;&gt;"")*(ISNUMBER(AB208:AM208)+ISNONTEXT(AB208:AM208)&gt;0)),
    {10,20,30,40,45,50,60,70,75,80,90,100}
  ) &amp; "%",
  "0%"
)</f>
        <v>10%</v>
      </c>
      <c r="AO208" s="147"/>
      <c r="AP208" s="147"/>
      <c r="AQ208" s="147"/>
      <c r="AR208" s="147"/>
      <c r="AS208" s="147"/>
      <c r="AT208" s="147"/>
      <c r="AU208" s="147"/>
      <c r="AV208" s="147"/>
      <c r="AW208" s="147"/>
      <c r="AX208" s="147"/>
      <c r="AY208" s="233"/>
      <c r="AZ208" s="147"/>
      <c r="BA208" s="147"/>
    </row>
    <row r="209" spans="1:53" ht="24.75" customHeight="1">
      <c r="A209" s="145"/>
      <c r="B209" s="147" t="s">
        <v>3</v>
      </c>
      <c r="C209" s="147"/>
      <c r="D209" s="147"/>
      <c r="E209" s="147" t="s">
        <v>26</v>
      </c>
      <c r="F209" s="195" t="s">
        <v>1446</v>
      </c>
      <c r="G209" s="148" t="s">
        <v>1447</v>
      </c>
      <c r="H209" s="147" t="s">
        <v>20</v>
      </c>
      <c r="I209" s="147"/>
      <c r="J209" s="147" t="s">
        <v>324</v>
      </c>
      <c r="K209" s="155" t="s">
        <v>37</v>
      </c>
      <c r="L209" s="147" t="s">
        <v>324</v>
      </c>
      <c r="M209" s="155" t="s">
        <v>392</v>
      </c>
      <c r="N209" s="147" t="s">
        <v>32</v>
      </c>
      <c r="O209" s="148" t="s">
        <v>1448</v>
      </c>
      <c r="P209" s="148" t="s">
        <v>1042</v>
      </c>
      <c r="Q209" s="147"/>
      <c r="R209" s="147"/>
      <c r="S209" s="147"/>
      <c r="T209" s="147"/>
      <c r="U209" s="147"/>
      <c r="V209" s="155" t="s">
        <v>1449</v>
      </c>
      <c r="W209" s="147" t="s">
        <v>414</v>
      </c>
      <c r="X209" s="231" t="s">
        <v>1450</v>
      </c>
      <c r="Y209" s="148"/>
      <c r="Z209" s="161" t="s">
        <v>1451</v>
      </c>
      <c r="AA209" s="148" t="s">
        <v>1452</v>
      </c>
      <c r="AB209" s="150">
        <v>45986</v>
      </c>
      <c r="AC209" s="147"/>
      <c r="AD209" s="147"/>
      <c r="AE209" s="147"/>
      <c r="AF209" s="147"/>
      <c r="AG209" s="147"/>
      <c r="AH209" s="147"/>
      <c r="AI209" s="147"/>
      <c r="AJ209" s="147"/>
      <c r="AK209" s="147"/>
      <c r="AL209" s="147"/>
      <c r="AM209" s="147"/>
      <c r="AN209" s="152" t="str" cm="1">
        <f t="array" ref="AN209">IFERROR(
  LOOKUP(
    2,
    1/((AB209:AM209&lt;&gt;"")*(ISNUMBER(AB209:AM209)+ISNONTEXT(AB209:AM209)&gt;0)),
    {10,20,30,40,45,50,60,70,75,80,90,100}
  ) &amp; "%",
  "0%"
)</f>
        <v>10%</v>
      </c>
      <c r="AO209" s="147"/>
      <c r="AP209" s="147"/>
      <c r="AQ209" s="147"/>
      <c r="AR209" s="147"/>
      <c r="AS209" s="147"/>
      <c r="AT209" s="147"/>
      <c r="AU209" s="147"/>
      <c r="AV209" s="147"/>
      <c r="AW209" s="147"/>
      <c r="AX209" s="147"/>
      <c r="AY209" s="233"/>
      <c r="AZ209" s="147"/>
      <c r="BA209" s="147"/>
    </row>
    <row r="210" spans="1:53" ht="24.75" customHeight="1">
      <c r="A210" s="145"/>
      <c r="B210" s="147" t="s">
        <v>3</v>
      </c>
      <c r="C210" s="147" t="s">
        <v>14</v>
      </c>
      <c r="D210" s="147"/>
      <c r="E210" s="147" t="s">
        <v>26</v>
      </c>
      <c r="F210" s="197" t="s">
        <v>1453</v>
      </c>
      <c r="G210" s="148" t="s">
        <v>1454</v>
      </c>
      <c r="H210" s="147" t="s">
        <v>20</v>
      </c>
      <c r="I210" s="147"/>
      <c r="J210" s="147" t="s">
        <v>324</v>
      </c>
      <c r="K210" s="155" t="s">
        <v>37</v>
      </c>
      <c r="L210" s="147" t="s">
        <v>324</v>
      </c>
      <c r="M210" s="155" t="s">
        <v>392</v>
      </c>
      <c r="N210" s="147" t="s">
        <v>32</v>
      </c>
      <c r="O210" s="148" t="s">
        <v>1455</v>
      </c>
      <c r="P210" s="148" t="s">
        <v>354</v>
      </c>
      <c r="Q210" s="147"/>
      <c r="R210" s="147"/>
      <c r="S210" s="147"/>
      <c r="T210" s="147"/>
      <c r="U210" s="147"/>
      <c r="V210" s="155" t="s">
        <v>1456</v>
      </c>
      <c r="W210" s="147" t="s">
        <v>414</v>
      </c>
      <c r="X210" s="161" t="s">
        <v>1457</v>
      </c>
      <c r="Y210" s="148"/>
      <c r="Z210" s="161" t="s">
        <v>1458</v>
      </c>
      <c r="AA210" s="148" t="s">
        <v>1459</v>
      </c>
      <c r="AB210" s="150">
        <v>45986</v>
      </c>
      <c r="AC210" s="147"/>
      <c r="AD210" s="147"/>
      <c r="AE210" s="147"/>
      <c r="AF210" s="147"/>
      <c r="AG210" s="147"/>
      <c r="AH210" s="147"/>
      <c r="AI210" s="147"/>
      <c r="AJ210" s="147"/>
      <c r="AK210" s="147"/>
      <c r="AL210" s="147"/>
      <c r="AM210" s="147"/>
      <c r="AN210" s="152" t="str" cm="1">
        <f t="array" ref="AN210">IFERROR(
  LOOKUP(
    2,
    1/((AB210:AM210&lt;&gt;"")*(ISNUMBER(AB210:AM210)+ISNONTEXT(AB210:AM210)&gt;0)),
    {10,20,30,40,45,50,60,70,75,80,90,100}
  ) &amp; "%",
  "0%"
)</f>
        <v>10%</v>
      </c>
      <c r="AO210" s="147"/>
      <c r="AP210" s="147"/>
      <c r="AQ210" s="147"/>
      <c r="AR210" s="147"/>
      <c r="AS210" s="147"/>
      <c r="AT210" s="147"/>
      <c r="AU210" s="147"/>
      <c r="AV210" s="147"/>
      <c r="AW210" s="147"/>
      <c r="AX210" s="147"/>
      <c r="AY210" s="233"/>
      <c r="AZ210" s="147"/>
      <c r="BA210" s="147"/>
    </row>
    <row r="211" spans="1:53" ht="24.75" customHeight="1">
      <c r="A211" s="145"/>
      <c r="B211" s="147" t="s">
        <v>3</v>
      </c>
      <c r="C211" s="147"/>
      <c r="D211" s="147"/>
      <c r="E211" s="147" t="s">
        <v>26</v>
      </c>
      <c r="F211" s="195" t="s">
        <v>1460</v>
      </c>
      <c r="G211" s="148" t="s">
        <v>1461</v>
      </c>
      <c r="H211" s="147" t="s">
        <v>20</v>
      </c>
      <c r="I211" s="147"/>
      <c r="J211" s="147" t="s">
        <v>324</v>
      </c>
      <c r="K211" s="155" t="s">
        <v>37</v>
      </c>
      <c r="L211" s="147" t="s">
        <v>324</v>
      </c>
      <c r="M211" s="155" t="s">
        <v>392</v>
      </c>
      <c r="N211" s="147" t="s">
        <v>32</v>
      </c>
      <c r="O211" s="148" t="s">
        <v>1462</v>
      </c>
      <c r="P211" s="148" t="s">
        <v>1463</v>
      </c>
      <c r="Q211" s="147"/>
      <c r="R211" s="147"/>
      <c r="S211" s="147"/>
      <c r="T211" s="147"/>
      <c r="U211" s="147"/>
      <c r="V211" s="155" t="s">
        <v>1464</v>
      </c>
      <c r="W211" s="147" t="s">
        <v>414</v>
      </c>
      <c r="X211" s="161" t="s">
        <v>1465</v>
      </c>
      <c r="Y211" s="148"/>
      <c r="Z211" s="161" t="s">
        <v>1466</v>
      </c>
      <c r="AA211" s="148" t="s">
        <v>1467</v>
      </c>
      <c r="AB211" s="150">
        <v>45986</v>
      </c>
      <c r="AC211" s="147"/>
      <c r="AD211" s="147"/>
      <c r="AE211" s="147"/>
      <c r="AF211" s="147"/>
      <c r="AG211" s="147"/>
      <c r="AH211" s="147"/>
      <c r="AI211" s="147"/>
      <c r="AJ211" s="147"/>
      <c r="AK211" s="147"/>
      <c r="AL211" s="147"/>
      <c r="AM211" s="147"/>
      <c r="AN211" s="152" t="str" cm="1">
        <f t="array" ref="AN211">IFERROR(
  LOOKUP(
    2,
    1/((AB211:AM211&lt;&gt;"")*(ISNUMBER(AB211:AM211)+ISNONTEXT(AB211:AM211)&gt;0)),
    {10,20,30,40,45,50,60,70,75,80,90,100}
  ) &amp; "%",
  "0%"
)</f>
        <v>10%</v>
      </c>
      <c r="AO211" s="147"/>
      <c r="AP211" s="147"/>
      <c r="AQ211" s="147"/>
      <c r="AR211" s="147"/>
      <c r="AS211" s="147"/>
      <c r="AT211" s="147"/>
      <c r="AU211" s="147"/>
      <c r="AV211" s="147"/>
      <c r="AW211" s="147"/>
      <c r="AX211" s="147"/>
      <c r="AY211" s="233"/>
      <c r="AZ211" s="147"/>
      <c r="BA211" s="147"/>
    </row>
    <row r="212" spans="1:53" ht="24.75" customHeight="1">
      <c r="A212" s="145"/>
      <c r="B212" s="147" t="s">
        <v>3</v>
      </c>
      <c r="C212" s="147"/>
      <c r="D212" s="147"/>
      <c r="E212" s="147" t="s">
        <v>26</v>
      </c>
      <c r="F212" s="195" t="s">
        <v>1468</v>
      </c>
      <c r="G212" s="148" t="s">
        <v>1469</v>
      </c>
      <c r="H212" s="147" t="s">
        <v>20</v>
      </c>
      <c r="I212" s="147"/>
      <c r="J212" s="147" t="s">
        <v>324</v>
      </c>
      <c r="K212" s="155" t="s">
        <v>37</v>
      </c>
      <c r="L212" s="147" t="s">
        <v>324</v>
      </c>
      <c r="M212" s="155" t="s">
        <v>325</v>
      </c>
      <c r="N212" s="147" t="s">
        <v>32</v>
      </c>
      <c r="O212" s="148" t="s">
        <v>1470</v>
      </c>
      <c r="P212" s="148" t="s">
        <v>1471</v>
      </c>
      <c r="Q212" s="147"/>
      <c r="R212" s="147"/>
      <c r="S212" s="147"/>
      <c r="T212" s="147"/>
      <c r="U212" s="147"/>
      <c r="V212" s="155"/>
      <c r="W212" s="147" t="s">
        <v>414</v>
      </c>
      <c r="X212" s="209" t="s">
        <v>1472</v>
      </c>
      <c r="Y212" s="148"/>
      <c r="Z212" s="161" t="s">
        <v>1473</v>
      </c>
      <c r="AA212" s="148" t="s">
        <v>1474</v>
      </c>
      <c r="AB212" s="150">
        <v>45986</v>
      </c>
      <c r="AC212" s="147"/>
      <c r="AD212" s="147"/>
      <c r="AE212" s="147"/>
      <c r="AF212" s="147"/>
      <c r="AG212" s="147"/>
      <c r="AH212" s="147"/>
      <c r="AI212" s="147"/>
      <c r="AJ212" s="147"/>
      <c r="AK212" s="147"/>
      <c r="AL212" s="147"/>
      <c r="AM212" s="147"/>
      <c r="AN212" s="152" t="str" cm="1">
        <f t="array" ref="AN212">IFERROR(
  LOOKUP(
    2,
    1/((AB212:AM212&lt;&gt;"")*(ISNUMBER(AB212:AM212)+ISNONTEXT(AB212:AM212)&gt;0)),
    {10,20,30,40,45,50,60,70,75,80,90,100}
  ) &amp; "%",
  "0%"
)</f>
        <v>10%</v>
      </c>
      <c r="AO212" s="147"/>
      <c r="AP212" s="147"/>
      <c r="AQ212" s="147"/>
      <c r="AR212" s="147"/>
      <c r="AS212" s="147"/>
      <c r="AT212" s="147"/>
      <c r="AU212" s="147"/>
      <c r="AV212" s="147"/>
      <c r="AW212" s="147"/>
      <c r="AX212" s="147"/>
      <c r="AY212" s="233"/>
      <c r="AZ212" s="147"/>
      <c r="BA212" s="147"/>
    </row>
    <row r="213" spans="1:53" ht="24.75" customHeight="1">
      <c r="A213" s="145"/>
      <c r="B213" s="147" t="s">
        <v>3</v>
      </c>
      <c r="C213" s="147" t="s">
        <v>14</v>
      </c>
      <c r="D213" s="147"/>
      <c r="E213" s="147" t="s">
        <v>26</v>
      </c>
      <c r="F213" s="197" t="s">
        <v>1475</v>
      </c>
      <c r="G213" s="148" t="s">
        <v>1476</v>
      </c>
      <c r="H213" s="147" t="s">
        <v>20</v>
      </c>
      <c r="I213" s="147"/>
      <c r="J213" s="147" t="s">
        <v>324</v>
      </c>
      <c r="K213" s="155" t="s">
        <v>37</v>
      </c>
      <c r="L213" s="147" t="s">
        <v>324</v>
      </c>
      <c r="M213" s="155" t="s">
        <v>325</v>
      </c>
      <c r="N213" s="147" t="s">
        <v>32</v>
      </c>
      <c r="O213" s="148" t="s">
        <v>1477</v>
      </c>
      <c r="P213" s="148"/>
      <c r="Q213" s="147"/>
      <c r="R213" s="147"/>
      <c r="S213" s="147"/>
      <c r="T213" s="147"/>
      <c r="U213" s="147"/>
      <c r="V213" s="155"/>
      <c r="W213" s="147" t="s">
        <v>414</v>
      </c>
      <c r="X213" s="210" t="s">
        <v>1478</v>
      </c>
      <c r="Y213" s="148"/>
      <c r="Z213" s="161" t="s">
        <v>1479</v>
      </c>
      <c r="AA213" s="148" t="s">
        <v>1480</v>
      </c>
      <c r="AB213" s="150">
        <v>45986</v>
      </c>
      <c r="AC213" s="147"/>
      <c r="AD213" s="147"/>
      <c r="AE213" s="147"/>
      <c r="AF213" s="147"/>
      <c r="AG213" s="147"/>
      <c r="AH213" s="147"/>
      <c r="AI213" s="147"/>
      <c r="AJ213" s="147"/>
      <c r="AK213" s="147"/>
      <c r="AL213" s="147"/>
      <c r="AM213" s="147"/>
      <c r="AN213" s="152" t="str" cm="1">
        <f t="array" ref="AN213">IFERROR(
  LOOKUP(
    2,
    1/((AB213:AM213&lt;&gt;"")*(ISNUMBER(AB213:AM213)+ISNONTEXT(AB213:AM213)&gt;0)),
    {10,20,30,40,45,50,60,70,75,80,90,100}
  ) &amp; "%",
  "0%"
)</f>
        <v>10%</v>
      </c>
      <c r="AO213" s="147"/>
      <c r="AP213" s="147"/>
      <c r="AQ213" s="147"/>
      <c r="AR213" s="147"/>
      <c r="AS213" s="147"/>
      <c r="AT213" s="147"/>
      <c r="AU213" s="147"/>
      <c r="AV213" s="147"/>
      <c r="AW213" s="147"/>
      <c r="AX213" s="147"/>
      <c r="AY213" s="233"/>
      <c r="AZ213" s="147"/>
      <c r="BA213" s="147"/>
    </row>
    <row r="214" spans="1:53" ht="24.75" customHeight="1">
      <c r="A214" s="145"/>
      <c r="B214" s="147" t="s">
        <v>3</v>
      </c>
      <c r="C214" s="147" t="s">
        <v>14</v>
      </c>
      <c r="D214" s="147"/>
      <c r="E214" s="147" t="s">
        <v>26</v>
      </c>
      <c r="F214" s="197" t="s">
        <v>1481</v>
      </c>
      <c r="G214" s="148" t="s">
        <v>1482</v>
      </c>
      <c r="H214" s="147" t="s">
        <v>20</v>
      </c>
      <c r="I214" s="147"/>
      <c r="J214" s="147" t="s">
        <v>324</v>
      </c>
      <c r="K214" s="155" t="s">
        <v>37</v>
      </c>
      <c r="L214" s="147" t="s">
        <v>324</v>
      </c>
      <c r="M214" s="155" t="s">
        <v>402</v>
      </c>
      <c r="N214" s="147" t="s">
        <v>32</v>
      </c>
      <c r="O214" s="148" t="s">
        <v>1483</v>
      </c>
      <c r="P214" s="148" t="s">
        <v>1484</v>
      </c>
      <c r="Q214" s="147"/>
      <c r="R214" s="147"/>
      <c r="S214" s="147"/>
      <c r="T214" s="147"/>
      <c r="U214" s="147"/>
      <c r="V214" s="179" t="s">
        <v>1485</v>
      </c>
      <c r="W214" s="147" t="s">
        <v>1486</v>
      </c>
      <c r="X214" s="161" t="s">
        <v>1487</v>
      </c>
      <c r="Y214" s="148"/>
      <c r="Z214" s="215" t="s">
        <v>1488</v>
      </c>
      <c r="AA214" s="148"/>
      <c r="AB214" s="150">
        <v>45995</v>
      </c>
      <c r="AC214" s="150">
        <v>46006</v>
      </c>
      <c r="AD214" s="147"/>
      <c r="AE214" s="147"/>
      <c r="AF214" s="150">
        <v>46054</v>
      </c>
      <c r="AG214" s="147"/>
      <c r="AH214" s="147"/>
      <c r="AI214" s="147"/>
      <c r="AJ214" s="147"/>
      <c r="AK214" s="147"/>
      <c r="AL214" s="147"/>
      <c r="AM214" s="147"/>
      <c r="AN214" s="152" t="str" cm="1">
        <f t="array" ref="AN214">IFERROR(
  LOOKUP(
    2,
    1/((AB214:AM214&lt;&gt;"")*(ISNUMBER(AB214:AM214)+ISNONTEXT(AB214:AM214)&gt;0)),
    {10,20,30,40,45,50,60,70,75,80,90,100}
  ) &amp; "%",
  "0%"
)</f>
        <v>45%</v>
      </c>
      <c r="AO214" s="147" t="s">
        <v>1481</v>
      </c>
      <c r="AP214" s="147" t="s">
        <v>331</v>
      </c>
      <c r="AQ214" s="147" t="s">
        <v>331</v>
      </c>
      <c r="AR214" s="147" t="s">
        <v>331</v>
      </c>
      <c r="AS214" s="147" t="s">
        <v>331</v>
      </c>
      <c r="AT214" s="147" t="s">
        <v>1489</v>
      </c>
      <c r="AU214" s="147" t="s">
        <v>1490</v>
      </c>
      <c r="AV214" s="147" t="s">
        <v>1491</v>
      </c>
      <c r="AW214" s="147" t="s">
        <v>759</v>
      </c>
      <c r="AX214" s="147"/>
      <c r="AY214" s="233"/>
      <c r="AZ214" s="147"/>
      <c r="BA214" s="147"/>
    </row>
    <row r="215" spans="1:53" ht="24.75" customHeight="1">
      <c r="A215" s="145"/>
      <c r="B215" s="147" t="s">
        <v>3</v>
      </c>
      <c r="C215" s="147"/>
      <c r="D215" s="147"/>
      <c r="E215" s="147" t="s">
        <v>26</v>
      </c>
      <c r="F215" s="148" t="s">
        <v>1492</v>
      </c>
      <c r="G215" s="148" t="s">
        <v>1492</v>
      </c>
      <c r="H215" s="147" t="s">
        <v>20</v>
      </c>
      <c r="I215" s="180" t="s">
        <v>22</v>
      </c>
      <c r="J215" s="147" t="s">
        <v>39</v>
      </c>
      <c r="K215" s="155"/>
      <c r="L215" s="147" t="s">
        <v>39</v>
      </c>
      <c r="M215" s="155"/>
      <c r="N215" s="147"/>
      <c r="O215" s="148"/>
      <c r="P215" s="148"/>
      <c r="Q215" s="147"/>
      <c r="R215" s="147"/>
      <c r="S215" s="147"/>
      <c r="T215" s="147"/>
      <c r="U215" s="147"/>
      <c r="V215" s="155"/>
      <c r="W215" s="147"/>
      <c r="X215" s="148"/>
      <c r="Y215" s="148"/>
      <c r="Z215" s="148"/>
      <c r="AA215" s="148"/>
      <c r="AB215" s="147"/>
      <c r="AC215" s="147"/>
      <c r="AD215" s="147"/>
      <c r="AE215" s="147"/>
      <c r="AF215" s="147"/>
      <c r="AG215" s="147"/>
      <c r="AH215" s="147"/>
      <c r="AI215" s="147"/>
      <c r="AJ215" s="147"/>
      <c r="AK215" s="147"/>
      <c r="AL215" s="147"/>
      <c r="AM215" s="147"/>
      <c r="AN215" s="152" t="str" cm="1">
        <f t="array" ref="AN215">IFERROR(
  LOOKUP(
    2,
    1/((AB215:AM215&lt;&gt;"")*(ISNUMBER(AB215:AM215)+ISNONTEXT(AB215:AM215)&gt;0)),
    {10,20,30,40,45,50,60,70,75,80,90,100}
  ) &amp; "%",
  "0%"
)</f>
        <v>0%</v>
      </c>
      <c r="AO215" s="147"/>
      <c r="AP215" s="147"/>
      <c r="AQ215" s="147"/>
      <c r="AR215" s="147"/>
      <c r="AS215" s="147"/>
      <c r="AT215" s="147"/>
      <c r="AU215" s="147"/>
      <c r="AV215" s="147"/>
      <c r="AW215" s="147"/>
      <c r="AX215" s="147"/>
      <c r="AY215" s="233"/>
      <c r="AZ215" s="147"/>
      <c r="BA215" s="147"/>
    </row>
    <row r="216" spans="1:53" ht="24.75" customHeight="1">
      <c r="A216" s="145"/>
      <c r="B216" s="147" t="s">
        <v>2</v>
      </c>
      <c r="C216" s="147"/>
      <c r="D216" s="147"/>
      <c r="E216" s="147" t="s">
        <v>26</v>
      </c>
      <c r="F216" s="148" t="s">
        <v>1493</v>
      </c>
      <c r="G216" s="148"/>
      <c r="H216" s="147" t="s">
        <v>21</v>
      </c>
      <c r="I216" s="147" t="s">
        <v>22</v>
      </c>
      <c r="J216" s="147" t="s">
        <v>1438</v>
      </c>
      <c r="K216" s="155" t="s">
        <v>1439</v>
      </c>
      <c r="L216" s="147" t="s">
        <v>1438</v>
      </c>
      <c r="M216" s="155" t="s">
        <v>1440</v>
      </c>
      <c r="N216" s="147" t="s">
        <v>1359</v>
      </c>
      <c r="O216" s="148"/>
      <c r="P216" s="148"/>
      <c r="Q216" s="147"/>
      <c r="R216" s="147"/>
      <c r="S216" s="147"/>
      <c r="T216" s="147"/>
      <c r="U216" s="147"/>
      <c r="V216" s="155"/>
      <c r="W216" s="147"/>
      <c r="X216" s="148"/>
      <c r="Y216" s="148"/>
      <c r="Z216" s="148"/>
      <c r="AA216" s="148"/>
      <c r="AB216" s="147"/>
      <c r="AC216" s="147"/>
      <c r="AD216" s="147"/>
      <c r="AE216" s="147"/>
      <c r="AF216" s="147"/>
      <c r="AG216" s="147"/>
      <c r="AH216" s="147"/>
      <c r="AI216" s="147"/>
      <c r="AJ216" s="147"/>
      <c r="AK216" s="147"/>
      <c r="AL216" s="147"/>
      <c r="AM216" s="147"/>
      <c r="AN216" s="152" t="str" cm="1">
        <f t="array" ref="AN216">IFERROR(
  LOOKUP(
    2,
    1/((AB216:AM216&lt;&gt;"")*(ISNUMBER(AB216:AM216)+ISNONTEXT(AB216:AM216)&gt;0)),
    {10,20,30,40,45,50,60,70,75,80,90,100}
  ) &amp; "%",
  "0%"
)</f>
        <v>0%</v>
      </c>
      <c r="AO216" s="147"/>
      <c r="AP216" s="147"/>
      <c r="AQ216" s="147"/>
      <c r="AR216" s="147"/>
      <c r="AS216" s="147"/>
      <c r="AT216" s="147"/>
      <c r="AU216" s="147"/>
      <c r="AV216" s="147"/>
      <c r="AW216" s="147"/>
      <c r="AX216" s="147"/>
      <c r="AY216" s="233"/>
      <c r="AZ216" s="147"/>
      <c r="BA216" s="147"/>
    </row>
    <row r="217" spans="1:53" ht="24.75" customHeight="1">
      <c r="A217" s="145"/>
      <c r="B217" s="147" t="s">
        <v>2</v>
      </c>
      <c r="C217" s="147"/>
      <c r="D217" s="147"/>
      <c r="E217" s="147" t="s">
        <v>26</v>
      </c>
      <c r="F217" s="148" t="s">
        <v>1494</v>
      </c>
      <c r="G217" s="148"/>
      <c r="H217" s="147" t="s">
        <v>21</v>
      </c>
      <c r="I217" s="147" t="s">
        <v>22</v>
      </c>
      <c r="J217" s="147" t="s">
        <v>1438</v>
      </c>
      <c r="K217" s="155" t="s">
        <v>1439</v>
      </c>
      <c r="L217" s="147" t="s">
        <v>1438</v>
      </c>
      <c r="M217" s="155" t="s">
        <v>1495</v>
      </c>
      <c r="N217" s="147" t="s">
        <v>1359</v>
      </c>
      <c r="O217" s="148"/>
      <c r="P217" s="148"/>
      <c r="Q217" s="147"/>
      <c r="R217" s="147"/>
      <c r="S217" s="147"/>
      <c r="T217" s="147"/>
      <c r="U217" s="147"/>
      <c r="V217" s="155"/>
      <c r="W217" s="147"/>
      <c r="X217" s="148"/>
      <c r="Y217" s="148"/>
      <c r="Z217" s="148"/>
      <c r="AA217" s="148"/>
      <c r="AB217" s="147"/>
      <c r="AC217" s="147"/>
      <c r="AD217" s="147"/>
      <c r="AE217" s="147"/>
      <c r="AF217" s="147"/>
      <c r="AG217" s="147"/>
      <c r="AH217" s="147"/>
      <c r="AI217" s="147"/>
      <c r="AJ217" s="147"/>
      <c r="AK217" s="147"/>
      <c r="AL217" s="147"/>
      <c r="AM217" s="147"/>
      <c r="AN217" s="152" t="str" cm="1">
        <f t="array" ref="AN217">IFERROR(
  LOOKUP(
    2,
    1/((AB217:AM217&lt;&gt;"")*(ISNUMBER(AB217:AM217)+ISNONTEXT(AB217:AM217)&gt;0)),
    {10,20,30,40,45,50,60,70,75,80,90,100}
  ) &amp; "%",
  "0%"
)</f>
        <v>0%</v>
      </c>
      <c r="AO217" s="147"/>
      <c r="AP217" s="147"/>
      <c r="AQ217" s="147"/>
      <c r="AR217" s="147"/>
      <c r="AS217" s="147"/>
      <c r="AT217" s="147"/>
      <c r="AU217" s="147"/>
      <c r="AV217" s="147"/>
      <c r="AW217" s="147"/>
      <c r="AX217" s="147"/>
      <c r="AY217" s="233"/>
      <c r="AZ217" s="147"/>
      <c r="BA217" s="147"/>
    </row>
    <row r="218" spans="1:53" ht="24.75" customHeight="1">
      <c r="A218" s="145"/>
      <c r="B218" s="147" t="s">
        <v>2</v>
      </c>
      <c r="C218" s="147"/>
      <c r="D218" s="147"/>
      <c r="E218" s="147" t="s">
        <v>26</v>
      </c>
      <c r="F218" s="148" t="s">
        <v>1496</v>
      </c>
      <c r="G218" s="148"/>
      <c r="H218" s="147" t="s">
        <v>21</v>
      </c>
      <c r="I218" s="147" t="s">
        <v>22</v>
      </c>
      <c r="J218" s="147" t="s">
        <v>1438</v>
      </c>
      <c r="K218" s="155" t="s">
        <v>1439</v>
      </c>
      <c r="L218" s="147" t="s">
        <v>1438</v>
      </c>
      <c r="M218" s="155" t="s">
        <v>1440</v>
      </c>
      <c r="N218" s="147" t="s">
        <v>1359</v>
      </c>
      <c r="O218" s="148"/>
      <c r="P218" s="148"/>
      <c r="Q218" s="147"/>
      <c r="R218" s="147"/>
      <c r="S218" s="147"/>
      <c r="T218" s="147"/>
      <c r="U218" s="147"/>
      <c r="V218" s="155"/>
      <c r="W218" s="147"/>
      <c r="X218" s="148"/>
      <c r="Y218" s="148"/>
      <c r="Z218" s="148"/>
      <c r="AA218" s="148"/>
      <c r="AB218" s="147"/>
      <c r="AC218" s="147"/>
      <c r="AD218" s="147"/>
      <c r="AE218" s="147"/>
      <c r="AF218" s="147"/>
      <c r="AG218" s="147"/>
      <c r="AH218" s="147"/>
      <c r="AI218" s="147"/>
      <c r="AJ218" s="147"/>
      <c r="AK218" s="147"/>
      <c r="AL218" s="147"/>
      <c r="AM218" s="147"/>
      <c r="AN218" s="152" t="str" cm="1">
        <f t="array" ref="AN218">IFERROR(
  LOOKUP(
    2,
    1/((AB218:AM218&lt;&gt;"")*(ISNUMBER(AB218:AM218)+ISNONTEXT(AB218:AM218)&gt;0)),
    {10,20,30,40,45,50,60,70,75,80,90,100}
  ) &amp; "%",
  "0%"
)</f>
        <v>0%</v>
      </c>
      <c r="AO218" s="147"/>
      <c r="AP218" s="147"/>
      <c r="AQ218" s="147"/>
      <c r="AR218" s="147"/>
      <c r="AS218" s="147"/>
      <c r="AT218" s="147"/>
      <c r="AU218" s="147"/>
      <c r="AV218" s="147"/>
      <c r="AW218" s="147"/>
      <c r="AX218" s="147"/>
      <c r="AY218" s="233"/>
      <c r="AZ218" s="147"/>
      <c r="BA218" s="147"/>
    </row>
    <row r="219" spans="1:53" ht="24.75" customHeight="1">
      <c r="A219" s="145"/>
      <c r="B219" s="147" t="s">
        <v>2</v>
      </c>
      <c r="C219" s="147"/>
      <c r="D219" s="147"/>
      <c r="E219" s="147" t="s">
        <v>26</v>
      </c>
      <c r="F219" s="148" t="s">
        <v>1497</v>
      </c>
      <c r="G219" s="148"/>
      <c r="H219" s="147" t="s">
        <v>21</v>
      </c>
      <c r="I219" s="147" t="s">
        <v>22</v>
      </c>
      <c r="J219" s="147" t="s">
        <v>1438</v>
      </c>
      <c r="K219" s="155" t="s">
        <v>1439</v>
      </c>
      <c r="L219" s="147" t="s">
        <v>1438</v>
      </c>
      <c r="M219" s="155" t="s">
        <v>1440</v>
      </c>
      <c r="N219" s="147" t="s">
        <v>1359</v>
      </c>
      <c r="O219" s="148"/>
      <c r="P219" s="148"/>
      <c r="Q219" s="147"/>
      <c r="R219" s="147"/>
      <c r="S219" s="147"/>
      <c r="T219" s="147"/>
      <c r="U219" s="147"/>
      <c r="V219" s="155"/>
      <c r="W219" s="147"/>
      <c r="X219" s="148"/>
      <c r="Y219" s="148"/>
      <c r="Z219" s="148"/>
      <c r="AA219" s="148"/>
      <c r="AB219" s="147"/>
      <c r="AC219" s="147"/>
      <c r="AD219" s="147"/>
      <c r="AE219" s="147"/>
      <c r="AF219" s="147"/>
      <c r="AG219" s="147"/>
      <c r="AH219" s="147"/>
      <c r="AI219" s="147"/>
      <c r="AJ219" s="147"/>
      <c r="AK219" s="147"/>
      <c r="AL219" s="147"/>
      <c r="AM219" s="147"/>
      <c r="AN219" s="152" t="str" cm="1">
        <f t="array" ref="AN219">IFERROR(
  LOOKUP(
    2,
    1/((AB219:AM219&lt;&gt;"")*(ISNUMBER(AB219:AM219)+ISNONTEXT(AB219:AM219)&gt;0)),
    {10,20,30,40,45,50,60,70,75,80,90,100}
  ) &amp; "%",
  "0%"
)</f>
        <v>0%</v>
      </c>
      <c r="AO219" s="147"/>
      <c r="AP219" s="147"/>
      <c r="AQ219" s="147"/>
      <c r="AR219" s="147"/>
      <c r="AS219" s="147"/>
      <c r="AT219" s="147"/>
      <c r="AU219" s="147"/>
      <c r="AV219" s="147"/>
      <c r="AW219" s="147"/>
      <c r="AX219" s="147"/>
      <c r="AY219" s="233"/>
      <c r="AZ219" s="147"/>
      <c r="BA219" s="147"/>
    </row>
    <row r="220" spans="1:53" ht="24.75" customHeight="1">
      <c r="A220" s="145"/>
      <c r="B220" s="147" t="s">
        <v>2</v>
      </c>
      <c r="C220" s="147"/>
      <c r="D220" s="147"/>
      <c r="E220" s="147" t="s">
        <v>26</v>
      </c>
      <c r="F220" s="148" t="s">
        <v>1498</v>
      </c>
      <c r="G220" s="148"/>
      <c r="H220" s="147" t="s">
        <v>21</v>
      </c>
      <c r="I220" s="147" t="s">
        <v>22</v>
      </c>
      <c r="J220" s="147" t="s">
        <v>1438</v>
      </c>
      <c r="K220" s="155" t="s">
        <v>1439</v>
      </c>
      <c r="L220" s="147" t="s">
        <v>1438</v>
      </c>
      <c r="M220" s="155" t="s">
        <v>1440</v>
      </c>
      <c r="N220" s="147" t="s">
        <v>1359</v>
      </c>
      <c r="O220" s="148" t="s">
        <v>1499</v>
      </c>
      <c r="P220" s="148" t="s">
        <v>1500</v>
      </c>
      <c r="Q220" s="147"/>
      <c r="R220" s="147"/>
      <c r="S220" s="147"/>
      <c r="T220" s="147"/>
      <c r="U220" s="147"/>
      <c r="V220" s="155"/>
      <c r="W220" s="147"/>
      <c r="X220" s="161" t="s">
        <v>1501</v>
      </c>
      <c r="Y220" s="148"/>
      <c r="Z220" s="148"/>
      <c r="AA220" s="148"/>
      <c r="AB220" s="147"/>
      <c r="AC220" s="147"/>
      <c r="AD220" s="147"/>
      <c r="AE220" s="147"/>
      <c r="AF220" s="147"/>
      <c r="AG220" s="147"/>
      <c r="AH220" s="147"/>
      <c r="AI220" s="147"/>
      <c r="AJ220" s="147"/>
      <c r="AK220" s="147"/>
      <c r="AL220" s="147"/>
      <c r="AM220" s="147"/>
      <c r="AN220" s="152" t="str" cm="1">
        <f t="array" ref="AN220">IFERROR(
  LOOKUP(
    2,
    1/((AB220:AM220&lt;&gt;"")*(ISNUMBER(AB220:AM220)+ISNONTEXT(AB220:AM220)&gt;0)),
    {10,20,30,40,45,50,60,70,75,80,90,100}
  ) &amp; "%",
  "0%"
)</f>
        <v>0%</v>
      </c>
      <c r="AO220" s="147"/>
      <c r="AP220" s="147"/>
      <c r="AQ220" s="147"/>
      <c r="AR220" s="147"/>
      <c r="AS220" s="147"/>
      <c r="AT220" s="147"/>
      <c r="AU220" s="147"/>
      <c r="AV220" s="147"/>
      <c r="AW220" s="147"/>
      <c r="AX220" s="147"/>
      <c r="AY220" s="233"/>
      <c r="AZ220" s="147"/>
      <c r="BA220" s="147"/>
    </row>
    <row r="221" spans="1:53" ht="24.75" customHeight="1">
      <c r="A221" s="145"/>
      <c r="B221" s="147" t="s">
        <v>2</v>
      </c>
      <c r="C221" s="147"/>
      <c r="D221" s="147"/>
      <c r="E221" s="147" t="s">
        <v>26</v>
      </c>
      <c r="F221" s="148" t="s">
        <v>1502</v>
      </c>
      <c r="G221" s="148" t="s">
        <v>1503</v>
      </c>
      <c r="H221" s="147" t="s">
        <v>20</v>
      </c>
      <c r="I221" s="147"/>
      <c r="J221" s="147" t="s">
        <v>352</v>
      </c>
      <c r="K221" s="155" t="s">
        <v>37</v>
      </c>
      <c r="L221" s="147" t="s">
        <v>563</v>
      </c>
      <c r="M221" s="155" t="s">
        <v>573</v>
      </c>
      <c r="N221" s="147" t="s">
        <v>32</v>
      </c>
      <c r="O221" s="148" t="s">
        <v>1504</v>
      </c>
      <c r="P221" s="148" t="s">
        <v>1323</v>
      </c>
      <c r="Q221" s="147"/>
      <c r="R221" s="147"/>
      <c r="S221" s="147"/>
      <c r="T221" s="147"/>
      <c r="U221" s="147"/>
      <c r="V221" s="155" t="s">
        <v>1505</v>
      </c>
      <c r="W221" s="147"/>
      <c r="X221" s="161" t="s">
        <v>1506</v>
      </c>
      <c r="Y221" s="148"/>
      <c r="Z221" s="148"/>
      <c r="AA221" s="148" t="s">
        <v>1507</v>
      </c>
      <c r="AB221" s="150">
        <v>46014</v>
      </c>
      <c r="AC221" s="147"/>
      <c r="AD221" s="147"/>
      <c r="AE221" s="147"/>
      <c r="AF221" s="147"/>
      <c r="AG221" s="147"/>
      <c r="AH221" s="147"/>
      <c r="AI221" s="147"/>
      <c r="AJ221" s="147"/>
      <c r="AK221" s="147"/>
      <c r="AL221" s="147"/>
      <c r="AM221" s="147"/>
      <c r="AN221" s="152" t="str" cm="1">
        <f t="array" ref="AN221">IFERROR(
  LOOKUP(
    2,
    1/((AB221:AM221&lt;&gt;"")*(ISNUMBER(AB221:AM221)+ISNONTEXT(AB221:AM221)&gt;0)),
    {10,20,30,40,45,50,60,70,75,80,90,100}
  ) &amp; "%",
  "0%"
)</f>
        <v>10%</v>
      </c>
      <c r="AO221" s="147"/>
      <c r="AP221" s="147"/>
      <c r="AQ221" s="147"/>
      <c r="AR221" s="147"/>
      <c r="AS221" s="147"/>
      <c r="AT221" s="147"/>
      <c r="AU221" s="147"/>
      <c r="AV221" s="147"/>
      <c r="AW221" s="147"/>
      <c r="AX221" s="147"/>
      <c r="AY221" s="233"/>
      <c r="AZ221" s="147"/>
      <c r="BA221" s="147"/>
    </row>
    <row r="222" spans="1:53" ht="24.75" customHeight="1">
      <c r="A222" s="145"/>
      <c r="B222" s="147" t="s">
        <v>2</v>
      </c>
      <c r="C222" s="147"/>
      <c r="D222" s="147"/>
      <c r="E222" s="147" t="s">
        <v>26</v>
      </c>
      <c r="F222" s="148" t="s">
        <v>1508</v>
      </c>
      <c r="G222" s="148" t="s">
        <v>1509</v>
      </c>
      <c r="H222" s="147" t="s">
        <v>20</v>
      </c>
      <c r="I222" s="147"/>
      <c r="J222" s="147" t="s">
        <v>352</v>
      </c>
      <c r="K222" s="155" t="s">
        <v>37</v>
      </c>
      <c r="L222" s="147" t="s">
        <v>563</v>
      </c>
      <c r="M222" s="155" t="s">
        <v>1510</v>
      </c>
      <c r="N222" s="147" t="s">
        <v>33</v>
      </c>
      <c r="O222" s="148"/>
      <c r="P222" s="148"/>
      <c r="Q222" s="147"/>
      <c r="R222" s="147"/>
      <c r="S222" s="147"/>
      <c r="T222" s="147"/>
      <c r="U222" s="147"/>
      <c r="V222" s="155"/>
      <c r="W222" s="147"/>
      <c r="X222" s="148"/>
      <c r="Y222" s="148"/>
      <c r="Z222" s="148"/>
      <c r="AA222" s="148"/>
      <c r="AB222" s="147"/>
      <c r="AC222" s="147"/>
      <c r="AD222" s="147"/>
      <c r="AE222" s="147"/>
      <c r="AF222" s="147"/>
      <c r="AG222" s="147"/>
      <c r="AH222" s="147"/>
      <c r="AI222" s="147"/>
      <c r="AJ222" s="147"/>
      <c r="AK222" s="147"/>
      <c r="AL222" s="147"/>
      <c r="AM222" s="147"/>
      <c r="AN222" s="152" t="str" cm="1">
        <f t="array" ref="AN222">IFERROR(
  LOOKUP(
    2,
    1/((AB222:AM222&lt;&gt;"")*(ISNUMBER(AB222:AM222)+ISNONTEXT(AB222:AM222)&gt;0)),
    {10,20,30,40,45,50,60,70,75,80,90,100}
  ) &amp; "%",
  "0%"
)</f>
        <v>0%</v>
      </c>
      <c r="AO222" s="147"/>
      <c r="AP222" s="147"/>
      <c r="AQ222" s="147"/>
      <c r="AR222" s="147"/>
      <c r="AS222" s="147"/>
      <c r="AT222" s="147"/>
      <c r="AU222" s="147"/>
      <c r="AV222" s="147"/>
      <c r="AW222" s="147"/>
      <c r="AX222" s="147"/>
      <c r="AY222" s="233"/>
      <c r="AZ222" s="147"/>
      <c r="BA222" s="147"/>
    </row>
    <row r="223" spans="1:53" ht="24.75" customHeight="1">
      <c r="A223" s="145"/>
      <c r="B223" s="147" t="s">
        <v>2</v>
      </c>
      <c r="C223" s="147"/>
      <c r="D223" s="147"/>
      <c r="E223" s="147" t="s">
        <v>26</v>
      </c>
      <c r="F223" s="148" t="s">
        <v>1511</v>
      </c>
      <c r="G223" s="148" t="s">
        <v>1512</v>
      </c>
      <c r="H223" s="147" t="s">
        <v>20</v>
      </c>
      <c r="I223" s="147"/>
      <c r="J223" s="147" t="s">
        <v>352</v>
      </c>
      <c r="K223" s="155" t="s">
        <v>37</v>
      </c>
      <c r="L223" s="147" t="s">
        <v>563</v>
      </c>
      <c r="M223" s="155" t="s">
        <v>1513</v>
      </c>
      <c r="N223" s="147" t="s">
        <v>33</v>
      </c>
      <c r="O223" s="148"/>
      <c r="P223" s="148"/>
      <c r="Q223" s="147"/>
      <c r="R223" s="147"/>
      <c r="S223" s="147"/>
      <c r="T223" s="147"/>
      <c r="U223" s="147"/>
      <c r="V223" s="155"/>
      <c r="W223" s="147"/>
      <c r="X223" s="148"/>
      <c r="Y223" s="148"/>
      <c r="Z223" s="148"/>
      <c r="AA223" s="148"/>
      <c r="AB223" s="147"/>
      <c r="AC223" s="147"/>
      <c r="AD223" s="147"/>
      <c r="AE223" s="147"/>
      <c r="AF223" s="147"/>
      <c r="AG223" s="147"/>
      <c r="AH223" s="147"/>
      <c r="AI223" s="147"/>
      <c r="AJ223" s="147"/>
      <c r="AK223" s="147"/>
      <c r="AL223" s="147"/>
      <c r="AM223" s="147"/>
      <c r="AN223" s="152" t="str" cm="1">
        <f t="array" ref="AN223">IFERROR(
  LOOKUP(
    2,
    1/((AB223:AM223&lt;&gt;"")*(ISNUMBER(AB223:AM223)+ISNONTEXT(AB223:AM223)&gt;0)),
    {10,20,30,40,45,50,60,70,75,80,90,100}
  ) &amp; "%",
  "0%"
)</f>
        <v>0%</v>
      </c>
      <c r="AO223" s="147"/>
      <c r="AP223" s="147"/>
      <c r="AQ223" s="147"/>
      <c r="AR223" s="147"/>
      <c r="AS223" s="147"/>
      <c r="AT223" s="147"/>
      <c r="AU223" s="147"/>
      <c r="AV223" s="147"/>
      <c r="AW223" s="147"/>
      <c r="AX223" s="147"/>
      <c r="AY223" s="233"/>
      <c r="AZ223" s="147"/>
      <c r="BA223" s="147"/>
    </row>
    <row r="224" spans="1:53" ht="24.75" customHeight="1">
      <c r="A224" s="145"/>
      <c r="B224" s="147" t="s">
        <v>2</v>
      </c>
      <c r="C224" s="147"/>
      <c r="D224" s="147"/>
      <c r="E224" s="147" t="s">
        <v>26</v>
      </c>
      <c r="F224" s="148" t="s">
        <v>1514</v>
      </c>
      <c r="G224" s="148" t="s">
        <v>1515</v>
      </c>
      <c r="H224" s="147" t="s">
        <v>20</v>
      </c>
      <c r="I224" s="180" t="s">
        <v>22</v>
      </c>
      <c r="J224" s="147" t="s">
        <v>39</v>
      </c>
      <c r="K224" s="155" t="s">
        <v>38</v>
      </c>
      <c r="L224" s="147" t="s">
        <v>39</v>
      </c>
      <c r="M224" s="155" t="s">
        <v>39</v>
      </c>
      <c r="N224" s="147" t="s">
        <v>32</v>
      </c>
      <c r="O224" s="148"/>
      <c r="P224" s="148"/>
      <c r="Q224" s="147"/>
      <c r="R224" s="147"/>
      <c r="S224" s="147"/>
      <c r="T224" s="147"/>
      <c r="U224" s="147"/>
      <c r="V224" s="155"/>
      <c r="W224" s="147"/>
      <c r="X224" s="148" t="s">
        <v>1516</v>
      </c>
      <c r="Y224" s="148"/>
      <c r="Z224" s="148"/>
      <c r="AA224" s="148"/>
      <c r="AB224" s="150">
        <v>46014</v>
      </c>
      <c r="AC224" s="147"/>
      <c r="AD224" s="147"/>
      <c r="AE224" s="147"/>
      <c r="AF224" s="147"/>
      <c r="AG224" s="147"/>
      <c r="AH224" s="147"/>
      <c r="AI224" s="147"/>
      <c r="AJ224" s="147"/>
      <c r="AK224" s="147"/>
      <c r="AL224" s="147"/>
      <c r="AM224" s="147"/>
      <c r="AN224" s="152" t="str" cm="1">
        <f t="array" ref="AN224">IFERROR(
  LOOKUP(
    2,
    1/((AB224:AM224&lt;&gt;"")*(ISNUMBER(AB224:AM224)+ISNONTEXT(AB224:AM224)&gt;0)),
    {10,20,30,40,45,50,60,70,75,80,90,100}
  ) &amp; "%",
  "0%"
)</f>
        <v>10%</v>
      </c>
      <c r="AO224" s="147"/>
      <c r="AP224" s="147"/>
      <c r="AQ224" s="147"/>
      <c r="AR224" s="147"/>
      <c r="AS224" s="147"/>
      <c r="AT224" s="147"/>
      <c r="AU224" s="147"/>
      <c r="AV224" s="147"/>
      <c r="AW224" s="147"/>
      <c r="AX224" s="147"/>
      <c r="AY224" s="233"/>
      <c r="AZ224" s="147"/>
      <c r="BA224" s="147"/>
    </row>
    <row r="225" spans="1:53" ht="24.75" customHeight="1">
      <c r="A225" s="145"/>
      <c r="B225" s="147" t="s">
        <v>2</v>
      </c>
      <c r="C225" s="147"/>
      <c r="D225" s="147"/>
      <c r="E225" s="147" t="s">
        <v>26</v>
      </c>
      <c r="F225" s="148" t="s">
        <v>1517</v>
      </c>
      <c r="G225" s="148" t="s">
        <v>1518</v>
      </c>
      <c r="H225" s="147" t="s">
        <v>20</v>
      </c>
      <c r="I225" s="147"/>
      <c r="J225" s="147" t="s">
        <v>352</v>
      </c>
      <c r="K225" s="155" t="s">
        <v>37</v>
      </c>
      <c r="L225" s="147" t="s">
        <v>563</v>
      </c>
      <c r="M225" s="155" t="s">
        <v>564</v>
      </c>
      <c r="N225" s="147" t="s">
        <v>32</v>
      </c>
      <c r="O225" s="148"/>
      <c r="P225" s="148"/>
      <c r="Q225" s="147"/>
      <c r="R225" s="147"/>
      <c r="S225" s="147"/>
      <c r="T225" s="147"/>
      <c r="U225" s="147"/>
      <c r="V225" s="155"/>
      <c r="W225" s="147"/>
      <c r="X225" s="161" t="s">
        <v>1519</v>
      </c>
      <c r="Y225" s="148"/>
      <c r="Z225" s="148"/>
      <c r="AA225" s="148"/>
      <c r="AB225" s="150">
        <v>46014</v>
      </c>
      <c r="AC225" s="147"/>
      <c r="AD225" s="147"/>
      <c r="AE225" s="147"/>
      <c r="AF225" s="147"/>
      <c r="AG225" s="147"/>
      <c r="AH225" s="147"/>
      <c r="AI225" s="147"/>
      <c r="AJ225" s="147"/>
      <c r="AK225" s="147"/>
      <c r="AL225" s="147"/>
      <c r="AM225" s="147"/>
      <c r="AN225" s="152" t="str" cm="1">
        <f t="array" ref="AN225">IFERROR(
  LOOKUP(
    2,
    1/((AB225:AM225&lt;&gt;"")*(ISNUMBER(AB225:AM225)+ISNONTEXT(AB225:AM225)&gt;0)),
    {10,20,30,40,45,50,60,70,75,80,90,100}
  ) &amp; "%",
  "0%"
)</f>
        <v>10%</v>
      </c>
      <c r="AO225" s="147"/>
      <c r="AP225" s="147"/>
      <c r="AQ225" s="147"/>
      <c r="AR225" s="147"/>
      <c r="AS225" s="147"/>
      <c r="AT225" s="147"/>
      <c r="AU225" s="147"/>
      <c r="AV225" s="147"/>
      <c r="AW225" s="147"/>
      <c r="AX225" s="147"/>
      <c r="AY225" s="233"/>
      <c r="AZ225" s="147"/>
      <c r="BA225" s="147"/>
    </row>
    <row r="226" spans="1:53" ht="24.75" customHeight="1">
      <c r="A226" s="145"/>
      <c r="B226" s="147" t="s">
        <v>2</v>
      </c>
      <c r="C226" s="147"/>
      <c r="D226" s="147"/>
      <c r="E226" s="147" t="s">
        <v>26</v>
      </c>
      <c r="F226" s="148" t="s">
        <v>1520</v>
      </c>
      <c r="G226" s="183" t="s">
        <v>1521</v>
      </c>
      <c r="H226" s="147" t="s">
        <v>20</v>
      </c>
      <c r="I226" s="147"/>
      <c r="J226" s="147" t="s">
        <v>324</v>
      </c>
      <c r="K226" s="155" t="s">
        <v>37</v>
      </c>
      <c r="L226" s="147" t="s">
        <v>324</v>
      </c>
      <c r="M226" s="155" t="s">
        <v>402</v>
      </c>
      <c r="N226" s="147" t="s">
        <v>32</v>
      </c>
      <c r="O226" s="148" t="s">
        <v>1522</v>
      </c>
      <c r="P226" s="148"/>
      <c r="Q226" s="147"/>
      <c r="R226" s="147"/>
      <c r="S226" s="147"/>
      <c r="T226" s="147"/>
      <c r="U226" s="147"/>
      <c r="V226" s="155"/>
      <c r="W226" s="147"/>
      <c r="X226" s="182" t="s">
        <v>1523</v>
      </c>
      <c r="Y226" s="148"/>
      <c r="Z226" s="148"/>
      <c r="AA226" s="182" t="s">
        <v>1524</v>
      </c>
      <c r="AB226" s="150">
        <v>46014</v>
      </c>
      <c r="AC226" s="150">
        <v>46027</v>
      </c>
      <c r="AD226" s="147"/>
      <c r="AE226" s="147"/>
      <c r="AF226" s="147"/>
      <c r="AG226" s="147"/>
      <c r="AH226" s="147"/>
      <c r="AI226" s="147"/>
      <c r="AJ226" s="147"/>
      <c r="AK226" s="147"/>
      <c r="AL226" s="147"/>
      <c r="AM226" s="147"/>
      <c r="AN226" s="152" t="str" cm="1">
        <f t="array" ref="AN226">IFERROR(
  LOOKUP(
    2,
    1/((AB226:AM226&lt;&gt;"")*(ISNUMBER(AB226:AM226)+ISNONTEXT(AB226:AM226)&gt;0)),
    {10,20,30,40,45,50,60,70,75,80,90,100}
  ) &amp; "%",
  "0%"
)</f>
        <v>20%</v>
      </c>
      <c r="AO226" s="147"/>
      <c r="AP226" s="147"/>
      <c r="AQ226" s="147"/>
      <c r="AR226" s="147"/>
      <c r="AS226" s="147"/>
      <c r="AT226" s="147"/>
      <c r="AU226" s="147"/>
      <c r="AV226" s="147"/>
      <c r="AW226" s="147"/>
      <c r="AX226" s="147"/>
      <c r="AY226" s="233"/>
      <c r="AZ226" s="147"/>
      <c r="BA226" s="147"/>
    </row>
    <row r="227" spans="1:53" ht="24.75" customHeight="1">
      <c r="A227" s="145"/>
      <c r="B227" s="147" t="s">
        <v>2</v>
      </c>
      <c r="C227" s="147"/>
      <c r="D227" s="147"/>
      <c r="E227" s="147" t="s">
        <v>29</v>
      </c>
      <c r="F227" s="148" t="s">
        <v>1525</v>
      </c>
      <c r="G227" s="148" t="s">
        <v>1526</v>
      </c>
      <c r="H227" s="147" t="s">
        <v>20</v>
      </c>
      <c r="I227" s="180" t="s">
        <v>22</v>
      </c>
      <c r="J227" s="147" t="s">
        <v>1074</v>
      </c>
      <c r="K227" s="155" t="s">
        <v>38</v>
      </c>
      <c r="L227" s="147" t="s">
        <v>1074</v>
      </c>
      <c r="M227" s="155" t="s">
        <v>1075</v>
      </c>
      <c r="N227" s="147" t="s">
        <v>32</v>
      </c>
      <c r="O227" s="148" t="s">
        <v>1527</v>
      </c>
      <c r="P227" s="148" t="s">
        <v>1528</v>
      </c>
      <c r="Q227" s="147"/>
      <c r="R227" s="147"/>
      <c r="S227" s="147"/>
      <c r="T227" s="147"/>
      <c r="U227" s="147"/>
      <c r="V227" s="155" t="s">
        <v>1529</v>
      </c>
      <c r="W227" s="147"/>
      <c r="X227" s="161" t="s">
        <v>1530</v>
      </c>
      <c r="Y227" s="148"/>
      <c r="Z227" s="148"/>
      <c r="AA227" s="148"/>
      <c r="AB227" s="150">
        <v>46021</v>
      </c>
      <c r="AC227" s="147"/>
      <c r="AD227" s="147"/>
      <c r="AE227" s="147"/>
      <c r="AF227" s="147"/>
      <c r="AG227" s="147"/>
      <c r="AH227" s="147"/>
      <c r="AI227" s="147"/>
      <c r="AJ227" s="147"/>
      <c r="AK227" s="147"/>
      <c r="AL227" s="147"/>
      <c r="AM227" s="147"/>
      <c r="AN227" s="152" t="str" cm="1">
        <f t="array" ref="AN227">IFERROR(
  LOOKUP(
    2,
    1/((AB227:AM227&lt;&gt;"")*(ISNUMBER(AB227:AM227)+ISNONTEXT(AB227:AM227)&gt;0)),
    {10,20,30,40,45,50,60,70,75,80,90,100}
  ) &amp; "%",
  "0%"
)</f>
        <v>10%</v>
      </c>
      <c r="AO227" s="147"/>
      <c r="AP227" s="147"/>
      <c r="AQ227" s="147"/>
      <c r="AR227" s="147"/>
      <c r="AS227" s="147"/>
      <c r="AT227" s="147"/>
      <c r="AU227" s="147"/>
      <c r="AV227" s="147"/>
      <c r="AW227" s="147"/>
      <c r="AX227" s="147"/>
      <c r="AY227" s="233"/>
      <c r="AZ227" s="147"/>
      <c r="BA227" s="147"/>
    </row>
    <row r="228" spans="1:53" ht="24.75" customHeight="1">
      <c r="A228" s="145"/>
      <c r="B228" s="147" t="s">
        <v>2</v>
      </c>
      <c r="C228" s="147"/>
      <c r="D228" s="147"/>
      <c r="E228" s="147" t="s">
        <v>26</v>
      </c>
      <c r="F228" s="148" t="s">
        <v>1531</v>
      </c>
      <c r="G228" s="148" t="s">
        <v>1532</v>
      </c>
      <c r="H228" s="147" t="s">
        <v>21</v>
      </c>
      <c r="I228" s="147" t="s">
        <v>22</v>
      </c>
      <c r="J228" s="147" t="s">
        <v>827</v>
      </c>
      <c r="K228" s="155" t="s">
        <v>38</v>
      </c>
      <c r="L228" s="147" t="s">
        <v>827</v>
      </c>
      <c r="M228" s="155" t="s">
        <v>1284</v>
      </c>
      <c r="N228" s="147" t="s">
        <v>32</v>
      </c>
      <c r="O228" s="148" t="s">
        <v>1533</v>
      </c>
      <c r="P228" s="148" t="s">
        <v>1534</v>
      </c>
      <c r="Q228" s="147"/>
      <c r="R228" s="147"/>
      <c r="S228" s="147"/>
      <c r="T228" s="147"/>
      <c r="U228" s="147"/>
      <c r="V228" s="155" t="s">
        <v>1535</v>
      </c>
      <c r="W228" s="147"/>
      <c r="X228" s="161" t="s">
        <v>1536</v>
      </c>
      <c r="Y228" s="148"/>
      <c r="Z228" s="148"/>
      <c r="AA228" s="148"/>
      <c r="AB228" s="150">
        <v>46048</v>
      </c>
      <c r="AC228" s="147"/>
      <c r="AD228" s="147"/>
      <c r="AE228" s="147"/>
      <c r="AF228" s="147"/>
      <c r="AG228" s="147"/>
      <c r="AH228" s="147"/>
      <c r="AI228" s="147"/>
      <c r="AJ228" s="147"/>
      <c r="AK228" s="147"/>
      <c r="AL228" s="147"/>
      <c r="AM228" s="147"/>
      <c r="AN228" s="152" t="str" cm="1">
        <f t="array" ref="AN228">IFERROR(
  LOOKUP(
    2,
    1/((AB228:AM228&lt;&gt;"")*(ISNUMBER(AB228:AM228)+ISNONTEXT(AB228:AM228)&gt;0)),
    {10,20,30,40,45,50,60,70,75,80,90,100}
  ) &amp; "%",
  "0%"
)</f>
        <v>10%</v>
      </c>
      <c r="AO228" s="147"/>
      <c r="AP228" s="147"/>
      <c r="AQ228" s="147"/>
      <c r="AR228" s="147"/>
      <c r="AS228" s="147"/>
      <c r="AT228" s="147"/>
      <c r="AU228" s="147"/>
      <c r="AV228" s="147"/>
      <c r="AW228" s="147"/>
      <c r="AX228" s="147"/>
      <c r="AY228" s="233"/>
      <c r="AZ228" s="147"/>
      <c r="BA228" s="147"/>
    </row>
    <row r="229" spans="1:53" ht="24.75" customHeight="1">
      <c r="A229" s="145"/>
      <c r="B229" s="147" t="s">
        <v>2</v>
      </c>
      <c r="C229" s="147"/>
      <c r="D229" s="147"/>
      <c r="E229" s="147"/>
      <c r="F229" s="148" t="s">
        <v>1537</v>
      </c>
      <c r="G229" s="148" t="s">
        <v>1538</v>
      </c>
      <c r="H229" s="147" t="s">
        <v>20</v>
      </c>
      <c r="I229" s="147"/>
      <c r="J229" s="147" t="s">
        <v>352</v>
      </c>
      <c r="K229" s="155" t="s">
        <v>37</v>
      </c>
      <c r="L229" s="147" t="s">
        <v>563</v>
      </c>
      <c r="M229" s="155" t="s">
        <v>753</v>
      </c>
      <c r="N229" s="147" t="s">
        <v>33</v>
      </c>
      <c r="O229" s="148" t="s">
        <v>1539</v>
      </c>
      <c r="P229" s="148" t="s">
        <v>635</v>
      </c>
      <c r="Q229" s="147"/>
      <c r="R229" s="147"/>
      <c r="S229" s="147"/>
      <c r="T229" s="147"/>
      <c r="U229" s="147"/>
      <c r="V229" s="155" t="s">
        <v>1540</v>
      </c>
      <c r="W229" s="147"/>
      <c r="X229" s="161" t="s">
        <v>1541</v>
      </c>
      <c r="Y229" s="148"/>
      <c r="Z229" s="148"/>
      <c r="AA229" s="148" t="s">
        <v>1542</v>
      </c>
      <c r="AB229" s="150">
        <v>46051</v>
      </c>
      <c r="AC229" s="147"/>
      <c r="AD229" s="147"/>
      <c r="AE229" s="147"/>
      <c r="AF229" s="147"/>
      <c r="AG229" s="147"/>
      <c r="AH229" s="147"/>
      <c r="AI229" s="147"/>
      <c r="AJ229" s="147"/>
      <c r="AK229" s="147"/>
      <c r="AL229" s="147"/>
      <c r="AM229" s="147"/>
      <c r="AN229" s="152" t="str" cm="1">
        <f t="array" ref="AN229">IFERROR(
  LOOKUP(
    2,
    1/((AB229:AM229&lt;&gt;"")*(ISNUMBER(AB229:AM229)+ISNONTEXT(AB229:AM229)&gt;0)),
    {10,20,30,40,45,50,60,70,75,80,90,100}
  ) &amp; "%",
  "0%"
)</f>
        <v>10%</v>
      </c>
      <c r="AO229" s="147"/>
      <c r="AP229" s="147"/>
      <c r="AQ229" s="147"/>
      <c r="AR229" s="147"/>
      <c r="AS229" s="147"/>
      <c r="AT229" s="147"/>
      <c r="AU229" s="147"/>
      <c r="AV229" s="147"/>
      <c r="AW229" s="147"/>
      <c r="AX229" s="147"/>
      <c r="AY229" s="233"/>
      <c r="AZ229" s="147"/>
      <c r="BA229" s="147"/>
    </row>
    <row r="230" spans="1:53" ht="24.75" customHeight="1">
      <c r="A230" s="145"/>
      <c r="B230" s="147" t="s">
        <v>2</v>
      </c>
      <c r="C230" s="147"/>
      <c r="D230" s="147"/>
      <c r="E230" s="147" t="s">
        <v>26</v>
      </c>
      <c r="F230" s="148" t="s">
        <v>1543</v>
      </c>
      <c r="G230" s="148" t="s">
        <v>1544</v>
      </c>
      <c r="H230" s="147" t="s">
        <v>21</v>
      </c>
      <c r="I230" s="147" t="s">
        <v>22</v>
      </c>
      <c r="J230" s="147" t="s">
        <v>1545</v>
      </c>
      <c r="K230" s="155" t="s">
        <v>38</v>
      </c>
      <c r="L230" s="147" t="s">
        <v>1306</v>
      </c>
      <c r="M230" s="155" t="s">
        <v>1546</v>
      </c>
      <c r="N230" s="147" t="s">
        <v>32</v>
      </c>
      <c r="O230" s="148" t="s">
        <v>1547</v>
      </c>
      <c r="P230" s="148" t="s">
        <v>1548</v>
      </c>
      <c r="Q230" s="147"/>
      <c r="R230" s="147"/>
      <c r="S230" s="147"/>
      <c r="T230" s="147"/>
      <c r="U230" s="147"/>
      <c r="V230" s="155" t="s">
        <v>1549</v>
      </c>
      <c r="W230" s="147"/>
      <c r="X230" s="161" t="s">
        <v>1550</v>
      </c>
      <c r="Y230" s="148"/>
      <c r="Z230" s="161" t="s">
        <v>1551</v>
      </c>
      <c r="AA230" s="148" t="s">
        <v>1552</v>
      </c>
      <c r="AB230" s="147"/>
      <c r="AC230" s="147"/>
      <c r="AD230" s="147"/>
      <c r="AE230" s="147"/>
      <c r="AF230" s="147"/>
      <c r="AG230" s="147"/>
      <c r="AH230" s="147"/>
      <c r="AI230" s="147"/>
      <c r="AJ230" s="147"/>
      <c r="AK230" s="147"/>
      <c r="AL230" s="147"/>
      <c r="AM230" s="147"/>
      <c r="AN230" s="147"/>
      <c r="AO230" s="147"/>
      <c r="AP230" s="147"/>
      <c r="AQ230" s="147"/>
      <c r="AR230" s="147"/>
      <c r="AS230" s="147"/>
      <c r="AT230" s="147"/>
      <c r="AU230" s="147"/>
      <c r="AV230" s="147"/>
      <c r="AW230" s="147"/>
      <c r="AX230" s="147"/>
      <c r="AY230" s="233"/>
      <c r="AZ230" s="147"/>
      <c r="BA230" s="147"/>
    </row>
    <row r="231" spans="1:53" ht="24.75" customHeight="1">
      <c r="A231" s="145"/>
      <c r="B231" s="147" t="s">
        <v>2</v>
      </c>
      <c r="C231" s="147"/>
      <c r="D231" s="147"/>
      <c r="E231" s="147" t="s">
        <v>26</v>
      </c>
      <c r="F231" s="148" t="s">
        <v>1553</v>
      </c>
      <c r="G231" s="148" t="s">
        <v>1553</v>
      </c>
      <c r="H231" s="147" t="s">
        <v>20</v>
      </c>
      <c r="I231" s="147"/>
      <c r="J231" s="147" t="s">
        <v>324</v>
      </c>
      <c r="K231" s="155" t="s">
        <v>37</v>
      </c>
      <c r="L231" s="147" t="s">
        <v>324</v>
      </c>
      <c r="M231" s="155" t="s">
        <v>402</v>
      </c>
      <c r="N231" s="147" t="s">
        <v>32</v>
      </c>
      <c r="O231" s="148"/>
      <c r="P231" s="148"/>
      <c r="Q231" s="147"/>
      <c r="R231" s="147"/>
      <c r="S231" s="147"/>
      <c r="T231" s="147"/>
      <c r="U231" s="147"/>
      <c r="V231" s="155"/>
      <c r="W231" s="147"/>
      <c r="X231" s="148"/>
      <c r="Y231" s="148"/>
      <c r="Z231" s="159" t="s">
        <v>1554</v>
      </c>
      <c r="AA231" s="148" t="s">
        <v>1555</v>
      </c>
      <c r="AB231" s="147"/>
      <c r="AC231" s="147"/>
      <c r="AD231" s="147"/>
      <c r="AE231" s="147"/>
      <c r="AF231" s="147"/>
      <c r="AG231" s="147"/>
      <c r="AH231" s="147"/>
      <c r="AI231" s="147"/>
      <c r="AJ231" s="147"/>
      <c r="AK231" s="147"/>
      <c r="AL231" s="147"/>
      <c r="AM231" s="147"/>
      <c r="AN231" s="147"/>
      <c r="AO231" s="147"/>
      <c r="AP231" s="147"/>
      <c r="AQ231" s="147"/>
      <c r="AR231" s="147"/>
      <c r="AS231" s="147"/>
      <c r="AT231" s="147"/>
      <c r="AU231" s="147"/>
      <c r="AV231" s="147"/>
      <c r="AW231" s="147"/>
      <c r="AX231" s="147"/>
      <c r="AY231" s="233"/>
      <c r="AZ231" s="147"/>
      <c r="BA231" s="147"/>
    </row>
    <row r="232" spans="1:53" ht="24.75" customHeight="1">
      <c r="A232" s="145"/>
      <c r="B232" s="147" t="s">
        <v>2</v>
      </c>
      <c r="C232" s="147"/>
      <c r="D232" s="147"/>
      <c r="E232" s="147" t="s">
        <v>26</v>
      </c>
      <c r="F232" s="148" t="s">
        <v>1556</v>
      </c>
      <c r="G232" s="148" t="s">
        <v>1556</v>
      </c>
      <c r="H232" s="147" t="s">
        <v>21</v>
      </c>
      <c r="I232" s="147" t="s">
        <v>22</v>
      </c>
      <c r="J232" s="147" t="s">
        <v>469</v>
      </c>
      <c r="K232" s="155" t="s">
        <v>801</v>
      </c>
      <c r="L232" s="147" t="s">
        <v>469</v>
      </c>
      <c r="M232" s="155" t="s">
        <v>470</v>
      </c>
      <c r="N232" s="147" t="s">
        <v>32</v>
      </c>
      <c r="O232" s="148"/>
      <c r="P232" s="148"/>
      <c r="Q232" s="147"/>
      <c r="R232" s="147"/>
      <c r="S232" s="147"/>
      <c r="T232" s="147"/>
      <c r="U232" s="147"/>
      <c r="V232" s="155" t="s">
        <v>1557</v>
      </c>
      <c r="W232" s="147"/>
      <c r="X232" s="148" t="s">
        <v>1558</v>
      </c>
      <c r="Y232" s="148"/>
      <c r="Z232" s="148" t="s">
        <v>1559</v>
      </c>
      <c r="AA232" s="148" t="s">
        <v>1560</v>
      </c>
      <c r="AB232" s="147"/>
      <c r="AC232" s="147"/>
      <c r="AD232" s="147"/>
      <c r="AE232" s="147"/>
      <c r="AF232" s="147"/>
      <c r="AG232" s="147"/>
      <c r="AH232" s="147"/>
      <c r="AI232" s="147"/>
      <c r="AJ232" s="147"/>
      <c r="AK232" s="147"/>
      <c r="AL232" s="147"/>
      <c r="AM232" s="147"/>
      <c r="AN232" s="147"/>
      <c r="AO232" s="147"/>
      <c r="AP232" s="147"/>
      <c r="AQ232" s="147"/>
      <c r="AR232" s="147"/>
      <c r="AS232" s="147"/>
      <c r="AT232" s="147"/>
      <c r="AU232" s="147"/>
      <c r="AV232" s="147"/>
      <c r="AW232" s="147"/>
      <c r="AX232" s="147"/>
      <c r="AY232" s="233"/>
      <c r="AZ232" s="147"/>
      <c r="BA232" s="147"/>
    </row>
    <row r="233" spans="1:53" ht="24.75" customHeight="1">
      <c r="A233" s="145"/>
      <c r="B233" s="147" t="s">
        <v>2</v>
      </c>
      <c r="C233" s="147"/>
      <c r="D233" s="147"/>
      <c r="E233" s="147" t="s">
        <v>26</v>
      </c>
      <c r="F233" s="148" t="s">
        <v>1561</v>
      </c>
      <c r="G233" s="148" t="s">
        <v>1561</v>
      </c>
      <c r="H233" s="147" t="s">
        <v>21</v>
      </c>
      <c r="I233" s="147" t="s">
        <v>22</v>
      </c>
      <c r="J233" s="147" t="s">
        <v>469</v>
      </c>
      <c r="K233" s="155" t="s">
        <v>801</v>
      </c>
      <c r="L233" s="147" t="s">
        <v>469</v>
      </c>
      <c r="M233" s="155" t="s">
        <v>470</v>
      </c>
      <c r="N233" s="147" t="s">
        <v>32</v>
      </c>
      <c r="O233" s="148"/>
      <c r="P233" s="148"/>
      <c r="Q233" s="147"/>
      <c r="R233" s="147"/>
      <c r="S233" s="147"/>
      <c r="T233" s="147"/>
      <c r="U233" s="147"/>
      <c r="V233" s="155" t="s">
        <v>1562</v>
      </c>
      <c r="W233" s="147"/>
      <c r="X233" s="148" t="s">
        <v>1563</v>
      </c>
      <c r="Y233" s="148"/>
      <c r="Z233" s="148" t="s">
        <v>1564</v>
      </c>
      <c r="AA233" s="148" t="s">
        <v>1565</v>
      </c>
      <c r="AB233" s="147"/>
      <c r="AC233" s="147"/>
      <c r="AD233" s="147"/>
      <c r="AE233" s="147"/>
      <c r="AF233" s="147"/>
      <c r="AG233" s="147"/>
      <c r="AH233" s="147"/>
      <c r="AI233" s="147"/>
      <c r="AJ233" s="147"/>
      <c r="AK233" s="147"/>
      <c r="AL233" s="147"/>
      <c r="AM233" s="147"/>
      <c r="AN233" s="147"/>
      <c r="AO233" s="147"/>
      <c r="AP233" s="147"/>
      <c r="AQ233" s="147"/>
      <c r="AR233" s="147"/>
      <c r="AS233" s="147"/>
      <c r="AT233" s="147"/>
      <c r="AU233" s="147"/>
      <c r="AV233" s="147"/>
      <c r="AW233" s="147"/>
      <c r="AX233" s="147"/>
      <c r="AY233" s="233"/>
      <c r="AZ233" s="147"/>
      <c r="BA233" s="147"/>
    </row>
    <row r="234" spans="1:53" ht="24.75" customHeight="1">
      <c r="A234" s="145"/>
      <c r="B234" s="147" t="s">
        <v>2</v>
      </c>
      <c r="C234" s="147"/>
      <c r="D234" s="147"/>
      <c r="E234" s="147" t="s">
        <v>26</v>
      </c>
      <c r="F234" s="148" t="s">
        <v>1566</v>
      </c>
      <c r="G234" s="148" t="s">
        <v>1567</v>
      </c>
      <c r="H234" s="147" t="s">
        <v>21</v>
      </c>
      <c r="I234" s="147" t="s">
        <v>22</v>
      </c>
      <c r="J234" s="147" t="s">
        <v>469</v>
      </c>
      <c r="K234" s="155" t="s">
        <v>801</v>
      </c>
      <c r="L234" s="147" t="s">
        <v>469</v>
      </c>
      <c r="M234" s="155" t="s">
        <v>470</v>
      </c>
      <c r="N234" s="147" t="s">
        <v>32</v>
      </c>
      <c r="O234" s="148"/>
      <c r="P234" s="148"/>
      <c r="Q234" s="147"/>
      <c r="R234" s="147"/>
      <c r="S234" s="147"/>
      <c r="T234" s="147"/>
      <c r="U234" s="147"/>
      <c r="V234" s="155" t="s">
        <v>1568</v>
      </c>
      <c r="W234" s="147"/>
      <c r="X234" s="148" t="s">
        <v>1569</v>
      </c>
      <c r="Y234" s="148"/>
      <c r="Z234" s="148" t="s">
        <v>1570</v>
      </c>
      <c r="AA234" s="148" t="s">
        <v>1571</v>
      </c>
      <c r="AB234" s="147"/>
      <c r="AC234" s="147"/>
      <c r="AD234" s="147"/>
      <c r="AE234" s="147"/>
      <c r="AF234" s="147"/>
      <c r="AG234" s="147"/>
      <c r="AH234" s="147"/>
      <c r="AI234" s="147"/>
      <c r="AJ234" s="147"/>
      <c r="AK234" s="147"/>
      <c r="AL234" s="147"/>
      <c r="AM234" s="147"/>
      <c r="AN234" s="147"/>
      <c r="AO234" s="147"/>
      <c r="AP234" s="147"/>
      <c r="AQ234" s="147"/>
      <c r="AR234" s="147"/>
      <c r="AS234" s="147"/>
      <c r="AT234" s="147"/>
      <c r="AU234" s="147"/>
      <c r="AV234" s="147"/>
      <c r="AW234" s="147"/>
      <c r="AX234" s="147"/>
      <c r="AY234" s="233"/>
      <c r="AZ234" s="147"/>
      <c r="BA234" s="147"/>
    </row>
    <row r="235" spans="1:53" ht="24.75" customHeight="1">
      <c r="A235" s="145"/>
      <c r="B235" s="147" t="s">
        <v>2</v>
      </c>
      <c r="C235" s="147"/>
      <c r="D235" s="147"/>
      <c r="E235" s="147" t="s">
        <v>26</v>
      </c>
      <c r="F235" s="148" t="s">
        <v>1572</v>
      </c>
      <c r="G235" s="148" t="s">
        <v>1573</v>
      </c>
      <c r="H235" s="147" t="s">
        <v>21</v>
      </c>
      <c r="I235" s="147" t="s">
        <v>22</v>
      </c>
      <c r="J235" s="147" t="s">
        <v>469</v>
      </c>
      <c r="K235" s="155" t="s">
        <v>801</v>
      </c>
      <c r="L235" s="147" t="s">
        <v>469</v>
      </c>
      <c r="M235" s="155" t="s">
        <v>470</v>
      </c>
      <c r="N235" s="147" t="s">
        <v>32</v>
      </c>
      <c r="O235" s="148"/>
      <c r="P235" s="148"/>
      <c r="Q235" s="147"/>
      <c r="R235" s="147"/>
      <c r="S235" s="147"/>
      <c r="T235" s="147"/>
      <c r="U235" s="147"/>
      <c r="V235" s="155" t="s">
        <v>1574</v>
      </c>
      <c r="W235" s="147"/>
      <c r="X235" s="148" t="s">
        <v>1575</v>
      </c>
      <c r="Y235" s="148"/>
      <c r="Z235" s="148" t="s">
        <v>1576</v>
      </c>
      <c r="AA235" s="148" t="s">
        <v>1577</v>
      </c>
      <c r="AB235" s="147"/>
      <c r="AC235" s="147"/>
      <c r="AD235" s="147"/>
      <c r="AE235" s="147"/>
      <c r="AF235" s="147"/>
      <c r="AG235" s="147"/>
      <c r="AH235" s="147"/>
      <c r="AI235" s="147"/>
      <c r="AJ235" s="147"/>
      <c r="AK235" s="147"/>
      <c r="AL235" s="147"/>
      <c r="AM235" s="147"/>
      <c r="AN235" s="147"/>
      <c r="AO235" s="147"/>
      <c r="AP235" s="147"/>
      <c r="AQ235" s="147"/>
      <c r="AR235" s="147"/>
      <c r="AS235" s="147"/>
      <c r="AT235" s="147"/>
      <c r="AU235" s="147"/>
      <c r="AV235" s="147"/>
      <c r="AW235" s="147"/>
      <c r="AX235" s="147"/>
      <c r="AY235" s="233"/>
      <c r="AZ235" s="147"/>
      <c r="BA235" s="147"/>
    </row>
    <row r="236" spans="1:53" ht="24.75" customHeight="1">
      <c r="A236" s="145"/>
      <c r="B236" s="147" t="s">
        <v>2</v>
      </c>
      <c r="C236" s="147"/>
      <c r="D236" s="147"/>
      <c r="E236" s="147" t="s">
        <v>26</v>
      </c>
      <c r="F236" s="148" t="s">
        <v>1578</v>
      </c>
      <c r="G236" s="148" t="s">
        <v>1579</v>
      </c>
      <c r="H236" s="147" t="s">
        <v>21</v>
      </c>
      <c r="I236" s="147" t="s">
        <v>22</v>
      </c>
      <c r="J236" s="147" t="s">
        <v>469</v>
      </c>
      <c r="K236" s="155" t="s">
        <v>801</v>
      </c>
      <c r="L236" s="147" t="s">
        <v>469</v>
      </c>
      <c r="M236" s="155" t="s">
        <v>470</v>
      </c>
      <c r="N236" s="147" t="s">
        <v>32</v>
      </c>
      <c r="O236" s="148"/>
      <c r="P236" s="148"/>
      <c r="Q236" s="147"/>
      <c r="R236" s="147"/>
      <c r="S236" s="147"/>
      <c r="T236" s="147"/>
      <c r="U236" s="147"/>
      <c r="V236" s="155" t="s">
        <v>1580</v>
      </c>
      <c r="W236" s="147"/>
      <c r="X236" s="148" t="s">
        <v>1581</v>
      </c>
      <c r="Y236" s="148" t="s">
        <v>1582</v>
      </c>
      <c r="Z236" s="148" t="s">
        <v>1583</v>
      </c>
      <c r="AA236" s="148" t="s">
        <v>1584</v>
      </c>
      <c r="AB236" s="147"/>
      <c r="AC236" s="147"/>
      <c r="AD236" s="147"/>
      <c r="AE236" s="147"/>
      <c r="AF236" s="147"/>
      <c r="AG236" s="147"/>
      <c r="AH236" s="147"/>
      <c r="AI236" s="147"/>
      <c r="AJ236" s="147"/>
      <c r="AK236" s="147"/>
      <c r="AL236" s="147"/>
      <c r="AM236" s="147"/>
      <c r="AN236" s="147"/>
      <c r="AO236" s="147"/>
      <c r="AP236" s="147"/>
      <c r="AQ236" s="147"/>
      <c r="AR236" s="147"/>
      <c r="AS236" s="147"/>
      <c r="AT236" s="147"/>
      <c r="AU236" s="147"/>
      <c r="AV236" s="147"/>
      <c r="AW236" s="147"/>
      <c r="AX236" s="147"/>
      <c r="AY236" s="233"/>
      <c r="AZ236" s="147"/>
      <c r="BA236" s="147"/>
    </row>
    <row r="237" spans="1:53" ht="24.75" customHeight="1">
      <c r="A237" s="145"/>
      <c r="B237" s="147" t="s">
        <v>2</v>
      </c>
      <c r="C237" s="147"/>
      <c r="D237" s="147"/>
      <c r="E237" s="147" t="s">
        <v>26</v>
      </c>
      <c r="F237" s="148" t="s">
        <v>1585</v>
      </c>
      <c r="G237" s="148" t="s">
        <v>1586</v>
      </c>
      <c r="H237" s="147" t="s">
        <v>21</v>
      </c>
      <c r="I237" s="147" t="s">
        <v>22</v>
      </c>
      <c r="J237" s="147" t="s">
        <v>469</v>
      </c>
      <c r="K237" s="155" t="s">
        <v>801</v>
      </c>
      <c r="L237" s="147" t="s">
        <v>469</v>
      </c>
      <c r="M237" s="155" t="s">
        <v>470</v>
      </c>
      <c r="N237" s="147" t="s">
        <v>33</v>
      </c>
      <c r="O237" s="148"/>
      <c r="P237" s="148"/>
      <c r="Q237" s="147"/>
      <c r="R237" s="147"/>
      <c r="S237" s="147"/>
      <c r="T237" s="147"/>
      <c r="U237" s="147"/>
      <c r="V237" s="155" t="s">
        <v>1587</v>
      </c>
      <c r="W237" s="147"/>
      <c r="X237" s="148" t="s">
        <v>1588</v>
      </c>
      <c r="Y237" s="148" t="s">
        <v>1589</v>
      </c>
      <c r="Z237" s="148" t="s">
        <v>1590</v>
      </c>
      <c r="AA237" s="148" t="s">
        <v>1591</v>
      </c>
      <c r="AB237" s="147"/>
      <c r="AC237" s="147"/>
      <c r="AD237" s="147"/>
      <c r="AE237" s="147"/>
      <c r="AF237" s="147"/>
      <c r="AG237" s="147"/>
      <c r="AH237" s="147"/>
      <c r="AI237" s="147"/>
      <c r="AJ237" s="147"/>
      <c r="AK237" s="147"/>
      <c r="AL237" s="147"/>
      <c r="AM237" s="147"/>
      <c r="AN237" s="147"/>
      <c r="AO237" s="147"/>
      <c r="AP237" s="147"/>
      <c r="AQ237" s="147"/>
      <c r="AR237" s="147"/>
      <c r="AS237" s="147"/>
      <c r="AT237" s="147"/>
      <c r="AU237" s="147"/>
      <c r="AV237" s="147"/>
      <c r="AW237" s="147"/>
      <c r="AX237" s="147"/>
      <c r="AY237" s="233"/>
      <c r="AZ237" s="147"/>
      <c r="BA237" s="147"/>
    </row>
    <row r="238" spans="1:53" ht="24.75" customHeight="1">
      <c r="A238" s="145"/>
      <c r="B238" s="147" t="s">
        <v>2</v>
      </c>
      <c r="C238" s="147"/>
      <c r="D238" s="147"/>
      <c r="E238" s="147" t="s">
        <v>26</v>
      </c>
      <c r="F238" s="148" t="s">
        <v>1592</v>
      </c>
      <c r="G238" s="148" t="s">
        <v>1593</v>
      </c>
      <c r="H238" s="147" t="s">
        <v>21</v>
      </c>
      <c r="I238" s="147" t="s">
        <v>22</v>
      </c>
      <c r="J238" s="147" t="s">
        <v>469</v>
      </c>
      <c r="K238" s="155" t="s">
        <v>801</v>
      </c>
      <c r="L238" s="147" t="s">
        <v>469</v>
      </c>
      <c r="M238" s="155" t="s">
        <v>470</v>
      </c>
      <c r="N238" s="147" t="s">
        <v>32</v>
      </c>
      <c r="O238" s="148"/>
      <c r="P238" s="148"/>
      <c r="Q238" s="147"/>
      <c r="R238" s="147"/>
      <c r="S238" s="147"/>
      <c r="T238" s="147"/>
      <c r="U238" s="147"/>
      <c r="V238" s="155" t="s">
        <v>1594</v>
      </c>
      <c r="W238" s="147"/>
      <c r="X238" s="148" t="s">
        <v>1595</v>
      </c>
      <c r="Y238" s="148" t="s">
        <v>1596</v>
      </c>
      <c r="Z238" s="148" t="s">
        <v>1597</v>
      </c>
      <c r="AA238" s="148" t="s">
        <v>1598</v>
      </c>
      <c r="AB238" s="147"/>
      <c r="AC238" s="147"/>
      <c r="AD238" s="147"/>
      <c r="AE238" s="147"/>
      <c r="AF238" s="147"/>
      <c r="AG238" s="147"/>
      <c r="AH238" s="147"/>
      <c r="AI238" s="147"/>
      <c r="AJ238" s="147"/>
      <c r="AK238" s="147"/>
      <c r="AL238" s="147"/>
      <c r="AM238" s="147"/>
      <c r="AN238" s="147"/>
      <c r="AO238" s="147"/>
      <c r="AP238" s="147"/>
      <c r="AQ238" s="147"/>
      <c r="AR238" s="147"/>
      <c r="AS238" s="147"/>
      <c r="AT238" s="147"/>
      <c r="AU238" s="147"/>
      <c r="AV238" s="147"/>
      <c r="AW238" s="147"/>
      <c r="AX238" s="147"/>
      <c r="AY238" s="233"/>
      <c r="AZ238" s="147"/>
      <c r="BA238" s="147"/>
    </row>
    <row r="239" spans="1:53" s="17" customFormat="1" ht="24.75" customHeight="1">
      <c r="A239" s="163" t="s">
        <v>1599</v>
      </c>
      <c r="B239" s="164" t="s">
        <v>2</v>
      </c>
      <c r="C239" s="164"/>
      <c r="D239" s="164"/>
      <c r="E239" s="147" t="s">
        <v>26</v>
      </c>
      <c r="F239" s="195" t="s">
        <v>1600</v>
      </c>
      <c r="G239" s="195" t="s">
        <v>1601</v>
      </c>
      <c r="H239" s="164" t="s">
        <v>21</v>
      </c>
      <c r="I239" s="147" t="s">
        <v>22</v>
      </c>
      <c r="J239" s="164" t="s">
        <v>469</v>
      </c>
      <c r="K239" s="203" t="s">
        <v>801</v>
      </c>
      <c r="L239" s="164" t="s">
        <v>469</v>
      </c>
      <c r="M239" s="203" t="s">
        <v>470</v>
      </c>
      <c r="N239" s="164" t="s">
        <v>32</v>
      </c>
      <c r="O239" s="195"/>
      <c r="P239" s="195"/>
      <c r="Q239" s="164"/>
      <c r="R239" s="164"/>
      <c r="S239" s="164"/>
      <c r="T239" s="164"/>
      <c r="U239" s="164"/>
      <c r="V239" s="203" t="s">
        <v>1602</v>
      </c>
      <c r="W239" s="164"/>
      <c r="X239" s="195" t="s">
        <v>1603</v>
      </c>
      <c r="Y239" s="195" t="s">
        <v>1604</v>
      </c>
      <c r="Z239" s="195" t="s">
        <v>1605</v>
      </c>
      <c r="AA239" s="195" t="s">
        <v>1606</v>
      </c>
      <c r="AB239" s="164"/>
      <c r="AC239" s="164"/>
      <c r="AD239" s="164"/>
      <c r="AE239" s="164"/>
      <c r="AF239" s="164"/>
      <c r="AG239" s="164"/>
      <c r="AH239" s="164"/>
      <c r="AI239" s="164"/>
      <c r="AJ239" s="164"/>
      <c r="AK239" s="164"/>
      <c r="AL239" s="164"/>
      <c r="AM239" s="164"/>
      <c r="AN239" s="164"/>
      <c r="AO239" s="164"/>
      <c r="AP239" s="164"/>
      <c r="AQ239" s="164"/>
      <c r="AR239" s="164"/>
      <c r="AS239" s="164"/>
      <c r="AT239" s="164"/>
      <c r="AU239" s="164"/>
      <c r="AV239" s="164"/>
      <c r="AW239" s="164"/>
      <c r="AX239" s="164"/>
      <c r="AY239" s="234"/>
      <c r="AZ239" s="164"/>
      <c r="BA239" s="164"/>
    </row>
    <row r="240" spans="1:53" ht="24.75" customHeight="1">
      <c r="A240" s="145"/>
      <c r="B240" s="147" t="s">
        <v>2</v>
      </c>
      <c r="C240" s="147"/>
      <c r="D240" s="147"/>
      <c r="E240" s="147" t="s">
        <v>26</v>
      </c>
      <c r="F240" s="148" t="s">
        <v>1607</v>
      </c>
      <c r="G240" s="148" t="s">
        <v>1608</v>
      </c>
      <c r="H240" s="147" t="s">
        <v>21</v>
      </c>
      <c r="I240" s="147" t="s">
        <v>22</v>
      </c>
      <c r="J240" s="147" t="s">
        <v>469</v>
      </c>
      <c r="K240" s="155" t="s">
        <v>801</v>
      </c>
      <c r="L240" s="147" t="s">
        <v>469</v>
      </c>
      <c r="M240" s="155" t="s">
        <v>470</v>
      </c>
      <c r="N240" s="147" t="s">
        <v>32</v>
      </c>
      <c r="O240" s="148"/>
      <c r="P240" s="148"/>
      <c r="Q240" s="147"/>
      <c r="R240" s="147"/>
      <c r="S240" s="147"/>
      <c r="T240" s="147"/>
      <c r="U240" s="147"/>
      <c r="V240" s="155" t="s">
        <v>1609</v>
      </c>
      <c r="W240" s="147"/>
      <c r="X240" s="148" t="s">
        <v>1610</v>
      </c>
      <c r="Y240" s="148" t="s">
        <v>1611</v>
      </c>
      <c r="Z240" s="148" t="s">
        <v>1612</v>
      </c>
      <c r="AA240" s="148" t="s">
        <v>1613</v>
      </c>
      <c r="AB240" s="147"/>
      <c r="AC240" s="147"/>
      <c r="AD240" s="147"/>
      <c r="AE240" s="147"/>
      <c r="AF240" s="147"/>
      <c r="AG240" s="147"/>
      <c r="AH240" s="147"/>
      <c r="AI240" s="147"/>
      <c r="AJ240" s="147"/>
      <c r="AK240" s="147"/>
      <c r="AL240" s="147"/>
      <c r="AM240" s="147"/>
      <c r="AN240" s="147"/>
      <c r="AO240" s="147"/>
      <c r="AP240" s="147"/>
      <c r="AQ240" s="147"/>
      <c r="AR240" s="147"/>
      <c r="AS240" s="147"/>
      <c r="AT240" s="147"/>
      <c r="AU240" s="147"/>
      <c r="AV240" s="147"/>
      <c r="AW240" s="147"/>
      <c r="AX240" s="147"/>
      <c r="AY240" s="233"/>
      <c r="AZ240" s="147"/>
      <c r="BA240" s="147"/>
    </row>
    <row r="241" spans="1:53" ht="24.75" customHeight="1">
      <c r="A241" s="145"/>
      <c r="B241" s="147" t="s">
        <v>2</v>
      </c>
      <c r="C241" s="147"/>
      <c r="D241" s="147"/>
      <c r="E241" s="147" t="s">
        <v>26</v>
      </c>
      <c r="F241" s="148" t="s">
        <v>1614</v>
      </c>
      <c r="G241" s="148" t="s">
        <v>1615</v>
      </c>
      <c r="H241" s="147" t="s">
        <v>21</v>
      </c>
      <c r="I241" s="147" t="s">
        <v>22</v>
      </c>
      <c r="J241" s="147" t="s">
        <v>469</v>
      </c>
      <c r="K241" s="155" t="s">
        <v>801</v>
      </c>
      <c r="L241" s="147" t="s">
        <v>469</v>
      </c>
      <c r="M241" s="155" t="s">
        <v>470</v>
      </c>
      <c r="N241" s="147" t="s">
        <v>1616</v>
      </c>
      <c r="O241" s="148"/>
      <c r="P241" s="148"/>
      <c r="Q241" s="147"/>
      <c r="R241" s="147"/>
      <c r="S241" s="147"/>
      <c r="T241" s="147"/>
      <c r="U241" s="147"/>
      <c r="V241" s="155" t="s">
        <v>1617</v>
      </c>
      <c r="W241" s="147"/>
      <c r="X241" s="148" t="s">
        <v>1618</v>
      </c>
      <c r="Y241" s="148" t="s">
        <v>1619</v>
      </c>
      <c r="Z241" s="148" t="s">
        <v>1620</v>
      </c>
      <c r="AA241" s="148" t="s">
        <v>1621</v>
      </c>
      <c r="AB241" s="147"/>
      <c r="AC241" s="147"/>
      <c r="AD241" s="147"/>
      <c r="AE241" s="147"/>
      <c r="AF241" s="147"/>
      <c r="AG241" s="147"/>
      <c r="AH241" s="147"/>
      <c r="AI241" s="147"/>
      <c r="AJ241" s="147"/>
      <c r="AK241" s="147"/>
      <c r="AL241" s="147"/>
      <c r="AM241" s="147"/>
      <c r="AN241" s="147"/>
      <c r="AO241" s="147"/>
      <c r="AP241" s="147"/>
      <c r="AQ241" s="147"/>
      <c r="AR241" s="147"/>
      <c r="AS241" s="147"/>
      <c r="AT241" s="147"/>
      <c r="AU241" s="147"/>
      <c r="AV241" s="147"/>
      <c r="AW241" s="147"/>
      <c r="AX241" s="147"/>
      <c r="AY241" s="233"/>
      <c r="AZ241" s="147"/>
      <c r="BA241" s="147"/>
    </row>
    <row r="242" spans="1:53" ht="24.75" customHeight="1">
      <c r="A242" s="145"/>
      <c r="B242" s="147" t="s">
        <v>2</v>
      </c>
      <c r="C242" s="147"/>
      <c r="D242" s="147"/>
      <c r="E242" s="147" t="s">
        <v>26</v>
      </c>
      <c r="F242" s="195" t="s">
        <v>1622</v>
      </c>
      <c r="G242" s="148" t="s">
        <v>1623</v>
      </c>
      <c r="H242" s="147" t="s">
        <v>21</v>
      </c>
      <c r="I242" s="147" t="s">
        <v>22</v>
      </c>
      <c r="J242" s="147" t="s">
        <v>469</v>
      </c>
      <c r="K242" s="155" t="s">
        <v>801</v>
      </c>
      <c r="L242" s="147" t="s">
        <v>469</v>
      </c>
      <c r="M242" s="155" t="s">
        <v>470</v>
      </c>
      <c r="N242" s="147" t="s">
        <v>32</v>
      </c>
      <c r="O242" s="148" t="s">
        <v>1624</v>
      </c>
      <c r="P242" s="148"/>
      <c r="Q242" s="147"/>
      <c r="R242" s="147"/>
      <c r="S242" s="147"/>
      <c r="T242" s="147"/>
      <c r="U242" s="147"/>
      <c r="V242" s="155" t="s">
        <v>1625</v>
      </c>
      <c r="W242" s="147"/>
      <c r="X242" s="148" t="s">
        <v>1626</v>
      </c>
      <c r="Y242" s="148"/>
      <c r="Z242" s="148" t="s">
        <v>1627</v>
      </c>
      <c r="AA242" s="148" t="s">
        <v>1628</v>
      </c>
      <c r="AB242" s="147"/>
      <c r="AC242" s="147"/>
      <c r="AD242" s="147"/>
      <c r="AE242" s="147"/>
      <c r="AF242" s="147"/>
      <c r="AG242" s="147"/>
      <c r="AH242" s="147"/>
      <c r="AI242" s="147"/>
      <c r="AJ242" s="147"/>
      <c r="AK242" s="147"/>
      <c r="AL242" s="147"/>
      <c r="AM242" s="147"/>
      <c r="AN242" s="147"/>
      <c r="AO242" s="147"/>
      <c r="AP242" s="147"/>
      <c r="AQ242" s="147"/>
      <c r="AR242" s="147"/>
      <c r="AS242" s="147"/>
      <c r="AT242" s="147"/>
      <c r="AU242" s="147"/>
      <c r="AV242" s="147"/>
      <c r="AW242" s="147"/>
      <c r="AX242" s="147"/>
      <c r="AY242" s="233"/>
      <c r="AZ242" s="147"/>
      <c r="BA242" s="147"/>
    </row>
    <row r="243" spans="1:53" ht="24.75" customHeight="1">
      <c r="A243" s="145"/>
      <c r="B243" s="147" t="s">
        <v>2</v>
      </c>
      <c r="C243" s="147"/>
      <c r="D243" s="147"/>
      <c r="E243" s="147" t="s">
        <v>26</v>
      </c>
      <c r="F243" s="195" t="s">
        <v>1629</v>
      </c>
      <c r="G243" s="148" t="s">
        <v>1630</v>
      </c>
      <c r="H243" s="147" t="s">
        <v>21</v>
      </c>
      <c r="I243" s="147" t="s">
        <v>22</v>
      </c>
      <c r="J243" s="147" t="s">
        <v>469</v>
      </c>
      <c r="K243" s="155" t="s">
        <v>801</v>
      </c>
      <c r="L243" s="147" t="s">
        <v>469</v>
      </c>
      <c r="M243" s="155" t="s">
        <v>470</v>
      </c>
      <c r="N243" s="147" t="s">
        <v>32</v>
      </c>
      <c r="O243" s="148" t="s">
        <v>1631</v>
      </c>
      <c r="P243" s="148"/>
      <c r="Q243" s="147"/>
      <c r="R243" s="147"/>
      <c r="S243" s="147"/>
      <c r="T243" s="147"/>
      <c r="U243" s="147"/>
      <c r="V243" s="155" t="s">
        <v>1632</v>
      </c>
      <c r="W243" s="147"/>
      <c r="X243" s="148" t="s">
        <v>1633</v>
      </c>
      <c r="Y243" s="148" t="s">
        <v>1634</v>
      </c>
      <c r="Z243" s="148" t="s">
        <v>1635</v>
      </c>
      <c r="AA243" s="148" t="s">
        <v>1636</v>
      </c>
      <c r="AB243" s="147"/>
      <c r="AC243" s="147"/>
      <c r="AD243" s="147"/>
      <c r="AE243" s="147"/>
      <c r="AF243" s="147"/>
      <c r="AG243" s="147"/>
      <c r="AH243" s="147"/>
      <c r="AI243" s="147"/>
      <c r="AJ243" s="147"/>
      <c r="AK243" s="147"/>
      <c r="AL243" s="147"/>
      <c r="AM243" s="147"/>
      <c r="AN243" s="147"/>
      <c r="AO243" s="147"/>
      <c r="AP243" s="147"/>
      <c r="AQ243" s="147"/>
      <c r="AR243" s="147"/>
      <c r="AS243" s="147"/>
      <c r="AT243" s="147"/>
      <c r="AU243" s="147"/>
      <c r="AV243" s="147"/>
      <c r="AW243" s="147"/>
      <c r="AX243" s="147"/>
      <c r="AY243" s="233"/>
      <c r="AZ243" s="147"/>
      <c r="BA243" s="147"/>
    </row>
    <row r="244" spans="1:53" ht="24.75" customHeight="1">
      <c r="A244" s="145"/>
      <c r="B244" s="147" t="s">
        <v>2</v>
      </c>
      <c r="C244" s="147"/>
      <c r="D244" s="147"/>
      <c r="E244" s="147"/>
      <c r="F244" s="148" t="s">
        <v>1637</v>
      </c>
      <c r="G244" s="148" t="s">
        <v>1637</v>
      </c>
      <c r="H244" s="147" t="s">
        <v>23</v>
      </c>
      <c r="I244" s="147" t="s">
        <v>22</v>
      </c>
      <c r="J244" s="147" t="s">
        <v>682</v>
      </c>
      <c r="K244" s="155" t="s">
        <v>801</v>
      </c>
      <c r="L244" s="147" t="s">
        <v>682</v>
      </c>
      <c r="M244" s="155" t="s">
        <v>1638</v>
      </c>
      <c r="N244" s="147" t="s">
        <v>32</v>
      </c>
      <c r="O244" s="148" t="s">
        <v>1639</v>
      </c>
      <c r="P244" s="148" t="s">
        <v>1640</v>
      </c>
      <c r="Q244" s="147"/>
      <c r="R244" s="147"/>
      <c r="S244" s="147"/>
      <c r="T244" s="147"/>
      <c r="U244" s="147"/>
      <c r="V244" s="155" t="s">
        <v>1641</v>
      </c>
      <c r="W244" s="147"/>
      <c r="X244" s="148" t="s">
        <v>1642</v>
      </c>
      <c r="Y244" s="148" t="s">
        <v>1643</v>
      </c>
      <c r="Z244" s="148" t="s">
        <v>1644</v>
      </c>
      <c r="AA244" s="148" t="s">
        <v>1645</v>
      </c>
      <c r="AB244" s="147"/>
      <c r="AC244" s="147"/>
      <c r="AD244" s="147"/>
      <c r="AE244" s="147"/>
      <c r="AF244" s="147"/>
      <c r="AG244" s="147"/>
      <c r="AH244" s="147"/>
      <c r="AI244" s="147"/>
      <c r="AJ244" s="147"/>
      <c r="AK244" s="147"/>
      <c r="AL244" s="147"/>
      <c r="AM244" s="147"/>
      <c r="AN244" s="147"/>
      <c r="AO244" s="147"/>
      <c r="AP244" s="147"/>
      <c r="AQ244" s="147"/>
      <c r="AR244" s="147"/>
      <c r="AS244" s="147"/>
      <c r="AT244" s="147"/>
      <c r="AU244" s="147"/>
      <c r="AV244" s="147"/>
      <c r="AW244" s="147"/>
      <c r="AX244" s="147"/>
      <c r="AY244" s="233"/>
      <c r="AZ244" s="147"/>
      <c r="BA244" s="147"/>
    </row>
    <row r="245" spans="1:53" ht="24.75" customHeight="1">
      <c r="A245" s="145"/>
      <c r="B245" s="147" t="s">
        <v>2</v>
      </c>
      <c r="C245" s="147"/>
      <c r="D245" s="147"/>
      <c r="E245" s="147"/>
      <c r="F245" s="148" t="s">
        <v>1646</v>
      </c>
      <c r="G245" s="148" t="s">
        <v>1646</v>
      </c>
      <c r="H245" s="147" t="s">
        <v>23</v>
      </c>
      <c r="I245" s="147" t="s">
        <v>22</v>
      </c>
      <c r="J245" s="147" t="s">
        <v>682</v>
      </c>
      <c r="K245" s="155" t="s">
        <v>801</v>
      </c>
      <c r="L245" s="147" t="s">
        <v>682</v>
      </c>
      <c r="M245" s="155" t="s">
        <v>1647</v>
      </c>
      <c r="N245" s="147" t="s">
        <v>32</v>
      </c>
      <c r="O245" s="148" t="s">
        <v>1648</v>
      </c>
      <c r="P245" s="148" t="s">
        <v>1649</v>
      </c>
      <c r="Q245" s="147"/>
      <c r="R245" s="147"/>
      <c r="S245" s="147"/>
      <c r="T245" s="147"/>
      <c r="U245" s="147"/>
      <c r="V245" s="155" t="s">
        <v>1650</v>
      </c>
      <c r="W245" s="147"/>
      <c r="X245" s="148" t="s">
        <v>1651</v>
      </c>
      <c r="Y245" s="148"/>
      <c r="Z245" s="148" t="s">
        <v>1652</v>
      </c>
      <c r="AA245" s="148" t="s">
        <v>1653</v>
      </c>
      <c r="AB245" s="147"/>
      <c r="AC245" s="147"/>
      <c r="AD245" s="147"/>
      <c r="AE245" s="147"/>
      <c r="AF245" s="147"/>
      <c r="AG245" s="147"/>
      <c r="AH245" s="147"/>
      <c r="AI245" s="147"/>
      <c r="AJ245" s="147"/>
      <c r="AK245" s="147"/>
      <c r="AL245" s="147"/>
      <c r="AM245" s="147"/>
      <c r="AN245" s="147"/>
      <c r="AO245" s="147"/>
      <c r="AP245" s="147"/>
      <c r="AQ245" s="147"/>
      <c r="AR245" s="147"/>
      <c r="AS245" s="147"/>
      <c r="AT245" s="147"/>
      <c r="AU245" s="147"/>
      <c r="AV245" s="147"/>
      <c r="AW245" s="147"/>
      <c r="AX245" s="147"/>
      <c r="AY245" s="233"/>
      <c r="AZ245" s="147"/>
      <c r="BA245" s="147"/>
    </row>
    <row r="246" spans="1:53" ht="24.75" customHeight="1">
      <c r="A246" s="145"/>
      <c r="B246" s="147" t="s">
        <v>2</v>
      </c>
      <c r="C246" s="147"/>
      <c r="D246" s="147"/>
      <c r="E246" s="147"/>
      <c r="F246" s="148" t="s">
        <v>1654</v>
      </c>
      <c r="G246" s="148" t="s">
        <v>1654</v>
      </c>
      <c r="H246" s="147" t="s">
        <v>23</v>
      </c>
      <c r="I246" s="147" t="s">
        <v>22</v>
      </c>
      <c r="J246" s="147" t="s">
        <v>682</v>
      </c>
      <c r="K246" s="155" t="s">
        <v>801</v>
      </c>
      <c r="L246" s="147" t="s">
        <v>682</v>
      </c>
      <c r="M246" s="155" t="s">
        <v>914</v>
      </c>
      <c r="N246" s="147" t="s">
        <v>32</v>
      </c>
      <c r="O246" s="148" t="s">
        <v>1655</v>
      </c>
      <c r="P246" s="148" t="s">
        <v>1656</v>
      </c>
      <c r="Q246" s="147"/>
      <c r="R246" s="147"/>
      <c r="S246" s="147"/>
      <c r="T246" s="147"/>
      <c r="U246" s="147"/>
      <c r="V246" s="155" t="s">
        <v>1657</v>
      </c>
      <c r="W246" s="147"/>
      <c r="X246" s="148" t="s">
        <v>1658</v>
      </c>
      <c r="Y246" s="148" t="s">
        <v>1659</v>
      </c>
      <c r="Z246" s="148" t="s">
        <v>1660</v>
      </c>
      <c r="AA246" s="148" t="s">
        <v>1661</v>
      </c>
      <c r="AB246" s="147"/>
      <c r="AC246" s="147"/>
      <c r="AD246" s="147"/>
      <c r="AE246" s="147"/>
      <c r="AF246" s="147"/>
      <c r="AG246" s="147"/>
      <c r="AH246" s="147"/>
      <c r="AI246" s="147"/>
      <c r="AJ246" s="147"/>
      <c r="AK246" s="147"/>
      <c r="AL246" s="147"/>
      <c r="AM246" s="147"/>
      <c r="AN246" s="147"/>
      <c r="AO246" s="147"/>
      <c r="AP246" s="147"/>
      <c r="AQ246" s="147"/>
      <c r="AR246" s="147"/>
      <c r="AS246" s="147"/>
      <c r="AT246" s="147"/>
      <c r="AU246" s="147"/>
      <c r="AV246" s="147"/>
      <c r="AW246" s="147"/>
      <c r="AX246" s="147"/>
      <c r="AY246" s="233"/>
      <c r="AZ246" s="147"/>
      <c r="BA246" s="147"/>
    </row>
    <row r="247" spans="1:53" ht="24.75" customHeight="1">
      <c r="A247" s="145"/>
      <c r="B247" s="147" t="s">
        <v>2</v>
      </c>
      <c r="C247" s="147"/>
      <c r="D247" s="147"/>
      <c r="E247" s="147"/>
      <c r="F247" s="148" t="s">
        <v>1662</v>
      </c>
      <c r="G247" s="148" t="s">
        <v>1662</v>
      </c>
      <c r="H247" s="147" t="s">
        <v>23</v>
      </c>
      <c r="I247" s="147" t="s">
        <v>22</v>
      </c>
      <c r="J247" s="147" t="s">
        <v>682</v>
      </c>
      <c r="K247" s="155" t="s">
        <v>801</v>
      </c>
      <c r="L247" s="147" t="s">
        <v>682</v>
      </c>
      <c r="M247" s="155" t="s">
        <v>914</v>
      </c>
      <c r="N247" s="147" t="s">
        <v>32</v>
      </c>
      <c r="O247" s="148" t="s">
        <v>1663</v>
      </c>
      <c r="P247" s="148" t="s">
        <v>1664</v>
      </c>
      <c r="Q247" s="147"/>
      <c r="R247" s="147"/>
      <c r="S247" s="147"/>
      <c r="T247" s="147"/>
      <c r="U247" s="147"/>
      <c r="V247" s="155" t="s">
        <v>1665</v>
      </c>
      <c r="W247" s="147"/>
      <c r="X247" s="148" t="s">
        <v>1666</v>
      </c>
      <c r="Y247" s="148"/>
      <c r="Z247" s="148" t="s">
        <v>1667</v>
      </c>
      <c r="AA247" s="148" t="s">
        <v>1668</v>
      </c>
      <c r="AB247" s="147"/>
      <c r="AC247" s="147"/>
      <c r="AD247" s="147"/>
      <c r="AE247" s="147"/>
      <c r="AF247" s="147"/>
      <c r="AG247" s="147"/>
      <c r="AH247" s="147"/>
      <c r="AI247" s="147"/>
      <c r="AJ247" s="147"/>
      <c r="AK247" s="147"/>
      <c r="AL247" s="147"/>
      <c r="AM247" s="147"/>
      <c r="AN247" s="147"/>
      <c r="AO247" s="147"/>
      <c r="AP247" s="147"/>
      <c r="AQ247" s="147"/>
      <c r="AR247" s="147"/>
      <c r="AS247" s="147"/>
      <c r="AT247" s="147"/>
      <c r="AU247" s="147"/>
      <c r="AV247" s="147"/>
      <c r="AW247" s="147"/>
      <c r="AX247" s="147"/>
      <c r="AY247" s="233"/>
      <c r="AZ247" s="147"/>
      <c r="BA247" s="147"/>
    </row>
    <row r="248" spans="1:53" ht="24.75" customHeight="1">
      <c r="A248" s="145"/>
      <c r="B248" s="147" t="s">
        <v>2</v>
      </c>
      <c r="C248" s="147"/>
      <c r="D248" s="147"/>
      <c r="E248" s="147"/>
      <c r="F248" s="148" t="s">
        <v>1669</v>
      </c>
      <c r="G248" s="148" t="s">
        <v>1669</v>
      </c>
      <c r="H248" s="147" t="s">
        <v>23</v>
      </c>
      <c r="I248" s="147" t="s">
        <v>22</v>
      </c>
      <c r="J248" s="147" t="s">
        <v>682</v>
      </c>
      <c r="K248" s="155" t="s">
        <v>801</v>
      </c>
      <c r="L248" s="147" t="s">
        <v>682</v>
      </c>
      <c r="M248" s="155" t="s">
        <v>938</v>
      </c>
      <c r="N248" s="147" t="s">
        <v>32</v>
      </c>
      <c r="O248" s="148" t="s">
        <v>1670</v>
      </c>
      <c r="P248" s="148" t="s">
        <v>1671</v>
      </c>
      <c r="Q248" s="147"/>
      <c r="R248" s="147"/>
      <c r="S248" s="147"/>
      <c r="T248" s="147"/>
      <c r="U248" s="147"/>
      <c r="V248" s="155" t="s">
        <v>1672</v>
      </c>
      <c r="W248" s="147"/>
      <c r="X248" s="148" t="s">
        <v>1673</v>
      </c>
      <c r="Y248" s="148"/>
      <c r="Z248" s="148" t="s">
        <v>1674</v>
      </c>
      <c r="AA248" s="148" t="s">
        <v>1675</v>
      </c>
      <c r="AB248" s="147"/>
      <c r="AC248" s="147"/>
      <c r="AD248" s="147"/>
      <c r="AE248" s="147"/>
      <c r="AF248" s="147"/>
      <c r="AG248" s="147"/>
      <c r="AH248" s="147"/>
      <c r="AI248" s="147"/>
      <c r="AJ248" s="147"/>
      <c r="AK248" s="147"/>
      <c r="AL248" s="147"/>
      <c r="AM248" s="147"/>
      <c r="AN248" s="147"/>
      <c r="AO248" s="147"/>
      <c r="AP248" s="147"/>
      <c r="AQ248" s="147"/>
      <c r="AR248" s="147"/>
      <c r="AS248" s="147"/>
      <c r="AT248" s="147"/>
      <c r="AU248" s="147"/>
      <c r="AV248" s="147"/>
      <c r="AW248" s="147"/>
      <c r="AX248" s="147"/>
      <c r="AY248" s="233"/>
      <c r="AZ248" s="147"/>
      <c r="BA248" s="147"/>
    </row>
    <row r="249" spans="1:53" ht="24.75" customHeight="1">
      <c r="A249" s="145"/>
      <c r="B249" s="147" t="s">
        <v>2</v>
      </c>
      <c r="C249" s="147"/>
      <c r="D249" s="147"/>
      <c r="E249" s="147"/>
      <c r="F249" s="148" t="s">
        <v>1676</v>
      </c>
      <c r="G249" s="148" t="s">
        <v>1677</v>
      </c>
      <c r="H249" s="147" t="s">
        <v>23</v>
      </c>
      <c r="I249" s="147" t="s">
        <v>22</v>
      </c>
      <c r="J249" s="147" t="s">
        <v>682</v>
      </c>
      <c r="K249" s="155" t="s">
        <v>801</v>
      </c>
      <c r="L249" s="147" t="s">
        <v>682</v>
      </c>
      <c r="M249" s="155" t="s">
        <v>1678</v>
      </c>
      <c r="N249" s="147" t="s">
        <v>32</v>
      </c>
      <c r="O249" s="148" t="s">
        <v>1679</v>
      </c>
      <c r="P249" s="148" t="s">
        <v>1680</v>
      </c>
      <c r="Q249" s="147"/>
      <c r="R249" s="147"/>
      <c r="S249" s="147"/>
      <c r="T249" s="147"/>
      <c r="U249" s="147"/>
      <c r="V249" s="155" t="s">
        <v>1681</v>
      </c>
      <c r="W249" s="147"/>
      <c r="X249" s="148" t="s">
        <v>1682</v>
      </c>
      <c r="Y249" s="148"/>
      <c r="Z249" s="148" t="s">
        <v>1683</v>
      </c>
      <c r="AA249" s="148" t="s">
        <v>1684</v>
      </c>
      <c r="AB249" s="147"/>
      <c r="AC249" s="147"/>
      <c r="AD249" s="147"/>
      <c r="AE249" s="147"/>
      <c r="AF249" s="147"/>
      <c r="AG249" s="147"/>
      <c r="AH249" s="147"/>
      <c r="AI249" s="147"/>
      <c r="AJ249" s="147"/>
      <c r="AK249" s="147"/>
      <c r="AL249" s="147"/>
      <c r="AM249" s="147"/>
      <c r="AN249" s="147"/>
      <c r="AO249" s="147"/>
      <c r="AP249" s="147"/>
      <c r="AQ249" s="147"/>
      <c r="AR249" s="147"/>
      <c r="AS249" s="147"/>
      <c r="AT249" s="147"/>
      <c r="AU249" s="147"/>
      <c r="AV249" s="147"/>
      <c r="AW249" s="147"/>
      <c r="AX249" s="147"/>
      <c r="AY249" s="233"/>
      <c r="AZ249" s="147"/>
      <c r="BA249" s="147"/>
    </row>
    <row r="250" spans="1:53" ht="24.75" customHeight="1">
      <c r="A250" s="145"/>
      <c r="B250" s="147" t="s">
        <v>2</v>
      </c>
      <c r="C250" s="147"/>
      <c r="D250" s="147"/>
      <c r="E250" s="147" t="s">
        <v>26</v>
      </c>
      <c r="F250" s="148" t="s">
        <v>1685</v>
      </c>
      <c r="G250" s="148" t="s">
        <v>1686</v>
      </c>
      <c r="H250" s="147" t="s">
        <v>20</v>
      </c>
      <c r="I250" s="147"/>
      <c r="J250" s="147" t="s">
        <v>324</v>
      </c>
      <c r="K250" s="155" t="s">
        <v>37</v>
      </c>
      <c r="L250" s="147" t="s">
        <v>324</v>
      </c>
      <c r="M250" s="155" t="s">
        <v>402</v>
      </c>
      <c r="N250" s="147" t="s">
        <v>32</v>
      </c>
      <c r="O250" s="148" t="s">
        <v>1687</v>
      </c>
      <c r="P250" s="148"/>
      <c r="Q250" s="147"/>
      <c r="R250" s="147"/>
      <c r="S250" s="147"/>
      <c r="T250" s="147"/>
      <c r="U250" s="147"/>
      <c r="V250" s="155" t="s">
        <v>1688</v>
      </c>
      <c r="W250" s="147"/>
      <c r="X250" s="161" t="s">
        <v>1689</v>
      </c>
      <c r="Y250" s="148"/>
      <c r="Z250" s="148"/>
      <c r="AA250" s="219" t="s">
        <v>1690</v>
      </c>
      <c r="AB250" s="147"/>
      <c r="AC250" s="147"/>
      <c r="AD250" s="147"/>
      <c r="AE250" s="147"/>
      <c r="AF250" s="147"/>
      <c r="AG250" s="147"/>
      <c r="AH250" s="147"/>
      <c r="AI250" s="147"/>
      <c r="AJ250" s="147"/>
      <c r="AK250" s="147"/>
      <c r="AL250" s="147"/>
      <c r="AM250" s="147"/>
      <c r="AN250" s="147"/>
      <c r="AO250" s="147"/>
      <c r="AP250" s="147"/>
      <c r="AQ250" s="147"/>
      <c r="AR250" s="147"/>
      <c r="AS250" s="147"/>
      <c r="AT250" s="147"/>
      <c r="AU250" s="147"/>
      <c r="AV250" s="147"/>
      <c r="AW250" s="147"/>
      <c r="AX250" s="147"/>
      <c r="AY250" s="233"/>
      <c r="AZ250" s="147"/>
      <c r="BA250" s="147"/>
    </row>
    <row r="251" spans="1:53" ht="24.75" customHeight="1">
      <c r="A251" s="145"/>
      <c r="B251" s="147" t="s">
        <v>2</v>
      </c>
      <c r="C251" s="147"/>
      <c r="D251" s="147"/>
      <c r="E251" s="147" t="s">
        <v>26</v>
      </c>
      <c r="F251" s="148" t="s">
        <v>1691</v>
      </c>
      <c r="G251" s="148" t="s">
        <v>1692</v>
      </c>
      <c r="H251" s="147" t="s">
        <v>20</v>
      </c>
      <c r="I251" s="147"/>
      <c r="J251" s="147" t="s">
        <v>324</v>
      </c>
      <c r="K251" s="155" t="s">
        <v>37</v>
      </c>
      <c r="L251" s="147" t="s">
        <v>324</v>
      </c>
      <c r="M251" s="155" t="s">
        <v>402</v>
      </c>
      <c r="N251" s="147" t="s">
        <v>32</v>
      </c>
      <c r="O251" s="148" t="s">
        <v>1693</v>
      </c>
      <c r="P251" s="148"/>
      <c r="Q251" s="147"/>
      <c r="R251" s="147"/>
      <c r="S251" s="147"/>
      <c r="T251" s="147"/>
      <c r="U251" s="147"/>
      <c r="V251" s="155"/>
      <c r="W251" s="147"/>
      <c r="X251" s="148" t="s">
        <v>1694</v>
      </c>
      <c r="Y251" s="148"/>
      <c r="Z251" s="161" t="s">
        <v>1695</v>
      </c>
      <c r="AA251" s="148" t="s">
        <v>1696</v>
      </c>
      <c r="AB251" s="147"/>
      <c r="AC251" s="147"/>
      <c r="AD251" s="147"/>
      <c r="AE251" s="147"/>
      <c r="AF251" s="147"/>
      <c r="AG251" s="147"/>
      <c r="AH251" s="147"/>
      <c r="AI251" s="147"/>
      <c r="AJ251" s="147"/>
      <c r="AK251" s="147"/>
      <c r="AL251" s="147"/>
      <c r="AM251" s="147"/>
      <c r="AN251" s="147"/>
      <c r="AO251" s="147"/>
      <c r="AP251" s="147"/>
      <c r="AQ251" s="147"/>
      <c r="AR251" s="147"/>
      <c r="AS251" s="147"/>
      <c r="AT251" s="147"/>
      <c r="AU251" s="147"/>
      <c r="AV251" s="147"/>
      <c r="AW251" s="147"/>
      <c r="AX251" s="147"/>
      <c r="AY251" s="233"/>
      <c r="AZ251" s="147"/>
      <c r="BA251" s="147"/>
    </row>
    <row r="252" spans="1:53" ht="24.75" customHeight="1">
      <c r="A252" s="145"/>
      <c r="B252" s="147" t="s">
        <v>2</v>
      </c>
      <c r="C252" s="147"/>
      <c r="D252" s="147"/>
      <c r="E252" s="147" t="s">
        <v>26</v>
      </c>
      <c r="F252" s="148" t="s">
        <v>1697</v>
      </c>
      <c r="G252" s="148" t="s">
        <v>1698</v>
      </c>
      <c r="H252" s="147" t="s">
        <v>20</v>
      </c>
      <c r="I252" s="147"/>
      <c r="J252" s="147" t="s">
        <v>324</v>
      </c>
      <c r="K252" s="155" t="s">
        <v>37</v>
      </c>
      <c r="L252" s="147" t="s">
        <v>324</v>
      </c>
      <c r="M252" s="155" t="s">
        <v>402</v>
      </c>
      <c r="N252" s="147" t="s">
        <v>32</v>
      </c>
      <c r="O252" s="148" t="s">
        <v>1699</v>
      </c>
      <c r="P252" s="148" t="s">
        <v>1700</v>
      </c>
      <c r="Q252" s="147"/>
      <c r="R252" s="147"/>
      <c r="S252" s="147"/>
      <c r="T252" s="147"/>
      <c r="U252" s="147"/>
      <c r="V252" s="155" t="s">
        <v>1701</v>
      </c>
      <c r="W252" s="147"/>
      <c r="X252" s="161" t="s">
        <v>1702</v>
      </c>
      <c r="Y252" s="148"/>
      <c r="Z252" s="148"/>
      <c r="AA252" s="148" t="s">
        <v>1703</v>
      </c>
      <c r="AB252" s="147"/>
      <c r="AC252" s="147"/>
      <c r="AD252" s="147"/>
      <c r="AE252" s="147"/>
      <c r="AF252" s="147"/>
      <c r="AG252" s="147"/>
      <c r="AH252" s="147"/>
      <c r="AI252" s="147"/>
      <c r="AJ252" s="147"/>
      <c r="AK252" s="147"/>
      <c r="AL252" s="147"/>
      <c r="AM252" s="147"/>
      <c r="AN252" s="147"/>
      <c r="AO252" s="147"/>
      <c r="AP252" s="147"/>
      <c r="AQ252" s="147"/>
      <c r="AR252" s="147"/>
      <c r="AS252" s="147"/>
      <c r="AT252" s="147"/>
      <c r="AU252" s="147"/>
      <c r="AV252" s="147"/>
      <c r="AW252" s="147"/>
      <c r="AX252" s="147"/>
      <c r="AY252" s="233"/>
      <c r="AZ252" s="147"/>
      <c r="BA252" s="147"/>
    </row>
    <row r="253" spans="1:53" ht="24.75" customHeight="1">
      <c r="A253" s="145"/>
      <c r="B253" s="147" t="s">
        <v>2</v>
      </c>
      <c r="C253" s="147"/>
      <c r="D253" s="147"/>
      <c r="E253" s="147" t="s">
        <v>26</v>
      </c>
      <c r="F253" s="148" t="s">
        <v>1704</v>
      </c>
      <c r="G253" s="148" t="s">
        <v>1704</v>
      </c>
      <c r="H253" s="147" t="s">
        <v>20</v>
      </c>
      <c r="I253" s="147"/>
      <c r="J253" s="147" t="s">
        <v>324</v>
      </c>
      <c r="K253" s="155" t="s">
        <v>37</v>
      </c>
      <c r="L253" s="147" t="s">
        <v>324</v>
      </c>
      <c r="M253" s="155" t="s">
        <v>402</v>
      </c>
      <c r="N253" s="147" t="s">
        <v>32</v>
      </c>
      <c r="O253" s="148"/>
      <c r="P253" s="148"/>
      <c r="Q253" s="147"/>
      <c r="R253" s="147"/>
      <c r="S253" s="147"/>
      <c r="T253" s="147"/>
      <c r="U253" s="147"/>
      <c r="V253" s="155"/>
      <c r="W253" s="147"/>
      <c r="X253" s="148"/>
      <c r="Y253" s="148"/>
      <c r="Z253" s="148"/>
      <c r="AA253" s="148"/>
      <c r="AB253" s="147"/>
      <c r="AC253" s="147"/>
      <c r="AD253" s="147"/>
      <c r="AE253" s="147"/>
      <c r="AF253" s="147"/>
      <c r="AG253" s="147"/>
      <c r="AH253" s="147"/>
      <c r="AI253" s="147"/>
      <c r="AJ253" s="147"/>
      <c r="AK253" s="147"/>
      <c r="AL253" s="147"/>
      <c r="AM253" s="147"/>
      <c r="AN253" s="147"/>
      <c r="AO253" s="147"/>
      <c r="AP253" s="147"/>
      <c r="AQ253" s="147"/>
      <c r="AR253" s="147"/>
      <c r="AS253" s="147"/>
      <c r="AT253" s="147"/>
      <c r="AU253" s="147"/>
      <c r="AV253" s="147"/>
      <c r="AW253" s="147"/>
      <c r="AX253" s="147"/>
      <c r="AY253" s="233"/>
      <c r="AZ253" s="147"/>
      <c r="BA253" s="147"/>
    </row>
    <row r="254" spans="1:53" ht="24.75" customHeight="1">
      <c r="A254" s="145"/>
      <c r="B254" s="147" t="s">
        <v>2</v>
      </c>
      <c r="C254" s="147"/>
      <c r="D254" s="147"/>
      <c r="E254" s="147" t="s">
        <v>26</v>
      </c>
      <c r="F254" s="148" t="s">
        <v>1705</v>
      </c>
      <c r="G254" s="148"/>
      <c r="H254" s="147" t="s">
        <v>20</v>
      </c>
      <c r="I254" s="147"/>
      <c r="J254" s="147" t="s">
        <v>324</v>
      </c>
      <c r="K254" s="155" t="s">
        <v>37</v>
      </c>
      <c r="L254" s="190" t="s">
        <v>1706</v>
      </c>
      <c r="M254" s="155" t="s">
        <v>402</v>
      </c>
      <c r="N254" s="147" t="s">
        <v>32</v>
      </c>
      <c r="O254" s="148"/>
      <c r="P254" s="148"/>
      <c r="Q254" s="147"/>
      <c r="R254" s="147"/>
      <c r="S254" s="147"/>
      <c r="T254" s="147"/>
      <c r="U254" s="147"/>
      <c r="V254" s="155"/>
      <c r="W254" s="147"/>
      <c r="X254" s="148"/>
      <c r="Y254" s="148"/>
      <c r="Z254" s="148"/>
      <c r="AA254" s="148"/>
      <c r="AB254" s="147"/>
      <c r="AC254" s="147"/>
      <c r="AD254" s="147"/>
      <c r="AE254" s="147"/>
      <c r="AF254" s="147"/>
      <c r="AG254" s="147"/>
      <c r="AH254" s="147"/>
      <c r="AI254" s="147"/>
      <c r="AJ254" s="147"/>
      <c r="AK254" s="147"/>
      <c r="AL254" s="147"/>
      <c r="AM254" s="147"/>
      <c r="AN254" s="147"/>
      <c r="AO254" s="147"/>
      <c r="AP254" s="147"/>
      <c r="AQ254" s="147"/>
      <c r="AR254" s="147"/>
      <c r="AS254" s="147"/>
      <c r="AT254" s="147"/>
      <c r="AU254" s="147"/>
      <c r="AV254" s="147"/>
      <c r="AW254" s="147"/>
      <c r="AX254" s="147"/>
      <c r="AY254" s="233"/>
      <c r="AZ254" s="147"/>
      <c r="BA254" s="147"/>
    </row>
    <row r="255" spans="1:53" ht="24.75" customHeight="1">
      <c r="A255" s="145"/>
      <c r="B255" s="147" t="s">
        <v>2</v>
      </c>
      <c r="C255" s="147"/>
      <c r="D255" s="147"/>
      <c r="E255" s="147" t="s">
        <v>26</v>
      </c>
      <c r="F255" s="148" t="s">
        <v>1707</v>
      </c>
      <c r="G255" s="148" t="s">
        <v>1708</v>
      </c>
      <c r="H255" s="147" t="s">
        <v>20</v>
      </c>
      <c r="I255" s="147"/>
      <c r="J255" s="147" t="s">
        <v>324</v>
      </c>
      <c r="K255" s="155" t="s">
        <v>37</v>
      </c>
      <c r="L255" s="147" t="s">
        <v>324</v>
      </c>
      <c r="M255" s="155" t="s">
        <v>402</v>
      </c>
      <c r="N255" s="147" t="s">
        <v>32</v>
      </c>
      <c r="O255" s="148" t="s">
        <v>1709</v>
      </c>
      <c r="P255" s="148" t="s">
        <v>771</v>
      </c>
      <c r="Q255" s="147"/>
      <c r="R255" s="147"/>
      <c r="S255" s="147"/>
      <c r="T255" s="147"/>
      <c r="U255" s="147"/>
      <c r="V255" s="155" t="s">
        <v>1710</v>
      </c>
      <c r="W255" s="147"/>
      <c r="X255" s="161" t="s">
        <v>1711</v>
      </c>
      <c r="Y255" s="148"/>
      <c r="Z255" s="148"/>
      <c r="AA255" s="148" t="s">
        <v>1712</v>
      </c>
      <c r="AB255" s="147"/>
      <c r="AC255" s="147"/>
      <c r="AD255" s="147"/>
      <c r="AE255" s="147"/>
      <c r="AF255" s="147"/>
      <c r="AG255" s="147"/>
      <c r="AH255" s="147"/>
      <c r="AI255" s="147"/>
      <c r="AJ255" s="147"/>
      <c r="AK255" s="147"/>
      <c r="AL255" s="147"/>
      <c r="AM255" s="147"/>
      <c r="AN255" s="147"/>
      <c r="AO255" s="147"/>
      <c r="AP255" s="147"/>
      <c r="AQ255" s="147"/>
      <c r="AR255" s="147"/>
      <c r="AS255" s="147"/>
      <c r="AT255" s="147"/>
      <c r="AU255" s="147"/>
      <c r="AV255" s="147"/>
      <c r="AW255" s="147"/>
      <c r="AX255" s="147"/>
      <c r="AY255" s="233"/>
      <c r="AZ255" s="147"/>
      <c r="BA255" s="147"/>
    </row>
    <row r="256" spans="1:53" ht="24.75" customHeight="1">
      <c r="A256" s="145"/>
      <c r="B256" s="147" t="s">
        <v>2</v>
      </c>
      <c r="C256" s="147"/>
      <c r="D256" s="147"/>
      <c r="E256" s="147" t="s">
        <v>26</v>
      </c>
      <c r="F256" s="148" t="s">
        <v>1713</v>
      </c>
      <c r="G256" s="148" t="s">
        <v>1706</v>
      </c>
      <c r="H256" s="147" t="s">
        <v>23</v>
      </c>
      <c r="I256" s="147" t="s">
        <v>22</v>
      </c>
      <c r="J256" s="147"/>
      <c r="K256" s="155"/>
      <c r="L256" s="147" t="s">
        <v>1155</v>
      </c>
      <c r="M256" s="155"/>
      <c r="N256" s="147" t="s">
        <v>1714</v>
      </c>
      <c r="O256" s="148" t="s">
        <v>1715</v>
      </c>
      <c r="P256" s="148" t="s">
        <v>1716</v>
      </c>
      <c r="Q256" s="147"/>
      <c r="R256" s="147"/>
      <c r="S256" s="147"/>
      <c r="T256" s="147"/>
      <c r="U256" s="147"/>
      <c r="V256" s="155"/>
      <c r="W256" s="147"/>
      <c r="X256" s="161" t="s">
        <v>1717</v>
      </c>
      <c r="Y256" s="148"/>
      <c r="Z256" s="161" t="s">
        <v>1718</v>
      </c>
      <c r="AA256" s="148"/>
      <c r="AB256" s="147"/>
      <c r="AC256" s="147"/>
      <c r="AD256" s="147"/>
      <c r="AE256" s="147"/>
      <c r="AF256" s="147"/>
      <c r="AG256" s="147"/>
      <c r="AH256" s="147"/>
      <c r="AI256" s="147"/>
      <c r="AJ256" s="147"/>
      <c r="AK256" s="147"/>
      <c r="AL256" s="147"/>
      <c r="AM256" s="147"/>
      <c r="AN256" s="147"/>
      <c r="AO256" s="147"/>
      <c r="AP256" s="147"/>
      <c r="AQ256" s="147"/>
      <c r="AR256" s="147"/>
      <c r="AS256" s="147"/>
      <c r="AT256" s="147"/>
      <c r="AU256" s="147"/>
      <c r="AV256" s="147"/>
      <c r="AW256" s="147"/>
      <c r="AX256" s="147"/>
      <c r="AY256" s="233"/>
      <c r="AZ256" s="147"/>
      <c r="BA256" s="147"/>
    </row>
    <row r="257" spans="1:53" ht="24.75" customHeight="1">
      <c r="A257" s="145"/>
      <c r="B257" s="184" t="s">
        <v>2</v>
      </c>
      <c r="C257" s="184"/>
      <c r="D257" s="184"/>
      <c r="E257" s="184" t="s">
        <v>26</v>
      </c>
      <c r="F257" s="198" t="s">
        <v>1719</v>
      </c>
      <c r="G257" s="198"/>
      <c r="H257" s="184" t="s">
        <v>20</v>
      </c>
      <c r="I257" s="147"/>
      <c r="J257" s="184" t="s">
        <v>324</v>
      </c>
      <c r="K257" s="204" t="s">
        <v>37</v>
      </c>
      <c r="L257" s="184" t="s">
        <v>324</v>
      </c>
      <c r="M257" s="204" t="s">
        <v>973</v>
      </c>
      <c r="N257" s="184" t="s">
        <v>32</v>
      </c>
      <c r="O257" s="198"/>
      <c r="P257" s="198"/>
      <c r="Q257" s="147"/>
      <c r="R257" s="147"/>
      <c r="S257" s="147"/>
      <c r="T257" s="147"/>
      <c r="U257" s="147"/>
      <c r="V257" s="204"/>
      <c r="W257" s="184"/>
      <c r="X257" s="198"/>
      <c r="Y257" s="198"/>
      <c r="Z257" s="216" t="s">
        <v>1720</v>
      </c>
      <c r="AA257" s="148"/>
      <c r="AB257" s="147"/>
      <c r="AC257" s="147"/>
      <c r="AD257" s="147"/>
      <c r="AE257" s="147"/>
      <c r="AF257" s="147"/>
      <c r="AG257" s="147"/>
      <c r="AH257" s="147"/>
      <c r="AI257" s="147"/>
      <c r="AJ257" s="147"/>
      <c r="AK257" s="147"/>
      <c r="AL257" s="147"/>
      <c r="AM257" s="147"/>
      <c r="AN257" s="147"/>
      <c r="AO257" s="147"/>
      <c r="AP257" s="147"/>
      <c r="AQ257" s="147"/>
      <c r="AR257" s="147"/>
      <c r="AS257" s="147"/>
      <c r="AT257" s="147"/>
      <c r="AU257" s="147"/>
      <c r="AV257" s="147"/>
      <c r="AW257" s="147"/>
      <c r="AX257" s="147"/>
      <c r="AY257" s="233"/>
      <c r="AZ257" s="147"/>
      <c r="BA257" s="147"/>
    </row>
    <row r="258" spans="1:53" ht="24.75" customHeight="1">
      <c r="A258" s="145"/>
      <c r="B258" s="184" t="s">
        <v>2</v>
      </c>
      <c r="C258" s="184"/>
      <c r="D258" s="184"/>
      <c r="E258" s="184" t="s">
        <v>26</v>
      </c>
      <c r="F258" s="198" t="s">
        <v>1721</v>
      </c>
      <c r="G258" s="198"/>
      <c r="H258" s="184" t="s">
        <v>20</v>
      </c>
      <c r="I258" s="147"/>
      <c r="J258" s="184" t="s">
        <v>324</v>
      </c>
      <c r="K258" s="204" t="s">
        <v>37</v>
      </c>
      <c r="L258" s="184" t="s">
        <v>324</v>
      </c>
      <c r="M258" s="204" t="s">
        <v>973</v>
      </c>
      <c r="N258" s="184" t="s">
        <v>34</v>
      </c>
      <c r="O258" s="198"/>
      <c r="P258" s="198"/>
      <c r="Q258" s="147"/>
      <c r="R258" s="147"/>
      <c r="S258" s="147"/>
      <c r="T258" s="147"/>
      <c r="U258" s="147"/>
      <c r="V258" s="204"/>
      <c r="W258" s="184"/>
      <c r="X258" s="198"/>
      <c r="Y258" s="198"/>
      <c r="Z258" s="217" t="s">
        <v>1722</v>
      </c>
      <c r="AA258" s="148"/>
      <c r="AB258" s="147"/>
      <c r="AC258" s="147"/>
      <c r="AD258" s="147"/>
      <c r="AE258" s="147"/>
      <c r="AF258" s="147"/>
      <c r="AG258" s="147"/>
      <c r="AH258" s="147"/>
      <c r="AI258" s="147"/>
      <c r="AJ258" s="147"/>
      <c r="AK258" s="147"/>
      <c r="AL258" s="147"/>
      <c r="AM258" s="147"/>
      <c r="AN258" s="147"/>
      <c r="AO258" s="147"/>
      <c r="AP258" s="147"/>
      <c r="AQ258" s="147"/>
      <c r="AR258" s="147"/>
      <c r="AS258" s="147"/>
      <c r="AT258" s="147"/>
      <c r="AU258" s="147"/>
      <c r="AV258" s="147"/>
      <c r="AW258" s="147"/>
      <c r="AX258" s="147"/>
      <c r="AY258" s="233"/>
      <c r="AZ258" s="147"/>
      <c r="BA258" s="147"/>
    </row>
    <row r="259" spans="1:53" ht="24.75" customHeight="1">
      <c r="A259" s="145"/>
      <c r="B259" s="184" t="s">
        <v>2</v>
      </c>
      <c r="C259" s="184"/>
      <c r="D259" s="184"/>
      <c r="E259" s="184" t="s">
        <v>26</v>
      </c>
      <c r="F259" s="198" t="s">
        <v>1723</v>
      </c>
      <c r="G259" s="198"/>
      <c r="H259" s="184" t="s">
        <v>20</v>
      </c>
      <c r="I259" s="147"/>
      <c r="J259" s="184" t="s">
        <v>324</v>
      </c>
      <c r="K259" s="204" t="s">
        <v>37</v>
      </c>
      <c r="L259" s="184" t="s">
        <v>324</v>
      </c>
      <c r="M259" s="204" t="s">
        <v>973</v>
      </c>
      <c r="N259" s="184" t="s">
        <v>34</v>
      </c>
      <c r="O259" s="198"/>
      <c r="P259" s="198"/>
      <c r="Q259" s="147"/>
      <c r="R259" s="147"/>
      <c r="S259" s="147"/>
      <c r="T259" s="147"/>
      <c r="U259" s="147"/>
      <c r="V259" s="204"/>
      <c r="W259" s="184"/>
      <c r="X259" s="198"/>
      <c r="Y259" s="198"/>
      <c r="Z259" s="217" t="s">
        <v>1724</v>
      </c>
      <c r="AA259" s="148"/>
      <c r="AB259" s="147"/>
      <c r="AC259" s="147"/>
      <c r="AD259" s="147"/>
      <c r="AE259" s="147"/>
      <c r="AF259" s="147"/>
      <c r="AG259" s="147"/>
      <c r="AH259" s="147"/>
      <c r="AI259" s="147"/>
      <c r="AJ259" s="147"/>
      <c r="AK259" s="147"/>
      <c r="AL259" s="147"/>
      <c r="AM259" s="147"/>
      <c r="AN259" s="147"/>
      <c r="AO259" s="147"/>
      <c r="AP259" s="147"/>
      <c r="AQ259" s="147"/>
      <c r="AR259" s="147"/>
      <c r="AS259" s="147"/>
      <c r="AT259" s="147"/>
      <c r="AU259" s="147"/>
      <c r="AV259" s="147"/>
      <c r="AW259" s="147"/>
      <c r="AX259" s="147"/>
      <c r="AY259" s="233"/>
      <c r="AZ259" s="147"/>
      <c r="BA259" s="147"/>
    </row>
    <row r="260" spans="1:53" ht="24.75" customHeight="1">
      <c r="A260" s="145"/>
      <c r="B260" s="184" t="s">
        <v>2</v>
      </c>
      <c r="C260" s="184"/>
      <c r="D260" s="184"/>
      <c r="E260" s="184" t="s">
        <v>26</v>
      </c>
      <c r="F260" s="198" t="s">
        <v>1725</v>
      </c>
      <c r="G260" s="198"/>
      <c r="H260" s="184" t="s">
        <v>20</v>
      </c>
      <c r="I260" s="147"/>
      <c r="J260" s="184" t="s">
        <v>324</v>
      </c>
      <c r="K260" s="204" t="s">
        <v>37</v>
      </c>
      <c r="L260" s="184" t="s">
        <v>324</v>
      </c>
      <c r="M260" s="204" t="s">
        <v>973</v>
      </c>
      <c r="N260" s="184" t="s">
        <v>32</v>
      </c>
      <c r="O260" s="198"/>
      <c r="P260" s="198"/>
      <c r="Q260" s="147"/>
      <c r="R260" s="147"/>
      <c r="S260" s="147"/>
      <c r="T260" s="147"/>
      <c r="U260" s="147"/>
      <c r="V260" s="204"/>
      <c r="W260" s="184"/>
      <c r="X260" s="198"/>
      <c r="Y260" s="198"/>
      <c r="Z260" s="217" t="s">
        <v>1726</v>
      </c>
      <c r="AA260" s="148"/>
      <c r="AB260" s="147"/>
      <c r="AC260" s="147"/>
      <c r="AD260" s="147"/>
      <c r="AE260" s="147"/>
      <c r="AF260" s="147"/>
      <c r="AG260" s="147"/>
      <c r="AH260" s="147"/>
      <c r="AI260" s="147"/>
      <c r="AJ260" s="147"/>
      <c r="AK260" s="147"/>
      <c r="AL260" s="147"/>
      <c r="AM260" s="147"/>
      <c r="AN260" s="147"/>
      <c r="AO260" s="147"/>
      <c r="AP260" s="147"/>
      <c r="AQ260" s="147"/>
      <c r="AR260" s="147"/>
      <c r="AS260" s="147"/>
      <c r="AT260" s="147"/>
      <c r="AU260" s="147"/>
      <c r="AV260" s="147"/>
      <c r="AW260" s="147"/>
      <c r="AX260" s="147"/>
      <c r="AY260" s="233"/>
      <c r="AZ260" s="147"/>
      <c r="BA260" s="147"/>
    </row>
    <row r="261" spans="1:53" ht="24.75" customHeight="1">
      <c r="A261" s="145"/>
      <c r="B261" s="184" t="s">
        <v>2</v>
      </c>
      <c r="C261" s="184"/>
      <c r="D261" s="184"/>
      <c r="E261" s="184" t="s">
        <v>26</v>
      </c>
      <c r="F261" s="198" t="s">
        <v>1727</v>
      </c>
      <c r="G261" s="198"/>
      <c r="H261" s="184" t="s">
        <v>20</v>
      </c>
      <c r="I261" s="147"/>
      <c r="J261" s="184" t="s">
        <v>324</v>
      </c>
      <c r="K261" s="204" t="s">
        <v>37</v>
      </c>
      <c r="L261" s="184" t="s">
        <v>324</v>
      </c>
      <c r="M261" s="204" t="s">
        <v>313</v>
      </c>
      <c r="N261" s="184" t="s">
        <v>34</v>
      </c>
      <c r="O261" s="198"/>
      <c r="P261" s="198"/>
      <c r="Q261" s="147"/>
      <c r="R261" s="147"/>
      <c r="S261" s="147"/>
      <c r="T261" s="147"/>
      <c r="U261" s="147"/>
      <c r="V261" s="204"/>
      <c r="W261" s="184"/>
      <c r="X261" s="198"/>
      <c r="Y261" s="198"/>
      <c r="Z261" s="217" t="s">
        <v>1728</v>
      </c>
      <c r="AA261" s="148"/>
      <c r="AB261" s="147"/>
      <c r="AC261" s="147"/>
      <c r="AD261" s="147"/>
      <c r="AE261" s="147"/>
      <c r="AF261" s="147"/>
      <c r="AG261" s="147"/>
      <c r="AH261" s="147"/>
      <c r="AI261" s="147"/>
      <c r="AJ261" s="147"/>
      <c r="AK261" s="147"/>
      <c r="AL261" s="147"/>
      <c r="AM261" s="147"/>
      <c r="AN261" s="147"/>
      <c r="AO261" s="147"/>
      <c r="AP261" s="147"/>
      <c r="AQ261" s="147"/>
      <c r="AR261" s="147"/>
      <c r="AS261" s="147"/>
      <c r="AT261" s="147"/>
      <c r="AU261" s="147"/>
      <c r="AV261" s="147"/>
      <c r="AW261" s="147"/>
      <c r="AX261" s="147"/>
      <c r="AY261" s="233"/>
      <c r="AZ261" s="147"/>
      <c r="BA261" s="147"/>
    </row>
    <row r="262" spans="1:53" ht="24.75" customHeight="1">
      <c r="A262" s="145"/>
      <c r="B262" s="184" t="s">
        <v>2</v>
      </c>
      <c r="C262" s="184"/>
      <c r="D262" s="184"/>
      <c r="E262" s="184" t="s">
        <v>26</v>
      </c>
      <c r="F262" s="198" t="s">
        <v>1729</v>
      </c>
      <c r="G262" s="198"/>
      <c r="H262" s="184" t="s">
        <v>20</v>
      </c>
      <c r="I262" s="147"/>
      <c r="J262" s="184" t="s">
        <v>324</v>
      </c>
      <c r="K262" s="204" t="s">
        <v>37</v>
      </c>
      <c r="L262" s="184" t="s">
        <v>324</v>
      </c>
      <c r="M262" s="204" t="s">
        <v>313</v>
      </c>
      <c r="N262" s="184" t="s">
        <v>34</v>
      </c>
      <c r="O262" s="198"/>
      <c r="P262" s="198"/>
      <c r="Q262" s="147"/>
      <c r="R262" s="147"/>
      <c r="S262" s="147"/>
      <c r="T262" s="147"/>
      <c r="U262" s="147"/>
      <c r="V262" s="204"/>
      <c r="W262" s="184"/>
      <c r="X262" s="198"/>
      <c r="Y262" s="198"/>
      <c r="Z262" s="217" t="s">
        <v>1730</v>
      </c>
      <c r="AA262" s="148"/>
      <c r="AB262" s="147"/>
      <c r="AC262" s="147"/>
      <c r="AD262" s="147"/>
      <c r="AE262" s="147"/>
      <c r="AF262" s="147"/>
      <c r="AG262" s="147"/>
      <c r="AH262" s="147"/>
      <c r="AI262" s="147"/>
      <c r="AJ262" s="147"/>
      <c r="AK262" s="147"/>
      <c r="AL262" s="147"/>
      <c r="AM262" s="147"/>
      <c r="AN262" s="147"/>
      <c r="AO262" s="147"/>
      <c r="AP262" s="147"/>
      <c r="AQ262" s="147"/>
      <c r="AR262" s="147"/>
      <c r="AS262" s="147"/>
      <c r="AT262" s="147"/>
      <c r="AU262" s="147"/>
      <c r="AV262" s="147"/>
      <c r="AW262" s="147"/>
      <c r="AX262" s="147"/>
      <c r="AY262" s="233"/>
      <c r="AZ262" s="147"/>
      <c r="BA262" s="147"/>
    </row>
    <row r="263" spans="1:53" ht="24.75" customHeight="1">
      <c r="A263" s="145"/>
      <c r="B263" s="184" t="s">
        <v>2</v>
      </c>
      <c r="C263" s="184"/>
      <c r="D263" s="184"/>
      <c r="E263" s="184" t="s">
        <v>26</v>
      </c>
      <c r="F263" s="198" t="s">
        <v>1731</v>
      </c>
      <c r="G263" s="198"/>
      <c r="H263" s="184" t="s">
        <v>20</v>
      </c>
      <c r="I263" s="147"/>
      <c r="J263" s="184" t="s">
        <v>324</v>
      </c>
      <c r="K263" s="204" t="s">
        <v>37</v>
      </c>
      <c r="L263" s="184" t="s">
        <v>324</v>
      </c>
      <c r="M263" s="204" t="s">
        <v>313</v>
      </c>
      <c r="N263" s="184" t="s">
        <v>32</v>
      </c>
      <c r="O263" s="198"/>
      <c r="P263" s="198"/>
      <c r="Q263" s="147"/>
      <c r="R263" s="147"/>
      <c r="S263" s="147"/>
      <c r="T263" s="147"/>
      <c r="U263" s="147"/>
      <c r="V263" s="204"/>
      <c r="W263" s="184"/>
      <c r="X263" s="198"/>
      <c r="Y263" s="198"/>
      <c r="Z263" s="217" t="s">
        <v>1732</v>
      </c>
      <c r="AA263" s="148"/>
      <c r="AB263" s="147"/>
      <c r="AC263" s="147"/>
      <c r="AD263" s="147"/>
      <c r="AE263" s="147"/>
      <c r="AF263" s="147"/>
      <c r="AG263" s="147"/>
      <c r="AH263" s="147"/>
      <c r="AI263" s="147"/>
      <c r="AJ263" s="147"/>
      <c r="AK263" s="147"/>
      <c r="AL263" s="147"/>
      <c r="AM263" s="147"/>
      <c r="AN263" s="147"/>
      <c r="AO263" s="147"/>
      <c r="AP263" s="147"/>
      <c r="AQ263" s="147"/>
      <c r="AR263" s="147"/>
      <c r="AS263" s="147"/>
      <c r="AT263" s="147"/>
      <c r="AU263" s="147"/>
      <c r="AV263" s="147"/>
      <c r="AW263" s="147"/>
      <c r="AX263" s="147"/>
      <c r="AY263" s="233"/>
      <c r="AZ263" s="147"/>
      <c r="BA263" s="147"/>
    </row>
    <row r="264" spans="1:53" ht="24.75" customHeight="1">
      <c r="A264" s="145"/>
      <c r="B264" s="184" t="s">
        <v>2</v>
      </c>
      <c r="C264" s="184"/>
      <c r="D264" s="184"/>
      <c r="E264" s="184" t="s">
        <v>26</v>
      </c>
      <c r="F264" s="198" t="s">
        <v>1733</v>
      </c>
      <c r="G264" s="198"/>
      <c r="H264" s="184" t="s">
        <v>20</v>
      </c>
      <c r="I264" s="147"/>
      <c r="J264" s="184" t="s">
        <v>324</v>
      </c>
      <c r="K264" s="204" t="s">
        <v>37</v>
      </c>
      <c r="L264" s="184" t="s">
        <v>324</v>
      </c>
      <c r="M264" s="204" t="s">
        <v>1734</v>
      </c>
      <c r="N264" s="184" t="s">
        <v>32</v>
      </c>
      <c r="O264" s="198"/>
      <c r="P264" s="198"/>
      <c r="Q264" s="147"/>
      <c r="R264" s="147"/>
      <c r="S264" s="147"/>
      <c r="T264" s="147"/>
      <c r="U264" s="147"/>
      <c r="V264" s="204"/>
      <c r="W264" s="184"/>
      <c r="X264" s="198"/>
      <c r="Y264" s="198"/>
      <c r="Z264" s="217" t="s">
        <v>1735</v>
      </c>
      <c r="AA264" s="148"/>
      <c r="AB264" s="147"/>
      <c r="AC264" s="147"/>
      <c r="AD264" s="147"/>
      <c r="AE264" s="147"/>
      <c r="AF264" s="147"/>
      <c r="AG264" s="147"/>
      <c r="AH264" s="147"/>
      <c r="AI264" s="147"/>
      <c r="AJ264" s="147"/>
      <c r="AK264" s="147"/>
      <c r="AL264" s="147"/>
      <c r="AM264" s="147"/>
      <c r="AN264" s="147"/>
      <c r="AO264" s="147"/>
      <c r="AP264" s="147"/>
      <c r="AQ264" s="147"/>
      <c r="AR264" s="147"/>
      <c r="AS264" s="147"/>
      <c r="AT264" s="147"/>
      <c r="AU264" s="147"/>
      <c r="AV264" s="147"/>
      <c r="AW264" s="147"/>
      <c r="AX264" s="147"/>
      <c r="AY264" s="233"/>
      <c r="AZ264" s="147"/>
      <c r="BA264" s="147"/>
    </row>
    <row r="265" spans="1:53" ht="24.75" customHeight="1">
      <c r="A265" s="145"/>
      <c r="B265" s="184" t="s">
        <v>2</v>
      </c>
      <c r="C265" s="184"/>
      <c r="D265" s="184"/>
      <c r="E265" s="184" t="s">
        <v>26</v>
      </c>
      <c r="F265" s="198" t="s">
        <v>1736</v>
      </c>
      <c r="G265" s="198"/>
      <c r="H265" s="184" t="s">
        <v>20</v>
      </c>
      <c r="I265" s="147"/>
      <c r="J265" s="184" t="s">
        <v>324</v>
      </c>
      <c r="K265" s="204" t="s">
        <v>37</v>
      </c>
      <c r="L265" s="184" t="s">
        <v>324</v>
      </c>
      <c r="M265" s="204" t="s">
        <v>1734</v>
      </c>
      <c r="N265" s="184" t="s">
        <v>34</v>
      </c>
      <c r="O265" s="198"/>
      <c r="P265" s="198"/>
      <c r="Q265" s="147"/>
      <c r="R265" s="147"/>
      <c r="S265" s="147"/>
      <c r="T265" s="147"/>
      <c r="U265" s="147"/>
      <c r="V265" s="204"/>
      <c r="W265" s="184"/>
      <c r="X265" s="198"/>
      <c r="Y265" s="198"/>
      <c r="Z265" s="217" t="s">
        <v>1737</v>
      </c>
      <c r="AA265" s="148"/>
      <c r="AB265" s="147"/>
      <c r="AC265" s="147"/>
      <c r="AD265" s="147"/>
      <c r="AE265" s="147"/>
      <c r="AF265" s="147"/>
      <c r="AG265" s="147"/>
      <c r="AH265" s="147"/>
      <c r="AI265" s="147"/>
      <c r="AJ265" s="147"/>
      <c r="AK265" s="147"/>
      <c r="AL265" s="147"/>
      <c r="AM265" s="147"/>
      <c r="AN265" s="147"/>
      <c r="AO265" s="147"/>
      <c r="AP265" s="147"/>
      <c r="AQ265" s="147"/>
      <c r="AR265" s="147"/>
      <c r="AS265" s="147"/>
      <c r="AT265" s="147"/>
      <c r="AU265" s="147"/>
      <c r="AV265" s="147"/>
      <c r="AW265" s="147"/>
      <c r="AX265" s="147"/>
      <c r="AY265" s="233"/>
      <c r="AZ265" s="147"/>
      <c r="BA265" s="147"/>
    </row>
    <row r="266" spans="1:53" ht="24.75" customHeight="1">
      <c r="A266" s="145"/>
      <c r="B266" s="184" t="s">
        <v>2</v>
      </c>
      <c r="C266" s="184"/>
      <c r="D266" s="184"/>
      <c r="E266" s="184" t="s">
        <v>26</v>
      </c>
      <c r="F266" s="198" t="s">
        <v>1738</v>
      </c>
      <c r="G266" s="198"/>
      <c r="H266" s="184" t="s">
        <v>20</v>
      </c>
      <c r="I266" s="147"/>
      <c r="J266" s="184" t="s">
        <v>324</v>
      </c>
      <c r="K266" s="204" t="s">
        <v>37</v>
      </c>
      <c r="L266" s="184" t="s">
        <v>324</v>
      </c>
      <c r="M266" s="204" t="s">
        <v>1734</v>
      </c>
      <c r="N266" s="184" t="s">
        <v>32</v>
      </c>
      <c r="O266" s="198"/>
      <c r="P266" s="198"/>
      <c r="Q266" s="147"/>
      <c r="R266" s="147"/>
      <c r="S266" s="147"/>
      <c r="T266" s="147"/>
      <c r="U266" s="147"/>
      <c r="V266" s="204"/>
      <c r="W266" s="184"/>
      <c r="X266" s="198"/>
      <c r="Y266" s="198"/>
      <c r="Z266" s="217" t="s">
        <v>1739</v>
      </c>
      <c r="AA266" s="148"/>
      <c r="AB266" s="147"/>
      <c r="AC266" s="147"/>
      <c r="AD266" s="147"/>
      <c r="AE266" s="147"/>
      <c r="AF266" s="147"/>
      <c r="AG266" s="147"/>
      <c r="AH266" s="147"/>
      <c r="AI266" s="147"/>
      <c r="AJ266" s="147"/>
      <c r="AK266" s="147"/>
      <c r="AL266" s="147"/>
      <c r="AM266" s="147"/>
      <c r="AN266" s="147"/>
      <c r="AO266" s="147"/>
      <c r="AP266" s="147"/>
      <c r="AQ266" s="147"/>
      <c r="AR266" s="147"/>
      <c r="AS266" s="147"/>
      <c r="AT266" s="147"/>
      <c r="AU266" s="147"/>
      <c r="AV266" s="147"/>
      <c r="AW266" s="147"/>
      <c r="AX266" s="147"/>
      <c r="AY266" s="233"/>
      <c r="AZ266" s="147"/>
      <c r="BA266" s="147"/>
    </row>
    <row r="267" spans="1:53" ht="24.75" customHeight="1">
      <c r="A267" s="145"/>
      <c r="B267" s="184" t="s">
        <v>2</v>
      </c>
      <c r="C267" s="184"/>
      <c r="D267" s="184"/>
      <c r="E267" s="184" t="s">
        <v>26</v>
      </c>
      <c r="F267" s="198" t="s">
        <v>1740</v>
      </c>
      <c r="G267" s="198"/>
      <c r="H267" s="184" t="s">
        <v>20</v>
      </c>
      <c r="I267" s="147"/>
      <c r="J267" s="184" t="s">
        <v>324</v>
      </c>
      <c r="K267" s="204" t="s">
        <v>37</v>
      </c>
      <c r="L267" s="184" t="s">
        <v>324</v>
      </c>
      <c r="M267" s="204" t="s">
        <v>1741</v>
      </c>
      <c r="N267" s="184" t="s">
        <v>34</v>
      </c>
      <c r="O267" s="198"/>
      <c r="P267" s="198"/>
      <c r="Q267" s="147"/>
      <c r="R267" s="147"/>
      <c r="S267" s="147"/>
      <c r="T267" s="147"/>
      <c r="U267" s="147"/>
      <c r="V267" s="204"/>
      <c r="W267" s="184"/>
      <c r="X267" s="198"/>
      <c r="Y267" s="198"/>
      <c r="Z267" s="198"/>
      <c r="AA267" s="148"/>
      <c r="AB267" s="147"/>
      <c r="AC267" s="147"/>
      <c r="AD267" s="147"/>
      <c r="AE267" s="147"/>
      <c r="AF267" s="147"/>
      <c r="AG267" s="147"/>
      <c r="AH267" s="147"/>
      <c r="AI267" s="147"/>
      <c r="AJ267" s="147"/>
      <c r="AK267" s="147"/>
      <c r="AL267" s="147"/>
      <c r="AM267" s="147"/>
      <c r="AN267" s="147"/>
      <c r="AO267" s="147"/>
      <c r="AP267" s="147"/>
      <c r="AQ267" s="147"/>
      <c r="AR267" s="147"/>
      <c r="AS267" s="147"/>
      <c r="AT267" s="147"/>
      <c r="AU267" s="147"/>
      <c r="AV267" s="147"/>
      <c r="AW267" s="147"/>
      <c r="AX267" s="147"/>
      <c r="AY267" s="233"/>
      <c r="AZ267" s="147"/>
      <c r="BA267" s="147"/>
    </row>
    <row r="268" spans="1:53" ht="24.75" customHeight="1">
      <c r="A268" s="145"/>
      <c r="B268" s="164" t="s">
        <v>697</v>
      </c>
      <c r="C268" s="164"/>
      <c r="D268" s="164"/>
      <c r="E268" s="164" t="s">
        <v>26</v>
      </c>
      <c r="F268" s="148" t="s">
        <v>1742</v>
      </c>
      <c r="G268" s="148"/>
      <c r="H268" s="147" t="s">
        <v>21</v>
      </c>
      <c r="I268" s="147" t="s">
        <v>22</v>
      </c>
      <c r="J268" s="147"/>
      <c r="K268" s="155"/>
      <c r="L268" s="147"/>
      <c r="M268" s="155"/>
      <c r="N268" s="147" t="s">
        <v>1743</v>
      </c>
      <c r="O268" s="148" t="s">
        <v>1744</v>
      </c>
      <c r="P268" s="148"/>
      <c r="Q268" s="147"/>
      <c r="R268" s="147"/>
      <c r="S268" s="147"/>
      <c r="T268" s="147"/>
      <c r="U268" s="147"/>
      <c r="V268" s="155" t="s">
        <v>1745</v>
      </c>
      <c r="W268" s="147"/>
      <c r="X268" s="161" t="s">
        <v>1746</v>
      </c>
      <c r="Y268" s="148"/>
      <c r="Z268" s="161" t="s">
        <v>1747</v>
      </c>
      <c r="AA268" s="148"/>
      <c r="AB268" s="147"/>
      <c r="AC268" s="147"/>
      <c r="AD268" s="147"/>
      <c r="AE268" s="147"/>
      <c r="AF268" s="147"/>
      <c r="AG268" s="147"/>
      <c r="AH268" s="147"/>
      <c r="AI268" s="147"/>
      <c r="AJ268" s="147"/>
      <c r="AK268" s="147"/>
      <c r="AL268" s="147"/>
      <c r="AM268" s="147"/>
      <c r="AN268" s="147"/>
      <c r="AO268" s="147" t="s">
        <v>1014</v>
      </c>
      <c r="AP268" s="147"/>
      <c r="AQ268" s="147"/>
      <c r="AR268" s="147"/>
      <c r="AS268" s="147"/>
      <c r="AT268" s="147"/>
      <c r="AU268" s="147"/>
      <c r="AV268" s="147"/>
      <c r="AW268" s="147"/>
      <c r="AX268" s="147"/>
      <c r="AY268" s="233"/>
      <c r="AZ268" s="147"/>
      <c r="BA268" s="147"/>
    </row>
    <row r="269" spans="1:53" ht="24.75" customHeight="1">
      <c r="A269" s="145"/>
      <c r="B269" s="164" t="s">
        <v>902</v>
      </c>
      <c r="C269" s="164"/>
      <c r="D269" s="164"/>
      <c r="E269" s="164" t="s">
        <v>27</v>
      </c>
      <c r="F269" s="148" t="s">
        <v>1748</v>
      </c>
      <c r="G269" s="148" t="s">
        <v>1748</v>
      </c>
      <c r="H269" s="147" t="s">
        <v>21</v>
      </c>
      <c r="I269" s="147" t="s">
        <v>23</v>
      </c>
      <c r="J269" s="147" t="s">
        <v>363</v>
      </c>
      <c r="K269" s="155" t="s">
        <v>801</v>
      </c>
      <c r="L269" s="147" t="s">
        <v>363</v>
      </c>
      <c r="M269" s="155" t="s">
        <v>858</v>
      </c>
      <c r="N269" s="147" t="s">
        <v>1743</v>
      </c>
      <c r="O269" s="148" t="s">
        <v>1749</v>
      </c>
      <c r="P269" s="148" t="s">
        <v>1042</v>
      </c>
      <c r="Q269" s="147"/>
      <c r="R269" s="147"/>
      <c r="S269" s="147"/>
      <c r="T269" s="147"/>
      <c r="U269" s="147"/>
      <c r="V269" s="155" t="s">
        <v>1750</v>
      </c>
      <c r="W269" s="147" t="s">
        <v>883</v>
      </c>
      <c r="X269" s="211" t="s">
        <v>1751</v>
      </c>
      <c r="Y269" s="148"/>
      <c r="Z269" s="161" t="s">
        <v>1752</v>
      </c>
      <c r="AA269" s="148" t="s">
        <v>1753</v>
      </c>
      <c r="AB269" s="147"/>
      <c r="AC269" s="147"/>
      <c r="AD269" s="147"/>
      <c r="AE269" s="147"/>
      <c r="AF269" s="147"/>
      <c r="AG269" s="147"/>
      <c r="AH269" s="147"/>
      <c r="AI269" s="147"/>
      <c r="AJ269" s="147"/>
      <c r="AK269" s="147"/>
      <c r="AL269" s="147"/>
      <c r="AM269" s="147"/>
      <c r="AN269" s="147"/>
      <c r="AO269" s="147"/>
      <c r="AP269" s="147"/>
      <c r="AQ269" s="147"/>
      <c r="AR269" s="147"/>
      <c r="AS269" s="147"/>
      <c r="AT269" s="147"/>
      <c r="AU269" s="147"/>
      <c r="AV269" s="147"/>
      <c r="AW269" s="147"/>
      <c r="AX269" s="147"/>
      <c r="AY269" s="233"/>
      <c r="AZ269" s="147"/>
      <c r="BA269" s="147"/>
    </row>
    <row r="270" spans="1:53" ht="24.75" customHeight="1">
      <c r="A270" s="145"/>
      <c r="B270" s="164" t="s">
        <v>4</v>
      </c>
      <c r="C270" s="164" t="s">
        <v>14</v>
      </c>
      <c r="D270" s="164">
        <v>30</v>
      </c>
      <c r="E270" s="164" t="s">
        <v>26</v>
      </c>
      <c r="F270" s="148" t="s">
        <v>1754</v>
      </c>
      <c r="G270" s="148" t="s">
        <v>1754</v>
      </c>
      <c r="H270" s="147" t="s">
        <v>21</v>
      </c>
      <c r="I270" s="147" t="s">
        <v>22</v>
      </c>
      <c r="J270" s="147" t="s">
        <v>469</v>
      </c>
      <c r="K270" s="155" t="s">
        <v>801</v>
      </c>
      <c r="L270" s="147" t="s">
        <v>469</v>
      </c>
      <c r="M270" s="155" t="s">
        <v>470</v>
      </c>
      <c r="N270" s="147" t="s">
        <v>1755</v>
      </c>
      <c r="O270" s="148" t="s">
        <v>1756</v>
      </c>
      <c r="P270" s="148" t="s">
        <v>1757</v>
      </c>
      <c r="Q270" s="147"/>
      <c r="R270" s="147"/>
      <c r="S270" s="147"/>
      <c r="T270" s="147"/>
      <c r="U270" s="147"/>
      <c r="V270" s="160">
        <v>6285656290095</v>
      </c>
      <c r="W270" s="147" t="s">
        <v>1758</v>
      </c>
      <c r="X270" s="161" t="s">
        <v>1759</v>
      </c>
      <c r="Y270" s="148"/>
      <c r="Z270" s="161" t="s">
        <v>1760</v>
      </c>
      <c r="AA270" s="148" t="s">
        <v>1761</v>
      </c>
      <c r="AB270" s="147"/>
      <c r="AC270" s="147"/>
      <c r="AD270" s="147"/>
      <c r="AE270" s="147"/>
      <c r="AF270" s="147"/>
      <c r="AG270" s="147"/>
      <c r="AH270" s="147"/>
      <c r="AI270" s="147"/>
      <c r="AJ270" s="147"/>
      <c r="AK270" s="147"/>
      <c r="AL270" s="147"/>
      <c r="AM270" s="147"/>
      <c r="AN270" s="147"/>
      <c r="AO270" s="147" t="s">
        <v>309</v>
      </c>
      <c r="AP270" s="147"/>
      <c r="AQ270" s="147"/>
      <c r="AR270" s="147"/>
      <c r="AS270" s="147"/>
      <c r="AT270" s="147"/>
      <c r="AU270" s="147"/>
      <c r="AV270" s="147"/>
      <c r="AW270" s="147"/>
      <c r="AX270" s="147"/>
      <c r="AY270" s="233"/>
      <c r="AZ270" s="147"/>
      <c r="BA270" s="147"/>
    </row>
    <row r="271" spans="1:53" ht="24.75" customHeight="1">
      <c r="A271" s="145"/>
      <c r="B271" s="147" t="s">
        <v>750</v>
      </c>
      <c r="C271" s="147"/>
      <c r="D271" s="147"/>
      <c r="E271" s="147" t="s">
        <v>26</v>
      </c>
      <c r="F271" s="148" t="s">
        <v>1762</v>
      </c>
      <c r="G271" s="148" t="s">
        <v>1763</v>
      </c>
      <c r="H271" s="147" t="s">
        <v>21</v>
      </c>
      <c r="I271" s="147" t="s">
        <v>23</v>
      </c>
      <c r="J271" s="147" t="s">
        <v>363</v>
      </c>
      <c r="K271" s="155" t="s">
        <v>801</v>
      </c>
      <c r="L271" s="147" t="s">
        <v>363</v>
      </c>
      <c r="M271" s="155" t="s">
        <v>1764</v>
      </c>
      <c r="N271" s="147" t="s">
        <v>1765</v>
      </c>
      <c r="O271" s="148" t="s">
        <v>1766</v>
      </c>
      <c r="P271" s="148" t="s">
        <v>1767</v>
      </c>
      <c r="Q271" s="147"/>
      <c r="R271" s="147"/>
      <c r="S271" s="147"/>
      <c r="T271" s="147"/>
      <c r="U271" s="147"/>
      <c r="V271" s="155">
        <v>84906668790</v>
      </c>
      <c r="W271" s="147" t="s">
        <v>883</v>
      </c>
      <c r="X271" s="161" t="s">
        <v>1768</v>
      </c>
      <c r="Y271" s="161" t="s">
        <v>1769</v>
      </c>
      <c r="Z271" s="161" t="s">
        <v>1770</v>
      </c>
      <c r="AA271" s="148" t="s">
        <v>1771</v>
      </c>
      <c r="AB271" s="150">
        <v>46143</v>
      </c>
      <c r="AC271" s="150">
        <v>46178</v>
      </c>
      <c r="AD271" s="150">
        <v>46223</v>
      </c>
      <c r="AE271" s="150">
        <v>46223</v>
      </c>
      <c r="AF271" s="150">
        <v>46223</v>
      </c>
      <c r="AG271" s="150">
        <v>46219</v>
      </c>
      <c r="AH271" s="147"/>
      <c r="AI271" s="147"/>
      <c r="AJ271" s="147"/>
      <c r="AK271" s="147"/>
      <c r="AL271" s="147"/>
      <c r="AM271" s="147"/>
      <c r="AN271" s="147"/>
      <c r="AO271" s="147" t="s">
        <v>1014</v>
      </c>
      <c r="AP271" s="147" t="s">
        <v>878</v>
      </c>
      <c r="AQ271" s="147" t="s">
        <v>878</v>
      </c>
      <c r="AR271" s="147" t="s">
        <v>371</v>
      </c>
      <c r="AS271" s="147" t="s">
        <v>878</v>
      </c>
      <c r="AT271" s="147" t="s">
        <v>877</v>
      </c>
      <c r="AU271" s="147" t="s">
        <v>658</v>
      </c>
      <c r="AV271" s="147" t="s">
        <v>878</v>
      </c>
      <c r="AW271" s="147"/>
      <c r="AX271" s="147" t="s">
        <v>1772</v>
      </c>
      <c r="AY271" s="233"/>
      <c r="AZ271" s="147"/>
      <c r="BA271" s="147"/>
    </row>
    <row r="272" spans="1:53" ht="24.75" customHeight="1">
      <c r="A272" s="185"/>
      <c r="B272" s="147" t="s">
        <v>2</v>
      </c>
      <c r="C272" s="147"/>
      <c r="D272" s="147"/>
      <c r="E272" s="147" t="s">
        <v>26</v>
      </c>
      <c r="F272" s="148" t="s">
        <v>1773</v>
      </c>
      <c r="G272" s="148" t="s">
        <v>1774</v>
      </c>
      <c r="H272" s="147" t="s">
        <v>21</v>
      </c>
      <c r="I272" s="147" t="s">
        <v>22</v>
      </c>
      <c r="J272" s="147" t="s">
        <v>682</v>
      </c>
      <c r="K272" s="155" t="s">
        <v>801</v>
      </c>
      <c r="L272" s="147" t="s">
        <v>682</v>
      </c>
      <c r="M272" s="155" t="s">
        <v>914</v>
      </c>
      <c r="N272" s="147" t="s">
        <v>1775</v>
      </c>
      <c r="O272" s="148" t="s">
        <v>1776</v>
      </c>
      <c r="P272" s="148" t="s">
        <v>1777</v>
      </c>
      <c r="Q272" s="147"/>
      <c r="R272" s="147"/>
      <c r="S272" s="147"/>
      <c r="T272" s="147"/>
      <c r="U272" s="147"/>
      <c r="V272" s="160" t="s">
        <v>1778</v>
      </c>
      <c r="W272" s="186"/>
      <c r="X272" s="211" t="s">
        <v>1779</v>
      </c>
      <c r="Y272" s="148"/>
      <c r="Z272" s="161" t="s">
        <v>1780</v>
      </c>
      <c r="AA272" s="148" t="s">
        <v>1781</v>
      </c>
      <c r="AB272" s="147"/>
      <c r="AC272" s="147"/>
      <c r="AD272" s="147"/>
      <c r="AE272" s="147"/>
      <c r="AF272" s="147"/>
      <c r="AG272" s="147"/>
      <c r="AH272" s="147"/>
      <c r="AI272" s="147"/>
      <c r="AJ272" s="147"/>
      <c r="AK272" s="147"/>
      <c r="AL272" s="147"/>
      <c r="AM272" s="147"/>
      <c r="AN272" s="147"/>
      <c r="AO272" s="147"/>
      <c r="AP272" s="147"/>
      <c r="AQ272" s="147"/>
      <c r="AR272" s="147"/>
      <c r="AS272" s="147"/>
      <c r="AT272" s="147"/>
      <c r="AU272" s="147"/>
      <c r="AV272" s="147"/>
      <c r="AW272" s="147"/>
      <c r="AX272" s="147"/>
      <c r="AY272" s="233"/>
      <c r="AZ272" s="147"/>
      <c r="BA272" s="147"/>
    </row>
    <row r="273" spans="1:53" ht="24.75" customHeight="1">
      <c r="A273" s="185"/>
      <c r="B273" s="147" t="s">
        <v>2</v>
      </c>
      <c r="C273" s="147"/>
      <c r="D273" s="147"/>
      <c r="E273" s="147" t="s">
        <v>26</v>
      </c>
      <c r="F273" s="148" t="s">
        <v>1782</v>
      </c>
      <c r="G273" s="148" t="s">
        <v>1782</v>
      </c>
      <c r="H273" s="147" t="s">
        <v>21</v>
      </c>
      <c r="I273" s="147" t="s">
        <v>22</v>
      </c>
      <c r="J273" s="147" t="s">
        <v>1054</v>
      </c>
      <c r="K273" s="155" t="s">
        <v>801</v>
      </c>
      <c r="L273" s="147" t="s">
        <v>1054</v>
      </c>
      <c r="M273" s="155" t="s">
        <v>1055</v>
      </c>
      <c r="N273" s="147" t="s">
        <v>1783</v>
      </c>
      <c r="O273" s="148" t="s">
        <v>1784</v>
      </c>
      <c r="P273" s="148" t="s">
        <v>1785</v>
      </c>
      <c r="Q273" s="147"/>
      <c r="R273" s="147"/>
      <c r="S273" s="147"/>
      <c r="T273" s="147"/>
      <c r="U273" s="147"/>
      <c r="V273" s="155" t="s">
        <v>1786</v>
      </c>
      <c r="W273" s="147"/>
      <c r="X273" s="161" t="s">
        <v>1787</v>
      </c>
      <c r="Y273" s="148"/>
      <c r="Z273" s="161" t="s">
        <v>1788</v>
      </c>
      <c r="AA273" s="148" t="s">
        <v>1789</v>
      </c>
      <c r="AB273" s="147"/>
      <c r="AC273" s="147"/>
      <c r="AD273" s="147"/>
      <c r="AE273" s="147"/>
      <c r="AF273" s="147"/>
      <c r="AG273" s="147"/>
      <c r="AH273" s="147"/>
      <c r="AI273" s="147"/>
      <c r="AJ273" s="147"/>
      <c r="AK273" s="147"/>
      <c r="AL273" s="147"/>
      <c r="AM273" s="147"/>
      <c r="AN273" s="147"/>
      <c r="AO273" s="147"/>
      <c r="AP273" s="147"/>
      <c r="AQ273" s="147"/>
      <c r="AR273" s="147"/>
      <c r="AS273" s="147"/>
      <c r="AT273" s="147"/>
      <c r="AU273" s="147"/>
      <c r="AV273" s="147"/>
      <c r="AW273" s="147"/>
      <c r="AX273" s="147"/>
      <c r="AY273" s="233"/>
      <c r="AZ273" s="147"/>
      <c r="BA273" s="147"/>
    </row>
    <row r="274" spans="1:53" ht="24.75" customHeight="1">
      <c r="A274" s="187"/>
      <c r="B274" s="147" t="s">
        <v>2</v>
      </c>
      <c r="C274" s="147"/>
      <c r="D274" s="147"/>
      <c r="E274" s="147" t="s">
        <v>26</v>
      </c>
      <c r="F274" s="148" t="s">
        <v>1790</v>
      </c>
      <c r="G274" s="148" t="s">
        <v>1790</v>
      </c>
      <c r="H274" s="147" t="s">
        <v>21</v>
      </c>
      <c r="I274" s="147" t="s">
        <v>22</v>
      </c>
      <c r="J274" s="147" t="s">
        <v>198</v>
      </c>
      <c r="K274" s="155" t="s">
        <v>801</v>
      </c>
      <c r="L274" s="147" t="s">
        <v>199</v>
      </c>
      <c r="M274" s="155" t="s">
        <v>199</v>
      </c>
      <c r="N274" s="147" t="s">
        <v>1791</v>
      </c>
      <c r="O274" s="148" t="s">
        <v>1792</v>
      </c>
      <c r="P274" s="148" t="s">
        <v>1793</v>
      </c>
      <c r="Q274" s="147"/>
      <c r="R274" s="147"/>
      <c r="S274" s="147"/>
      <c r="T274" s="147"/>
      <c r="U274" s="147"/>
      <c r="V274" s="155" t="s">
        <v>1794</v>
      </c>
      <c r="W274" s="147"/>
      <c r="X274" s="161" t="s">
        <v>1795</v>
      </c>
      <c r="Y274" s="148"/>
      <c r="Z274" s="161" t="s">
        <v>1796</v>
      </c>
      <c r="AA274" s="148" t="s">
        <v>1797</v>
      </c>
      <c r="AB274" s="147"/>
      <c r="AC274" s="147"/>
      <c r="AD274" s="147"/>
      <c r="AE274" s="147"/>
      <c r="AF274" s="147"/>
      <c r="AG274" s="147"/>
      <c r="AH274" s="147"/>
      <c r="AI274" s="147"/>
      <c r="AJ274" s="147"/>
      <c r="AK274" s="147"/>
      <c r="AL274" s="147"/>
      <c r="AM274" s="147"/>
      <c r="AN274" s="147"/>
      <c r="AO274" s="147"/>
      <c r="AP274" s="147"/>
      <c r="AQ274" s="147"/>
      <c r="AR274" s="147"/>
      <c r="AS274" s="147"/>
      <c r="AT274" s="147"/>
      <c r="AU274" s="147"/>
      <c r="AV274" s="147"/>
      <c r="AW274" s="147"/>
      <c r="AX274" s="147"/>
      <c r="AY274" s="233"/>
      <c r="AZ274" s="147"/>
      <c r="BA274" s="147"/>
    </row>
    <row r="275" spans="1:53" ht="24.75" customHeight="1">
      <c r="A275" s="185"/>
      <c r="B275" s="147" t="s">
        <v>2</v>
      </c>
      <c r="C275" s="147"/>
      <c r="D275" s="147"/>
      <c r="E275" s="147" t="s">
        <v>26</v>
      </c>
      <c r="F275" s="148" t="s">
        <v>1798</v>
      </c>
      <c r="G275" s="148" t="s">
        <v>1798</v>
      </c>
      <c r="H275" s="147" t="s">
        <v>21</v>
      </c>
      <c r="I275" s="147" t="s">
        <v>22</v>
      </c>
      <c r="J275" s="147" t="s">
        <v>1438</v>
      </c>
      <c r="K275" s="155" t="s">
        <v>1799</v>
      </c>
      <c r="L275" s="147" t="s">
        <v>1438</v>
      </c>
      <c r="M275" s="155" t="s">
        <v>1440</v>
      </c>
      <c r="N275" s="147" t="s">
        <v>1800</v>
      </c>
      <c r="O275" s="148" t="s">
        <v>1801</v>
      </c>
      <c r="P275" s="148" t="s">
        <v>1802</v>
      </c>
      <c r="Q275" s="147"/>
      <c r="R275" s="147"/>
      <c r="S275" s="147"/>
      <c r="T275" s="147"/>
      <c r="U275" s="147"/>
      <c r="V275" s="155" t="s">
        <v>1803</v>
      </c>
      <c r="W275" s="147"/>
      <c r="X275" s="211" t="s">
        <v>1804</v>
      </c>
      <c r="Y275" s="148"/>
      <c r="Z275" s="161" t="s">
        <v>1805</v>
      </c>
      <c r="AA275" s="148" t="s">
        <v>1806</v>
      </c>
      <c r="AB275" s="147"/>
      <c r="AC275" s="147"/>
      <c r="AD275" s="147"/>
      <c r="AE275" s="147"/>
      <c r="AF275" s="147"/>
      <c r="AG275" s="147"/>
      <c r="AH275" s="147"/>
      <c r="AI275" s="147"/>
      <c r="AJ275" s="147"/>
      <c r="AK275" s="147"/>
      <c r="AL275" s="147"/>
      <c r="AM275" s="147"/>
      <c r="AN275" s="147"/>
      <c r="AO275" s="147"/>
      <c r="AP275" s="147"/>
      <c r="AQ275" s="147"/>
      <c r="AR275" s="147"/>
      <c r="AS275" s="147"/>
      <c r="AT275" s="147"/>
      <c r="AU275" s="147"/>
      <c r="AV275" s="147"/>
      <c r="AW275" s="147"/>
      <c r="AX275" s="147"/>
      <c r="AY275" s="233"/>
      <c r="AZ275" s="147"/>
      <c r="BA275" s="147"/>
    </row>
    <row r="276" spans="1:53" ht="24.75" customHeight="1">
      <c r="A276" s="187"/>
      <c r="B276" s="147" t="s">
        <v>2</v>
      </c>
      <c r="C276" s="147"/>
      <c r="D276" s="147"/>
      <c r="E276" s="147" t="s">
        <v>26</v>
      </c>
      <c r="F276" s="148" t="s">
        <v>1807</v>
      </c>
      <c r="G276" s="148" t="s">
        <v>1807</v>
      </c>
      <c r="H276" s="147" t="s">
        <v>21</v>
      </c>
      <c r="I276" s="147" t="s">
        <v>22</v>
      </c>
      <c r="J276" s="147" t="s">
        <v>1808</v>
      </c>
      <c r="K276" s="155"/>
      <c r="L276" s="147" t="s">
        <v>1809</v>
      </c>
      <c r="M276" s="155" t="s">
        <v>1810</v>
      </c>
      <c r="N276" s="147" t="s">
        <v>1811</v>
      </c>
      <c r="O276" s="148" t="s">
        <v>1812</v>
      </c>
      <c r="P276" s="148" t="s">
        <v>1813</v>
      </c>
      <c r="Q276" s="147"/>
      <c r="R276" s="147"/>
      <c r="S276" s="147"/>
      <c r="T276" s="147"/>
      <c r="U276" s="147"/>
      <c r="V276" s="155" t="s">
        <v>1814</v>
      </c>
      <c r="W276" s="147"/>
      <c r="X276" s="211" t="s">
        <v>1815</v>
      </c>
      <c r="Y276" s="211" t="s">
        <v>1816</v>
      </c>
      <c r="Z276" s="161" t="s">
        <v>1817</v>
      </c>
      <c r="AA276" s="148" t="s">
        <v>1818</v>
      </c>
      <c r="AB276" s="147"/>
      <c r="AC276" s="147"/>
      <c r="AD276" s="147"/>
      <c r="AE276" s="147"/>
      <c r="AF276" s="147"/>
      <c r="AG276" s="147"/>
      <c r="AH276" s="147"/>
      <c r="AI276" s="147"/>
      <c r="AJ276" s="147"/>
      <c r="AK276" s="147"/>
      <c r="AL276" s="147"/>
      <c r="AM276" s="147"/>
      <c r="AN276" s="147"/>
      <c r="AO276" s="147"/>
      <c r="AP276" s="147"/>
      <c r="AQ276" s="147"/>
      <c r="AR276" s="147"/>
      <c r="AS276" s="147"/>
      <c r="AT276" s="147"/>
      <c r="AU276" s="147"/>
      <c r="AV276" s="147"/>
      <c r="AW276" s="147"/>
      <c r="AX276" s="147"/>
      <c r="AY276" s="233"/>
      <c r="AZ276" s="147"/>
      <c r="BA276" s="147"/>
    </row>
    <row r="277" spans="1:53" ht="24.75" customHeight="1">
      <c r="A277" s="145"/>
      <c r="B277" s="147" t="s">
        <v>2</v>
      </c>
      <c r="C277" s="147"/>
      <c r="D277" s="147"/>
      <c r="E277" s="147"/>
      <c r="F277" s="199" t="s">
        <v>1819</v>
      </c>
      <c r="G277" s="199" t="s">
        <v>1819</v>
      </c>
      <c r="H277" s="147" t="s">
        <v>23</v>
      </c>
      <c r="I277" s="147"/>
      <c r="J277" s="147" t="s">
        <v>304</v>
      </c>
      <c r="K277" s="155" t="s">
        <v>37</v>
      </c>
      <c r="L277" s="147" t="s">
        <v>304</v>
      </c>
      <c r="M277" s="155" t="s">
        <v>384</v>
      </c>
      <c r="N277" s="147"/>
      <c r="O277" s="148"/>
      <c r="P277" s="148"/>
      <c r="Q277" s="147"/>
      <c r="R277" s="147"/>
      <c r="S277" s="147"/>
      <c r="T277" s="147"/>
      <c r="U277" s="147"/>
      <c r="V277" s="155"/>
      <c r="W277" s="147"/>
      <c r="X277" s="211"/>
      <c r="Y277" s="211"/>
      <c r="Z277" s="161"/>
      <c r="AA277" s="148"/>
      <c r="AB277" s="147"/>
      <c r="AC277" s="147"/>
      <c r="AD277" s="147"/>
      <c r="AE277" s="147"/>
      <c r="AF277" s="147"/>
      <c r="AG277" s="147"/>
      <c r="AH277" s="147"/>
      <c r="AI277" s="147"/>
      <c r="AJ277" s="147"/>
      <c r="AK277" s="147"/>
      <c r="AL277" s="147"/>
      <c r="AM277" s="147"/>
      <c r="AN277" s="147"/>
      <c r="AO277" s="147"/>
      <c r="AP277" s="147"/>
      <c r="AQ277" s="147"/>
      <c r="AR277" s="147"/>
      <c r="AS277" s="147"/>
      <c r="AT277" s="147"/>
      <c r="AU277" s="147"/>
      <c r="AV277" s="147"/>
      <c r="AW277" s="147"/>
      <c r="AX277" s="147"/>
      <c r="AY277" s="233"/>
      <c r="AZ277" s="147"/>
      <c r="BA277" s="147"/>
    </row>
    <row r="278" spans="1:53" ht="24.75" customHeight="1">
      <c r="A278" s="145"/>
      <c r="B278" s="147" t="s">
        <v>2</v>
      </c>
      <c r="C278" s="147"/>
      <c r="D278" s="147"/>
      <c r="E278" s="147"/>
      <c r="F278" s="199" t="s">
        <v>1820</v>
      </c>
      <c r="G278" s="199" t="s">
        <v>1820</v>
      </c>
      <c r="H278" s="147" t="s">
        <v>23</v>
      </c>
      <c r="I278" s="147"/>
      <c r="J278" s="147" t="s">
        <v>304</v>
      </c>
      <c r="K278" s="155" t="s">
        <v>37</v>
      </c>
      <c r="L278" s="147" t="s">
        <v>304</v>
      </c>
      <c r="M278" s="155" t="s">
        <v>384</v>
      </c>
      <c r="N278" s="147"/>
      <c r="O278" s="148"/>
      <c r="P278" s="148"/>
      <c r="Q278" s="147"/>
      <c r="R278" s="147"/>
      <c r="S278" s="147"/>
      <c r="T278" s="147"/>
      <c r="U278" s="147"/>
      <c r="V278" s="155"/>
      <c r="W278" s="147"/>
      <c r="X278" s="211"/>
      <c r="Y278" s="211"/>
      <c r="Z278" s="161"/>
      <c r="AA278" s="148"/>
      <c r="AB278" s="147"/>
      <c r="AC278" s="147"/>
      <c r="AD278" s="147"/>
      <c r="AE278" s="147"/>
      <c r="AF278" s="147"/>
      <c r="AG278" s="147"/>
      <c r="AH278" s="147"/>
      <c r="AI278" s="147"/>
      <c r="AJ278" s="147"/>
      <c r="AK278" s="147"/>
      <c r="AL278" s="147"/>
      <c r="AM278" s="147"/>
      <c r="AN278" s="147"/>
      <c r="AO278" s="147"/>
      <c r="AP278" s="147"/>
      <c r="AQ278" s="147"/>
      <c r="AR278" s="147"/>
      <c r="AS278" s="147"/>
      <c r="AT278" s="147"/>
      <c r="AU278" s="147"/>
      <c r="AV278" s="147"/>
      <c r="AW278" s="147"/>
      <c r="AX278" s="147"/>
      <c r="AY278" s="233"/>
      <c r="AZ278" s="147"/>
      <c r="BA278" s="147"/>
    </row>
    <row r="279" spans="1:53" ht="24.75" customHeight="1">
      <c r="A279" s="145"/>
      <c r="B279" s="147" t="s">
        <v>2</v>
      </c>
      <c r="C279" s="147"/>
      <c r="D279" s="147"/>
      <c r="E279" s="147"/>
      <c r="F279" s="199" t="s">
        <v>1821</v>
      </c>
      <c r="G279" s="199" t="s">
        <v>1821</v>
      </c>
      <c r="H279" s="147" t="s">
        <v>23</v>
      </c>
      <c r="I279" s="147"/>
      <c r="J279" s="147" t="s">
        <v>304</v>
      </c>
      <c r="K279" s="155" t="s">
        <v>37</v>
      </c>
      <c r="L279" s="147" t="s">
        <v>304</v>
      </c>
      <c r="M279" s="155" t="s">
        <v>384</v>
      </c>
      <c r="N279" s="147"/>
      <c r="O279" s="148"/>
      <c r="P279" s="148"/>
      <c r="Q279" s="147"/>
      <c r="R279" s="147"/>
      <c r="S279" s="147"/>
      <c r="T279" s="147"/>
      <c r="U279" s="147"/>
      <c r="V279" s="155"/>
      <c r="W279" s="147"/>
      <c r="X279" s="211"/>
      <c r="Y279" s="211"/>
      <c r="Z279" s="161"/>
      <c r="AA279" s="148"/>
      <c r="AB279" s="147"/>
      <c r="AC279" s="147"/>
      <c r="AD279" s="147"/>
      <c r="AE279" s="147"/>
      <c r="AF279" s="147"/>
      <c r="AG279" s="147"/>
      <c r="AH279" s="147"/>
      <c r="AI279" s="147"/>
      <c r="AJ279" s="147"/>
      <c r="AK279" s="147"/>
      <c r="AL279" s="147"/>
      <c r="AM279" s="147"/>
      <c r="AN279" s="147"/>
      <c r="AO279" s="147"/>
      <c r="AP279" s="147"/>
      <c r="AQ279" s="147"/>
      <c r="AR279" s="147"/>
      <c r="AS279" s="147"/>
      <c r="AT279" s="147"/>
      <c r="AU279" s="147"/>
      <c r="AV279" s="147"/>
      <c r="AW279" s="147"/>
      <c r="AX279" s="147"/>
      <c r="AY279" s="233"/>
      <c r="AZ279" s="147"/>
      <c r="BA279" s="147"/>
    </row>
    <row r="280" spans="1:53" ht="24.75" customHeight="1">
      <c r="A280" s="145"/>
      <c r="B280" s="147" t="s">
        <v>2</v>
      </c>
      <c r="C280" s="147"/>
      <c r="D280" s="147"/>
      <c r="E280" s="147"/>
      <c r="F280" s="199" t="s">
        <v>1822</v>
      </c>
      <c r="G280" s="199" t="s">
        <v>1822</v>
      </c>
      <c r="H280" s="147" t="s">
        <v>23</v>
      </c>
      <c r="I280" s="147"/>
      <c r="J280" s="147" t="s">
        <v>304</v>
      </c>
      <c r="K280" s="155" t="s">
        <v>37</v>
      </c>
      <c r="L280" s="147" t="s">
        <v>304</v>
      </c>
      <c r="M280" s="155" t="s">
        <v>384</v>
      </c>
      <c r="N280" s="147"/>
      <c r="O280" s="148"/>
      <c r="P280" s="148"/>
      <c r="Q280" s="147"/>
      <c r="R280" s="147"/>
      <c r="S280" s="147"/>
      <c r="T280" s="147"/>
      <c r="U280" s="147"/>
      <c r="V280" s="155"/>
      <c r="W280" s="147"/>
      <c r="X280" s="211"/>
      <c r="Y280" s="211"/>
      <c r="Z280" s="161"/>
      <c r="AA280" s="148"/>
      <c r="AB280" s="147"/>
      <c r="AC280" s="147"/>
      <c r="AD280" s="147"/>
      <c r="AE280" s="147"/>
      <c r="AF280" s="147"/>
      <c r="AG280" s="147"/>
      <c r="AH280" s="147"/>
      <c r="AI280" s="147"/>
      <c r="AJ280" s="147"/>
      <c r="AK280" s="147"/>
      <c r="AL280" s="147"/>
      <c r="AM280" s="147"/>
      <c r="AN280" s="147"/>
      <c r="AO280" s="147"/>
      <c r="AP280" s="147"/>
      <c r="AQ280" s="147"/>
      <c r="AR280" s="147"/>
      <c r="AS280" s="147"/>
      <c r="AT280" s="147"/>
      <c r="AU280" s="147"/>
      <c r="AV280" s="147"/>
      <c r="AW280" s="147"/>
      <c r="AX280" s="147"/>
      <c r="AY280" s="233"/>
      <c r="AZ280" s="147"/>
      <c r="BA280" s="147"/>
    </row>
    <row r="281" spans="1:53" ht="24.75" customHeight="1">
      <c r="A281" s="145"/>
      <c r="B281" s="180" t="s">
        <v>2</v>
      </c>
      <c r="C281" s="147"/>
      <c r="D281" s="147"/>
      <c r="E281" s="147" t="s">
        <v>1823</v>
      </c>
      <c r="F281" s="148" t="s">
        <v>1824</v>
      </c>
      <c r="G281" s="148" t="s">
        <v>1824</v>
      </c>
      <c r="H281" s="147" t="s">
        <v>20</v>
      </c>
      <c r="I281" s="147"/>
      <c r="J281" s="147" t="s">
        <v>324</v>
      </c>
      <c r="K281" s="155" t="s">
        <v>37</v>
      </c>
      <c r="L281" s="147" t="s">
        <v>324</v>
      </c>
      <c r="M281" s="155" t="s">
        <v>1825</v>
      </c>
      <c r="N281" s="147" t="s">
        <v>1823</v>
      </c>
      <c r="O281" s="148" t="s">
        <v>1826</v>
      </c>
      <c r="P281" s="148" t="s">
        <v>1827</v>
      </c>
      <c r="Q281" s="147"/>
      <c r="R281" s="147"/>
      <c r="S281" s="147"/>
      <c r="T281" s="147"/>
      <c r="U281" s="147"/>
      <c r="V281" s="155" t="s">
        <v>1828</v>
      </c>
      <c r="W281" s="147"/>
      <c r="X281" s="161" t="s">
        <v>1829</v>
      </c>
      <c r="Y281" s="148"/>
      <c r="Z281" s="161" t="s">
        <v>1830</v>
      </c>
      <c r="AA281" s="148" t="s">
        <v>1831</v>
      </c>
      <c r="AB281" s="147"/>
      <c r="AC281" s="147"/>
      <c r="AD281" s="147"/>
      <c r="AE281" s="147"/>
      <c r="AF281" s="147"/>
      <c r="AG281" s="147"/>
      <c r="AH281" s="147"/>
      <c r="AI281" s="147"/>
      <c r="AJ281" s="147"/>
      <c r="AK281" s="147"/>
      <c r="AL281" s="147"/>
      <c r="AM281" s="147"/>
      <c r="AN281" s="147"/>
      <c r="AO281" s="147"/>
      <c r="AP281" s="147"/>
      <c r="AQ281" s="147"/>
      <c r="AR281" s="147"/>
      <c r="AS281" s="147"/>
      <c r="AT281" s="147"/>
      <c r="AU281" s="147"/>
      <c r="AV281" s="147"/>
      <c r="AW281" s="147"/>
      <c r="AX281" s="147"/>
      <c r="AY281" s="233"/>
      <c r="AZ281" s="147"/>
      <c r="BA281" s="147"/>
    </row>
    <row r="282" spans="1:53" ht="24.75" customHeight="1">
      <c r="A282" s="145"/>
      <c r="B282" s="180" t="s">
        <v>2</v>
      </c>
      <c r="C282" s="147"/>
      <c r="D282" s="147"/>
      <c r="E282" s="147" t="s">
        <v>26</v>
      </c>
      <c r="F282" s="148" t="s">
        <v>1832</v>
      </c>
      <c r="G282" s="148" t="s">
        <v>1833</v>
      </c>
      <c r="H282" s="147" t="s">
        <v>20</v>
      </c>
      <c r="I282" s="147"/>
      <c r="J282" s="147" t="s">
        <v>324</v>
      </c>
      <c r="K282" s="155" t="s">
        <v>37</v>
      </c>
      <c r="L282" s="147" t="s">
        <v>324</v>
      </c>
      <c r="M282" s="155" t="s">
        <v>1834</v>
      </c>
      <c r="N282" s="147"/>
      <c r="O282" s="148" t="s">
        <v>1835</v>
      </c>
      <c r="P282" s="148"/>
      <c r="Q282" s="147"/>
      <c r="R282" s="147"/>
      <c r="S282" s="147"/>
      <c r="T282" s="147"/>
      <c r="U282" s="147"/>
      <c r="V282" s="155" t="s">
        <v>1836</v>
      </c>
      <c r="W282" s="147"/>
      <c r="X282" s="161" t="s">
        <v>1837</v>
      </c>
      <c r="Y282" s="148"/>
      <c r="Z282" s="148"/>
      <c r="AA282" s="148" t="s">
        <v>1838</v>
      </c>
      <c r="AB282" s="147"/>
      <c r="AC282" s="147"/>
      <c r="AD282" s="147"/>
      <c r="AE282" s="147"/>
      <c r="AF282" s="147"/>
      <c r="AG282" s="147"/>
      <c r="AH282" s="147"/>
      <c r="AI282" s="147"/>
      <c r="AJ282" s="147"/>
      <c r="AK282" s="147"/>
      <c r="AL282" s="147"/>
      <c r="AM282" s="147"/>
      <c r="AN282" s="147"/>
      <c r="AO282" s="147"/>
      <c r="AP282" s="147"/>
      <c r="AQ282" s="147"/>
      <c r="AR282" s="147"/>
      <c r="AS282" s="147"/>
      <c r="AT282" s="147"/>
      <c r="AU282" s="147"/>
      <c r="AV282" s="147"/>
      <c r="AW282" s="147"/>
      <c r="AX282" s="147"/>
      <c r="AY282" s="233"/>
      <c r="AZ282" s="147"/>
      <c r="BA282" s="147"/>
    </row>
    <row r="283" spans="1:53" ht="24.75" customHeight="1">
      <c r="A283" s="145"/>
      <c r="B283" s="180" t="s">
        <v>2</v>
      </c>
      <c r="C283" s="147"/>
      <c r="D283" s="147"/>
      <c r="E283" s="147" t="s">
        <v>26</v>
      </c>
      <c r="F283" s="148" t="s">
        <v>1839</v>
      </c>
      <c r="G283" s="148" t="s">
        <v>1840</v>
      </c>
      <c r="H283" s="147" t="s">
        <v>20</v>
      </c>
      <c r="I283" s="147"/>
      <c r="J283" s="147" t="s">
        <v>352</v>
      </c>
      <c r="K283" s="155" t="s">
        <v>37</v>
      </c>
      <c r="L283" s="147" t="s">
        <v>324</v>
      </c>
      <c r="M283" s="155" t="s">
        <v>325</v>
      </c>
      <c r="N283" s="147" t="s">
        <v>32</v>
      </c>
      <c r="O283" s="148" t="s">
        <v>1841</v>
      </c>
      <c r="P283" s="148" t="s">
        <v>1842</v>
      </c>
      <c r="Q283" s="147"/>
      <c r="R283" s="147"/>
      <c r="S283" s="147"/>
      <c r="T283" s="147"/>
      <c r="U283" s="147"/>
      <c r="V283" s="155" t="s">
        <v>1843</v>
      </c>
      <c r="W283" s="147"/>
      <c r="X283" s="161" t="s">
        <v>1844</v>
      </c>
      <c r="Y283" s="148"/>
      <c r="Z283" s="161" t="s">
        <v>1845</v>
      </c>
      <c r="AA283" s="148" t="s">
        <v>1846</v>
      </c>
      <c r="AB283" s="147"/>
      <c r="AC283" s="147"/>
      <c r="AD283" s="147"/>
      <c r="AE283" s="147"/>
      <c r="AF283" s="147"/>
      <c r="AG283" s="147"/>
      <c r="AH283" s="147"/>
      <c r="AI283" s="147"/>
      <c r="AJ283" s="147"/>
      <c r="AK283" s="147"/>
      <c r="AL283" s="147"/>
      <c r="AM283" s="147"/>
      <c r="AN283" s="147"/>
      <c r="AO283" s="147"/>
      <c r="AP283" s="147"/>
      <c r="AQ283" s="147"/>
      <c r="AR283" s="147"/>
      <c r="AS283" s="147"/>
      <c r="AT283" s="147"/>
      <c r="AU283" s="147"/>
      <c r="AV283" s="147"/>
      <c r="AW283" s="147"/>
      <c r="AX283" s="147"/>
      <c r="AY283" s="233"/>
      <c r="AZ283" s="147"/>
      <c r="BA283" s="147"/>
    </row>
    <row r="284" spans="1:53" ht="24.75" customHeight="1">
      <c r="A284" s="145"/>
      <c r="B284" s="180" t="s">
        <v>2</v>
      </c>
      <c r="C284" s="147"/>
      <c r="D284" s="147"/>
      <c r="E284" s="147" t="s">
        <v>26</v>
      </c>
      <c r="F284" s="148" t="s">
        <v>1847</v>
      </c>
      <c r="G284" s="148" t="s">
        <v>1848</v>
      </c>
      <c r="H284" s="147" t="s">
        <v>20</v>
      </c>
      <c r="I284" s="147"/>
      <c r="J284" s="147" t="s">
        <v>324</v>
      </c>
      <c r="K284" s="155" t="s">
        <v>37</v>
      </c>
      <c r="L284" s="147" t="s">
        <v>324</v>
      </c>
      <c r="M284" s="155" t="s">
        <v>1849</v>
      </c>
      <c r="N284" s="147" t="s">
        <v>1850</v>
      </c>
      <c r="O284" s="148" t="s">
        <v>1851</v>
      </c>
      <c r="P284" s="148" t="s">
        <v>1852</v>
      </c>
      <c r="Q284" s="147"/>
      <c r="R284" s="147"/>
      <c r="S284" s="147"/>
      <c r="T284" s="147"/>
      <c r="U284" s="147"/>
      <c r="V284" s="155" t="s">
        <v>1853</v>
      </c>
      <c r="W284" s="147"/>
      <c r="X284" s="161" t="s">
        <v>1854</v>
      </c>
      <c r="Y284" s="148"/>
      <c r="Z284" s="161" t="s">
        <v>1855</v>
      </c>
      <c r="AA284" s="148" t="s">
        <v>1856</v>
      </c>
      <c r="AB284" s="147"/>
      <c r="AC284" s="147"/>
      <c r="AD284" s="147"/>
      <c r="AE284" s="147"/>
      <c r="AF284" s="147"/>
      <c r="AG284" s="147"/>
      <c r="AH284" s="147"/>
      <c r="AI284" s="147"/>
      <c r="AJ284" s="147"/>
      <c r="AK284" s="147"/>
      <c r="AL284" s="147"/>
      <c r="AM284" s="147"/>
      <c r="AN284" s="147"/>
      <c r="AO284" s="147"/>
      <c r="AP284" s="147"/>
      <c r="AQ284" s="147"/>
      <c r="AR284" s="147"/>
      <c r="AS284" s="147"/>
      <c r="AT284" s="147"/>
      <c r="AU284" s="147"/>
      <c r="AV284" s="147"/>
      <c r="AW284" s="147"/>
      <c r="AX284" s="147"/>
      <c r="AY284" s="233"/>
      <c r="AZ284" s="147"/>
      <c r="BA284" s="147"/>
    </row>
    <row r="285" spans="1:53" ht="24.75" customHeight="1">
      <c r="A285" s="145"/>
      <c r="B285" s="180" t="s">
        <v>2</v>
      </c>
      <c r="C285" s="147"/>
      <c r="D285" s="147"/>
      <c r="E285" s="147" t="s">
        <v>26</v>
      </c>
      <c r="F285" s="148" t="s">
        <v>1857</v>
      </c>
      <c r="G285" s="148" t="s">
        <v>1858</v>
      </c>
      <c r="H285" s="147" t="s">
        <v>20</v>
      </c>
      <c r="I285" s="147"/>
      <c r="J285" s="147" t="s">
        <v>324</v>
      </c>
      <c r="K285" s="155" t="s">
        <v>37</v>
      </c>
      <c r="L285" s="147" t="s">
        <v>324</v>
      </c>
      <c r="M285" s="155" t="s">
        <v>1859</v>
      </c>
      <c r="N285" s="147" t="s">
        <v>1860</v>
      </c>
      <c r="O285" s="148" t="s">
        <v>1861</v>
      </c>
      <c r="P285" s="148" t="s">
        <v>1862</v>
      </c>
      <c r="Q285" s="147"/>
      <c r="R285" s="147"/>
      <c r="S285" s="147"/>
      <c r="T285" s="147"/>
      <c r="U285" s="147"/>
      <c r="V285" s="155" t="s">
        <v>1863</v>
      </c>
      <c r="W285" s="147"/>
      <c r="X285" s="161" t="s">
        <v>1864</v>
      </c>
      <c r="Y285" s="148"/>
      <c r="Z285" s="148"/>
      <c r="AA285" s="148" t="s">
        <v>1865</v>
      </c>
      <c r="AB285" s="147"/>
      <c r="AC285" s="147"/>
      <c r="AD285" s="147"/>
      <c r="AE285" s="147"/>
      <c r="AF285" s="147"/>
      <c r="AG285" s="147"/>
      <c r="AH285" s="147"/>
      <c r="AI285" s="147"/>
      <c r="AJ285" s="147"/>
      <c r="AK285" s="147"/>
      <c r="AL285" s="147"/>
      <c r="AM285" s="147"/>
      <c r="AN285" s="147"/>
      <c r="AO285" s="147"/>
      <c r="AP285" s="147"/>
      <c r="AQ285" s="147"/>
      <c r="AR285" s="147"/>
      <c r="AS285" s="147"/>
      <c r="AT285" s="147"/>
      <c r="AU285" s="147"/>
      <c r="AV285" s="147"/>
      <c r="AW285" s="147"/>
      <c r="AX285" s="147"/>
      <c r="AY285" s="233"/>
      <c r="AZ285" s="147"/>
      <c r="BA285" s="147"/>
    </row>
    <row r="286" spans="1:53" ht="24.75" customHeight="1">
      <c r="A286" s="145"/>
      <c r="B286" s="180" t="s">
        <v>2</v>
      </c>
      <c r="C286" s="147"/>
      <c r="D286" s="147"/>
      <c r="E286" s="147" t="s">
        <v>26</v>
      </c>
      <c r="F286" s="148" t="s">
        <v>1866</v>
      </c>
      <c r="G286" s="148" t="s">
        <v>1867</v>
      </c>
      <c r="H286" s="147" t="s">
        <v>20</v>
      </c>
      <c r="I286" s="147"/>
      <c r="J286" s="147" t="s">
        <v>324</v>
      </c>
      <c r="K286" s="155" t="s">
        <v>37</v>
      </c>
      <c r="L286" s="147" t="s">
        <v>324</v>
      </c>
      <c r="M286" s="155" t="s">
        <v>1868</v>
      </c>
      <c r="N286" s="147" t="s">
        <v>1869</v>
      </c>
      <c r="O286" s="148" t="s">
        <v>1870</v>
      </c>
      <c r="P286" s="148" t="s">
        <v>608</v>
      </c>
      <c r="Q286" s="147"/>
      <c r="R286" s="147"/>
      <c r="S286" s="147"/>
      <c r="T286" s="147"/>
      <c r="U286" s="147"/>
      <c r="V286" s="155" t="s">
        <v>1871</v>
      </c>
      <c r="W286" s="147"/>
      <c r="X286" s="161" t="s">
        <v>1872</v>
      </c>
      <c r="Y286" s="148"/>
      <c r="Z286" s="148"/>
      <c r="AA286" s="148" t="s">
        <v>1873</v>
      </c>
      <c r="AB286" s="147"/>
      <c r="AC286" s="147"/>
      <c r="AD286" s="147"/>
      <c r="AE286" s="147"/>
      <c r="AF286" s="147"/>
      <c r="AG286" s="147"/>
      <c r="AH286" s="147"/>
      <c r="AI286" s="147"/>
      <c r="AJ286" s="147"/>
      <c r="AK286" s="147"/>
      <c r="AL286" s="147"/>
      <c r="AM286" s="147"/>
      <c r="AN286" s="147"/>
      <c r="AO286" s="147"/>
      <c r="AP286" s="147"/>
      <c r="AQ286" s="147"/>
      <c r="AR286" s="147"/>
      <c r="AS286" s="147"/>
      <c r="AT286" s="147"/>
      <c r="AU286" s="147"/>
      <c r="AV286" s="147"/>
      <c r="AW286" s="147"/>
      <c r="AX286" s="147"/>
      <c r="AY286" s="233"/>
      <c r="AZ286" s="147"/>
      <c r="BA286" s="147"/>
    </row>
    <row r="287" spans="1:53" ht="24.75" customHeight="1">
      <c r="A287" s="145"/>
      <c r="B287" s="180" t="s">
        <v>2</v>
      </c>
      <c r="C287" s="147"/>
      <c r="D287" s="147"/>
      <c r="E287" s="147" t="s">
        <v>26</v>
      </c>
      <c r="F287" s="148" t="s">
        <v>1874</v>
      </c>
      <c r="G287" s="148" t="s">
        <v>1875</v>
      </c>
      <c r="H287" s="147" t="s">
        <v>20</v>
      </c>
      <c r="I287" s="147"/>
      <c r="J287" s="147" t="s">
        <v>324</v>
      </c>
      <c r="K287" s="155" t="s">
        <v>37</v>
      </c>
      <c r="L287" s="147" t="s">
        <v>324</v>
      </c>
      <c r="M287" s="155" t="s">
        <v>402</v>
      </c>
      <c r="N287" s="147"/>
      <c r="O287" s="148" t="s">
        <v>1876</v>
      </c>
      <c r="P287" s="148" t="s">
        <v>1877</v>
      </c>
      <c r="Q287" s="147"/>
      <c r="R287" s="147"/>
      <c r="S287" s="147"/>
      <c r="T287" s="147"/>
      <c r="U287" s="147"/>
      <c r="V287" s="155" t="s">
        <v>1878</v>
      </c>
      <c r="W287" s="147"/>
      <c r="X287" s="161" t="s">
        <v>1879</v>
      </c>
      <c r="Y287" s="148"/>
      <c r="Z287" s="161" t="s">
        <v>1880</v>
      </c>
      <c r="AA287" s="148" t="s">
        <v>1881</v>
      </c>
      <c r="AB287" s="147"/>
      <c r="AC287" s="147"/>
      <c r="AD287" s="147"/>
      <c r="AE287" s="147"/>
      <c r="AF287" s="147"/>
      <c r="AG287" s="147"/>
      <c r="AH287" s="147"/>
      <c r="AI287" s="147"/>
      <c r="AJ287" s="147"/>
      <c r="AK287" s="147"/>
      <c r="AL287" s="147"/>
      <c r="AM287" s="147"/>
      <c r="AN287" s="147"/>
      <c r="AO287" s="147"/>
      <c r="AP287" s="147"/>
      <c r="AQ287" s="147"/>
      <c r="AR287" s="147"/>
      <c r="AS287" s="147"/>
      <c r="AT287" s="147"/>
      <c r="AU287" s="147"/>
      <c r="AV287" s="147"/>
      <c r="AW287" s="147"/>
      <c r="AX287" s="147"/>
      <c r="AY287" s="233"/>
      <c r="AZ287" s="147"/>
      <c r="BA287" s="147"/>
    </row>
    <row r="288" spans="1:53" ht="24.75" customHeight="1">
      <c r="A288" s="145"/>
      <c r="B288" s="180" t="s">
        <v>2</v>
      </c>
      <c r="C288" s="147"/>
      <c r="D288" s="147"/>
      <c r="E288" s="147" t="s">
        <v>26</v>
      </c>
      <c r="F288" s="148" t="s">
        <v>1882</v>
      </c>
      <c r="G288" s="148" t="s">
        <v>1883</v>
      </c>
      <c r="H288" s="147" t="s">
        <v>20</v>
      </c>
      <c r="I288" s="147"/>
      <c r="J288" s="147" t="s">
        <v>324</v>
      </c>
      <c r="K288" s="155" t="s">
        <v>37</v>
      </c>
      <c r="L288" s="147" t="s">
        <v>324</v>
      </c>
      <c r="M288" s="155" t="s">
        <v>325</v>
      </c>
      <c r="N288" s="147" t="s">
        <v>1248</v>
      </c>
      <c r="O288" s="148" t="s">
        <v>1884</v>
      </c>
      <c r="P288" s="148" t="s">
        <v>608</v>
      </c>
      <c r="Q288" s="147"/>
      <c r="R288" s="147"/>
      <c r="S288" s="147"/>
      <c r="T288" s="147"/>
      <c r="U288" s="147"/>
      <c r="V288" s="155" t="s">
        <v>1885</v>
      </c>
      <c r="W288" s="147"/>
      <c r="X288" s="161" t="s">
        <v>1886</v>
      </c>
      <c r="Y288" s="148"/>
      <c r="Z288" s="148" t="s">
        <v>1887</v>
      </c>
      <c r="AA288" s="148" t="s">
        <v>1888</v>
      </c>
      <c r="AB288" s="147"/>
      <c r="AC288" s="147"/>
      <c r="AD288" s="147"/>
      <c r="AE288" s="147"/>
      <c r="AF288" s="147"/>
      <c r="AG288" s="147"/>
      <c r="AH288" s="147"/>
      <c r="AI288" s="147"/>
      <c r="AJ288" s="147"/>
      <c r="AK288" s="147"/>
      <c r="AL288" s="147"/>
      <c r="AM288" s="147"/>
      <c r="AN288" s="147"/>
      <c r="AO288" s="147"/>
      <c r="AP288" s="147"/>
      <c r="AQ288" s="147"/>
      <c r="AR288" s="147"/>
      <c r="AS288" s="147"/>
      <c r="AT288" s="147"/>
      <c r="AU288" s="147"/>
      <c r="AV288" s="147"/>
      <c r="AW288" s="147"/>
      <c r="AX288" s="147"/>
      <c r="AY288" s="233"/>
      <c r="AZ288" s="147"/>
      <c r="BA288" s="147"/>
    </row>
    <row r="289" spans="1:53" ht="24.75" customHeight="1">
      <c r="A289" s="145"/>
      <c r="B289" s="180" t="s">
        <v>2</v>
      </c>
      <c r="C289" s="147"/>
      <c r="D289" s="147"/>
      <c r="E289" s="147" t="s">
        <v>26</v>
      </c>
      <c r="F289" s="148" t="s">
        <v>1889</v>
      </c>
      <c r="G289" s="148" t="s">
        <v>1890</v>
      </c>
      <c r="H289" s="147" t="s">
        <v>20</v>
      </c>
      <c r="I289" s="147"/>
      <c r="J289" s="147" t="s">
        <v>324</v>
      </c>
      <c r="K289" s="155" t="s">
        <v>37</v>
      </c>
      <c r="L289" s="147" t="s">
        <v>324</v>
      </c>
      <c r="M289" s="155" t="s">
        <v>1891</v>
      </c>
      <c r="N289" s="147"/>
      <c r="O289" s="148" t="s">
        <v>1892</v>
      </c>
      <c r="P289" s="148" t="s">
        <v>1893</v>
      </c>
      <c r="Q289" s="147"/>
      <c r="R289" s="147"/>
      <c r="S289" s="147"/>
      <c r="T289" s="147"/>
      <c r="U289" s="147"/>
      <c r="V289" s="155" t="s">
        <v>1894</v>
      </c>
      <c r="W289" s="147"/>
      <c r="X289" s="161" t="s">
        <v>1895</v>
      </c>
      <c r="Y289" s="148"/>
      <c r="Z289" s="161" t="s">
        <v>1896</v>
      </c>
      <c r="AA289" s="148" t="s">
        <v>1897</v>
      </c>
      <c r="AB289" s="147"/>
      <c r="AC289" s="147"/>
      <c r="AD289" s="147"/>
      <c r="AE289" s="147"/>
      <c r="AF289" s="147"/>
      <c r="AG289" s="147"/>
      <c r="AH289" s="147"/>
      <c r="AI289" s="147"/>
      <c r="AJ289" s="147"/>
      <c r="AK289" s="147"/>
      <c r="AL289" s="147"/>
      <c r="AM289" s="147"/>
      <c r="AN289" s="147"/>
      <c r="AO289" s="147"/>
      <c r="AP289" s="147"/>
      <c r="AQ289" s="147"/>
      <c r="AR289" s="147"/>
      <c r="AS289" s="147"/>
      <c r="AT289" s="147"/>
      <c r="AU289" s="147"/>
      <c r="AV289" s="147"/>
      <c r="AW289" s="147"/>
      <c r="AX289" s="147"/>
      <c r="AY289" s="233"/>
      <c r="AZ289" s="147"/>
      <c r="BA289" s="147"/>
    </row>
    <row r="290" spans="1:53" ht="24.75" customHeight="1">
      <c r="A290" s="145"/>
      <c r="B290" s="180" t="s">
        <v>2</v>
      </c>
      <c r="C290" s="147"/>
      <c r="D290" s="147"/>
      <c r="E290" s="147" t="s">
        <v>26</v>
      </c>
      <c r="F290" s="148" t="s">
        <v>1898</v>
      </c>
      <c r="G290" s="148" t="s">
        <v>1899</v>
      </c>
      <c r="H290" s="147" t="s">
        <v>20</v>
      </c>
      <c r="I290" s="147"/>
      <c r="J290" s="147" t="s">
        <v>324</v>
      </c>
      <c r="K290" s="155" t="s">
        <v>37</v>
      </c>
      <c r="L290" s="147" t="s">
        <v>324</v>
      </c>
      <c r="M290" s="155"/>
      <c r="N290" s="147" t="s">
        <v>32</v>
      </c>
      <c r="O290" s="148" t="s">
        <v>1900</v>
      </c>
      <c r="P290" s="148" t="s">
        <v>354</v>
      </c>
      <c r="Q290" s="147"/>
      <c r="R290" s="147"/>
      <c r="S290" s="147"/>
      <c r="T290" s="147"/>
      <c r="U290" s="147"/>
      <c r="V290" s="155" t="s">
        <v>1901</v>
      </c>
      <c r="W290" s="147"/>
      <c r="X290" s="148"/>
      <c r="Y290" s="148"/>
      <c r="Z290" s="148"/>
      <c r="AA290" s="148"/>
      <c r="AB290" s="147"/>
      <c r="AC290" s="147"/>
      <c r="AD290" s="147"/>
      <c r="AE290" s="147"/>
      <c r="AF290" s="147"/>
      <c r="AG290" s="147"/>
      <c r="AH290" s="147"/>
      <c r="AI290" s="147"/>
      <c r="AJ290" s="147"/>
      <c r="AK290" s="147"/>
      <c r="AL290" s="147"/>
      <c r="AM290" s="147"/>
      <c r="AN290" s="147"/>
      <c r="AO290" s="147"/>
      <c r="AP290" s="147"/>
      <c r="AQ290" s="147"/>
      <c r="AR290" s="147"/>
      <c r="AS290" s="147"/>
      <c r="AT290" s="147"/>
      <c r="AU290" s="147"/>
      <c r="AV290" s="147"/>
      <c r="AW290" s="147"/>
      <c r="AX290" s="147"/>
      <c r="AY290" s="233"/>
      <c r="AZ290" s="147"/>
      <c r="BA290" s="147"/>
    </row>
    <row r="291" spans="1:53" ht="24.75" customHeight="1">
      <c r="A291" s="145"/>
      <c r="B291" s="180" t="s">
        <v>2</v>
      </c>
      <c r="C291" s="147"/>
      <c r="D291" s="147"/>
      <c r="E291" s="147" t="s">
        <v>26</v>
      </c>
      <c r="F291" s="148" t="s">
        <v>1902</v>
      </c>
      <c r="G291" s="148" t="s">
        <v>1903</v>
      </c>
      <c r="H291" s="147" t="s">
        <v>20</v>
      </c>
      <c r="I291" s="147"/>
      <c r="J291" s="147" t="s">
        <v>324</v>
      </c>
      <c r="K291" s="155" t="s">
        <v>37</v>
      </c>
      <c r="L291" s="147" t="s">
        <v>324</v>
      </c>
      <c r="M291" s="155"/>
      <c r="N291" s="147" t="s">
        <v>34</v>
      </c>
      <c r="O291" s="148" t="s">
        <v>1904</v>
      </c>
      <c r="P291" s="148" t="s">
        <v>1146</v>
      </c>
      <c r="Q291" s="147"/>
      <c r="R291" s="147"/>
      <c r="S291" s="147"/>
      <c r="T291" s="147"/>
      <c r="U291" s="147"/>
      <c r="V291" s="155" t="s">
        <v>1905</v>
      </c>
      <c r="W291" s="147"/>
      <c r="X291" s="161" t="s">
        <v>1906</v>
      </c>
      <c r="Y291" s="148"/>
      <c r="Z291" s="148"/>
      <c r="AA291" s="148"/>
      <c r="AB291" s="147"/>
      <c r="AC291" s="147"/>
      <c r="AD291" s="147"/>
      <c r="AE291" s="147"/>
      <c r="AF291" s="147"/>
      <c r="AG291" s="147"/>
      <c r="AH291" s="147"/>
      <c r="AI291" s="147"/>
      <c r="AJ291" s="147"/>
      <c r="AK291" s="147"/>
      <c r="AL291" s="147"/>
      <c r="AM291" s="147"/>
      <c r="AN291" s="147"/>
      <c r="AO291" s="147"/>
      <c r="AP291" s="147"/>
      <c r="AQ291" s="147"/>
      <c r="AR291" s="147"/>
      <c r="AS291" s="147"/>
      <c r="AT291" s="147"/>
      <c r="AU291" s="147"/>
      <c r="AV291" s="147"/>
      <c r="AW291" s="147"/>
      <c r="AX291" s="147"/>
      <c r="AY291" s="233"/>
      <c r="AZ291" s="147"/>
      <c r="BA291" s="147"/>
    </row>
    <row r="292" spans="1:53" ht="24.75" customHeight="1">
      <c r="A292" s="145"/>
      <c r="B292" s="180" t="s">
        <v>2</v>
      </c>
      <c r="C292" s="147"/>
      <c r="D292" s="147"/>
      <c r="E292" s="147" t="s">
        <v>26</v>
      </c>
      <c r="F292" s="148" t="s">
        <v>1907</v>
      </c>
      <c r="G292" s="148" t="s">
        <v>1908</v>
      </c>
      <c r="H292" s="147" t="s">
        <v>20</v>
      </c>
      <c r="I292" s="147"/>
      <c r="J292" s="147" t="s">
        <v>324</v>
      </c>
      <c r="K292" s="155" t="s">
        <v>37</v>
      </c>
      <c r="L292" s="147" t="s">
        <v>324</v>
      </c>
      <c r="M292" s="155" t="s">
        <v>313</v>
      </c>
      <c r="N292" s="147" t="s">
        <v>34</v>
      </c>
      <c r="O292" s="148" t="s">
        <v>1909</v>
      </c>
      <c r="P292" s="148" t="s">
        <v>1910</v>
      </c>
      <c r="Q292" s="147"/>
      <c r="R292" s="147"/>
      <c r="S292" s="147"/>
      <c r="T292" s="147"/>
      <c r="U292" s="147"/>
      <c r="V292" s="155" t="s">
        <v>1911</v>
      </c>
      <c r="W292" s="147"/>
      <c r="X292" s="161" t="s">
        <v>1912</v>
      </c>
      <c r="Y292" s="148"/>
      <c r="Z292" s="148" t="s">
        <v>1913</v>
      </c>
      <c r="AA292" s="148" t="s">
        <v>1914</v>
      </c>
      <c r="AB292" s="147"/>
      <c r="AC292" s="147"/>
      <c r="AD292" s="147"/>
      <c r="AE292" s="147"/>
      <c r="AF292" s="147"/>
      <c r="AG292" s="147"/>
      <c r="AH292" s="147"/>
      <c r="AI292" s="147"/>
      <c r="AJ292" s="147"/>
      <c r="AK292" s="147"/>
      <c r="AL292" s="147"/>
      <c r="AM292" s="147"/>
      <c r="AN292" s="147"/>
      <c r="AO292" s="147"/>
      <c r="AP292" s="147"/>
      <c r="AQ292" s="147"/>
      <c r="AR292" s="147"/>
      <c r="AS292" s="147"/>
      <c r="AT292" s="147"/>
      <c r="AU292" s="147"/>
      <c r="AV292" s="147"/>
      <c r="AW292" s="147"/>
      <c r="AX292" s="147"/>
      <c r="AY292" s="233"/>
      <c r="AZ292" s="147"/>
      <c r="BA292" s="147"/>
    </row>
    <row r="293" spans="1:53" ht="24.75" customHeight="1">
      <c r="A293" s="145"/>
      <c r="B293" s="180" t="s">
        <v>2</v>
      </c>
      <c r="C293" s="147"/>
      <c r="D293" s="147"/>
      <c r="E293" s="147" t="s">
        <v>26</v>
      </c>
      <c r="F293" s="148" t="s">
        <v>1915</v>
      </c>
      <c r="G293" s="148" t="s">
        <v>1916</v>
      </c>
      <c r="H293" s="147" t="s">
        <v>20</v>
      </c>
      <c r="I293" s="147"/>
      <c r="J293" s="147" t="s">
        <v>324</v>
      </c>
      <c r="K293" s="155" t="s">
        <v>37</v>
      </c>
      <c r="L293" s="147" t="s">
        <v>324</v>
      </c>
      <c r="M293" s="155" t="s">
        <v>1917</v>
      </c>
      <c r="N293" s="147"/>
      <c r="O293" s="148" t="s">
        <v>1918</v>
      </c>
      <c r="P293" s="148" t="s">
        <v>1919</v>
      </c>
      <c r="Q293" s="147"/>
      <c r="R293" s="147"/>
      <c r="S293" s="147"/>
      <c r="T293" s="147"/>
      <c r="U293" s="147"/>
      <c r="V293" s="155" t="s">
        <v>1920</v>
      </c>
      <c r="W293" s="147"/>
      <c r="X293" s="161" t="s">
        <v>1921</v>
      </c>
      <c r="Y293" s="148"/>
      <c r="Z293" s="148"/>
      <c r="AA293" s="148" t="s">
        <v>1922</v>
      </c>
      <c r="AB293" s="147"/>
      <c r="AC293" s="147"/>
      <c r="AD293" s="147"/>
      <c r="AE293" s="147"/>
      <c r="AF293" s="147"/>
      <c r="AG293" s="147"/>
      <c r="AH293" s="147"/>
      <c r="AI293" s="147"/>
      <c r="AJ293" s="147"/>
      <c r="AK293" s="147"/>
      <c r="AL293" s="147"/>
      <c r="AM293" s="147"/>
      <c r="AN293" s="147"/>
      <c r="AO293" s="147"/>
      <c r="AP293" s="147"/>
      <c r="AQ293" s="147"/>
      <c r="AR293" s="147"/>
      <c r="AS293" s="147"/>
      <c r="AT293" s="147"/>
      <c r="AU293" s="147"/>
      <c r="AV293" s="147"/>
      <c r="AW293" s="147"/>
      <c r="AX293" s="147"/>
      <c r="AY293" s="233"/>
      <c r="AZ293" s="147"/>
      <c r="BA293" s="147"/>
    </row>
    <row r="294" spans="1:53" ht="24.75" customHeight="1">
      <c r="A294" s="145"/>
      <c r="B294" s="180" t="s">
        <v>2</v>
      </c>
      <c r="C294" s="147"/>
      <c r="D294" s="147"/>
      <c r="E294" s="147" t="s">
        <v>26</v>
      </c>
      <c r="F294" s="148" t="s">
        <v>1923</v>
      </c>
      <c r="G294" s="148"/>
      <c r="H294" s="147" t="s">
        <v>20</v>
      </c>
      <c r="I294" s="147"/>
      <c r="J294" s="147" t="s">
        <v>324</v>
      </c>
      <c r="K294" s="155" t="s">
        <v>37</v>
      </c>
      <c r="L294" s="147" t="s">
        <v>324</v>
      </c>
      <c r="M294" s="155"/>
      <c r="N294" s="147" t="s">
        <v>32</v>
      </c>
      <c r="O294" s="148"/>
      <c r="P294" s="148"/>
      <c r="Q294" s="147"/>
      <c r="R294" s="147"/>
      <c r="S294" s="147"/>
      <c r="T294" s="147"/>
      <c r="U294" s="147"/>
      <c r="V294" s="155"/>
      <c r="W294" s="147"/>
      <c r="X294" s="161"/>
      <c r="Y294" s="148"/>
      <c r="Z294" s="148"/>
      <c r="AA294" s="148"/>
      <c r="AB294" s="147"/>
      <c r="AC294" s="147"/>
      <c r="AD294" s="147"/>
      <c r="AE294" s="147"/>
      <c r="AF294" s="147"/>
      <c r="AG294" s="147"/>
      <c r="AH294" s="147"/>
      <c r="AI294" s="147"/>
      <c r="AJ294" s="147"/>
      <c r="AK294" s="147"/>
      <c r="AL294" s="147"/>
      <c r="AM294" s="147"/>
      <c r="AN294" s="147"/>
      <c r="AO294" s="147"/>
      <c r="AP294" s="147"/>
      <c r="AQ294" s="147"/>
      <c r="AR294" s="147"/>
      <c r="AS294" s="147"/>
      <c r="AT294" s="147"/>
      <c r="AU294" s="147"/>
      <c r="AV294" s="147"/>
      <c r="AW294" s="147"/>
      <c r="AX294" s="147"/>
      <c r="AY294" s="233"/>
      <c r="AZ294" s="147"/>
      <c r="BA294" s="147"/>
    </row>
    <row r="295" spans="1:53" ht="24.75" customHeight="1">
      <c r="A295" s="145"/>
      <c r="B295" s="180" t="s">
        <v>2</v>
      </c>
      <c r="C295" s="147"/>
      <c r="D295" s="147"/>
      <c r="E295" s="147" t="s">
        <v>26</v>
      </c>
      <c r="F295" s="148" t="s">
        <v>1924</v>
      </c>
      <c r="G295" s="148" t="s">
        <v>1925</v>
      </c>
      <c r="H295" s="147" t="s">
        <v>20</v>
      </c>
      <c r="I295" s="147"/>
      <c r="J295" s="147" t="s">
        <v>324</v>
      </c>
      <c r="K295" s="155" t="s">
        <v>37</v>
      </c>
      <c r="L295" s="147" t="s">
        <v>324</v>
      </c>
      <c r="M295" s="155" t="s">
        <v>325</v>
      </c>
      <c r="N295" s="147" t="s">
        <v>337</v>
      </c>
      <c r="O295" s="148" t="s">
        <v>1926</v>
      </c>
      <c r="P295" s="148" t="s">
        <v>1927</v>
      </c>
      <c r="Q295" s="147"/>
      <c r="R295" s="147"/>
      <c r="S295" s="147"/>
      <c r="T295" s="147"/>
      <c r="U295" s="147"/>
      <c r="V295" s="155" t="s">
        <v>1928</v>
      </c>
      <c r="W295" s="147"/>
      <c r="X295" s="161" t="s">
        <v>1929</v>
      </c>
      <c r="Y295" s="148"/>
      <c r="Z295" s="148"/>
      <c r="AA295" s="148" t="s">
        <v>1930</v>
      </c>
      <c r="AB295" s="147"/>
      <c r="AC295" s="147"/>
      <c r="AD295" s="147"/>
      <c r="AE295" s="147"/>
      <c r="AF295" s="147"/>
      <c r="AG295" s="147"/>
      <c r="AH295" s="147"/>
      <c r="AI295" s="147"/>
      <c r="AJ295" s="147"/>
      <c r="AK295" s="147"/>
      <c r="AL295" s="147"/>
      <c r="AM295" s="147"/>
      <c r="AN295" s="147"/>
      <c r="AO295" s="147"/>
      <c r="AP295" s="147"/>
      <c r="AQ295" s="147"/>
      <c r="AR295" s="147"/>
      <c r="AS295" s="147"/>
      <c r="AT295" s="147"/>
      <c r="AU295" s="147"/>
      <c r="AV295" s="147"/>
      <c r="AW295" s="147"/>
      <c r="AX295" s="147"/>
      <c r="AY295" s="233"/>
      <c r="AZ295" s="147"/>
      <c r="BA295" s="147"/>
    </row>
    <row r="296" spans="1:53" ht="24.75" customHeight="1">
      <c r="A296" s="145"/>
      <c r="B296" s="180" t="s">
        <v>2</v>
      </c>
      <c r="C296" s="147"/>
      <c r="D296" s="147"/>
      <c r="E296" s="147" t="s">
        <v>26</v>
      </c>
      <c r="F296" s="148" t="s">
        <v>1931</v>
      </c>
      <c r="G296" s="148" t="s">
        <v>1932</v>
      </c>
      <c r="H296" s="147" t="s">
        <v>20</v>
      </c>
      <c r="I296" s="147"/>
      <c r="J296" s="147" t="s">
        <v>1933</v>
      </c>
      <c r="K296" s="155" t="s">
        <v>37</v>
      </c>
      <c r="L296" s="147" t="s">
        <v>324</v>
      </c>
      <c r="M296" s="155"/>
      <c r="N296" s="147" t="s">
        <v>32</v>
      </c>
      <c r="O296" s="148" t="s">
        <v>1934</v>
      </c>
      <c r="P296" s="148" t="s">
        <v>1935</v>
      </c>
      <c r="Q296" s="147"/>
      <c r="R296" s="147"/>
      <c r="S296" s="147"/>
      <c r="T296" s="147"/>
      <c r="U296" s="147"/>
      <c r="V296" s="155" t="s">
        <v>1936</v>
      </c>
      <c r="W296" s="147" t="s">
        <v>1937</v>
      </c>
      <c r="X296" s="161" t="s">
        <v>1938</v>
      </c>
      <c r="Y296" s="148"/>
      <c r="Z296" s="148"/>
      <c r="AA296" s="148"/>
      <c r="AB296" s="147"/>
      <c r="AC296" s="147"/>
      <c r="AD296" s="147"/>
      <c r="AE296" s="147"/>
      <c r="AF296" s="147"/>
      <c r="AG296" s="147"/>
      <c r="AH296" s="147"/>
      <c r="AI296" s="147"/>
      <c r="AJ296" s="147"/>
      <c r="AK296" s="147"/>
      <c r="AL296" s="147"/>
      <c r="AM296" s="147"/>
      <c r="AN296" s="147"/>
      <c r="AO296" s="147"/>
      <c r="AP296" s="147"/>
      <c r="AQ296" s="147"/>
      <c r="AR296" s="147"/>
      <c r="AS296" s="147"/>
      <c r="AT296" s="147"/>
      <c r="AU296" s="147"/>
      <c r="AV296" s="147"/>
      <c r="AW296" s="147"/>
      <c r="AX296" s="147"/>
      <c r="AY296" s="233"/>
      <c r="AZ296" s="147"/>
      <c r="BA296" s="147"/>
    </row>
    <row r="297" spans="1:53" ht="24.75" customHeight="1">
      <c r="A297" s="145"/>
      <c r="B297" s="180" t="s">
        <v>2</v>
      </c>
      <c r="C297" s="147"/>
      <c r="D297" s="147"/>
      <c r="E297" s="147" t="s">
        <v>26</v>
      </c>
      <c r="F297" s="148" t="s">
        <v>1939</v>
      </c>
      <c r="G297" s="148" t="s">
        <v>1940</v>
      </c>
      <c r="H297" s="147" t="s">
        <v>20</v>
      </c>
      <c r="I297" s="147"/>
      <c r="J297" s="147" t="s">
        <v>324</v>
      </c>
      <c r="K297" s="155" t="s">
        <v>37</v>
      </c>
      <c r="L297" s="147" t="s">
        <v>324</v>
      </c>
      <c r="M297" s="155" t="s">
        <v>402</v>
      </c>
      <c r="N297" s="147"/>
      <c r="O297" s="148" t="s">
        <v>1941</v>
      </c>
      <c r="P297" s="148"/>
      <c r="Q297" s="147"/>
      <c r="R297" s="147"/>
      <c r="S297" s="147"/>
      <c r="T297" s="147"/>
      <c r="U297" s="147"/>
      <c r="V297" s="155" t="s">
        <v>1942</v>
      </c>
      <c r="W297" s="147"/>
      <c r="X297" s="161" t="s">
        <v>1943</v>
      </c>
      <c r="Y297" s="148"/>
      <c r="Z297" s="148"/>
      <c r="AA297" s="148" t="s">
        <v>1944</v>
      </c>
      <c r="AB297" s="147"/>
      <c r="AC297" s="147"/>
      <c r="AD297" s="147"/>
      <c r="AE297" s="147"/>
      <c r="AF297" s="147"/>
      <c r="AG297" s="147"/>
      <c r="AH297" s="147"/>
      <c r="AI297" s="147"/>
      <c r="AJ297" s="147"/>
      <c r="AK297" s="147"/>
      <c r="AL297" s="147"/>
      <c r="AM297" s="147"/>
      <c r="AN297" s="147"/>
      <c r="AO297" s="147"/>
      <c r="AP297" s="147"/>
      <c r="AQ297" s="147"/>
      <c r="AR297" s="147"/>
      <c r="AS297" s="147"/>
      <c r="AT297" s="147"/>
      <c r="AU297" s="147"/>
      <c r="AV297" s="147"/>
      <c r="AW297" s="147"/>
      <c r="AX297" s="147"/>
      <c r="AY297" s="233"/>
      <c r="AZ297" s="147"/>
      <c r="BA297" s="147"/>
    </row>
    <row r="298" spans="1:53" ht="24.75" customHeight="1">
      <c r="A298" s="145"/>
      <c r="B298" s="180" t="s">
        <v>2</v>
      </c>
      <c r="C298" s="147"/>
      <c r="D298" s="147"/>
      <c r="E298" s="147" t="s">
        <v>26</v>
      </c>
      <c r="F298" s="148" t="s">
        <v>1945</v>
      </c>
      <c r="G298" s="148" t="s">
        <v>1946</v>
      </c>
      <c r="H298" s="147" t="s">
        <v>20</v>
      </c>
      <c r="I298" s="147"/>
      <c r="J298" s="147" t="s">
        <v>324</v>
      </c>
      <c r="K298" s="155" t="s">
        <v>37</v>
      </c>
      <c r="L298" s="147" t="s">
        <v>324</v>
      </c>
      <c r="M298" s="155" t="s">
        <v>1947</v>
      </c>
      <c r="N298" s="147" t="s">
        <v>337</v>
      </c>
      <c r="O298" s="148" t="s">
        <v>1948</v>
      </c>
      <c r="P298" s="148" t="s">
        <v>1949</v>
      </c>
      <c r="Q298" s="147"/>
      <c r="R298" s="147"/>
      <c r="S298" s="147"/>
      <c r="T298" s="147"/>
      <c r="U298" s="147"/>
      <c r="V298" s="155" t="s">
        <v>1950</v>
      </c>
      <c r="W298" s="147"/>
      <c r="X298" s="161" t="s">
        <v>1951</v>
      </c>
      <c r="Y298" s="148"/>
      <c r="Z298" s="148"/>
      <c r="AA298" s="148" t="s">
        <v>1952</v>
      </c>
      <c r="AB298" s="147"/>
      <c r="AC298" s="147"/>
      <c r="AD298" s="147"/>
      <c r="AE298" s="147"/>
      <c r="AF298" s="147"/>
      <c r="AG298" s="147"/>
      <c r="AH298" s="147"/>
      <c r="AI298" s="147"/>
      <c r="AJ298" s="147"/>
      <c r="AK298" s="147"/>
      <c r="AL298" s="147"/>
      <c r="AM298" s="147"/>
      <c r="AN298" s="147"/>
      <c r="AO298" s="147"/>
      <c r="AP298" s="147"/>
      <c r="AQ298" s="147"/>
      <c r="AR298" s="147"/>
      <c r="AS298" s="147"/>
      <c r="AT298" s="147"/>
      <c r="AU298" s="147"/>
      <c r="AV298" s="147"/>
      <c r="AW298" s="147"/>
      <c r="AX298" s="147"/>
      <c r="AY298" s="233"/>
      <c r="AZ298" s="147"/>
      <c r="BA298" s="147"/>
    </row>
    <row r="299" spans="1:53" ht="24.75" customHeight="1">
      <c r="A299" s="145"/>
      <c r="B299" s="180" t="s">
        <v>2</v>
      </c>
      <c r="C299" s="147"/>
      <c r="D299" s="147"/>
      <c r="E299" s="147" t="s">
        <v>26</v>
      </c>
      <c r="F299" s="148" t="s">
        <v>1953</v>
      </c>
      <c r="G299" s="148" t="s">
        <v>1954</v>
      </c>
      <c r="H299" s="147" t="s">
        <v>20</v>
      </c>
      <c r="I299" s="147"/>
      <c r="J299" s="147" t="s">
        <v>324</v>
      </c>
      <c r="K299" s="155" t="s">
        <v>37</v>
      </c>
      <c r="L299" s="147" t="s">
        <v>324</v>
      </c>
      <c r="M299" s="155" t="s">
        <v>402</v>
      </c>
      <c r="N299" s="147" t="s">
        <v>32</v>
      </c>
      <c r="O299" s="148" t="s">
        <v>1955</v>
      </c>
      <c r="P299" s="148" t="s">
        <v>1956</v>
      </c>
      <c r="Q299" s="147"/>
      <c r="R299" s="147"/>
      <c r="S299" s="147"/>
      <c r="T299" s="147"/>
      <c r="U299" s="147"/>
      <c r="V299" s="155" t="s">
        <v>1957</v>
      </c>
      <c r="W299" s="147"/>
      <c r="X299" s="161" t="s">
        <v>1958</v>
      </c>
      <c r="Y299" s="148"/>
      <c r="Z299" s="159" t="s">
        <v>1959</v>
      </c>
      <c r="AA299" s="159" t="s">
        <v>1960</v>
      </c>
      <c r="AB299" s="147"/>
      <c r="AC299" s="147"/>
      <c r="AD299" s="147"/>
      <c r="AE299" s="147"/>
      <c r="AF299" s="147"/>
      <c r="AG299" s="147"/>
      <c r="AH299" s="147"/>
      <c r="AI299" s="147"/>
      <c r="AJ299" s="147"/>
      <c r="AK299" s="147"/>
      <c r="AL299" s="147"/>
      <c r="AM299" s="147"/>
      <c r="AN299" s="147"/>
      <c r="AO299" s="147"/>
      <c r="AP299" s="147"/>
      <c r="AQ299" s="147"/>
      <c r="AR299" s="147"/>
      <c r="AS299" s="147"/>
      <c r="AT299" s="147"/>
      <c r="AU299" s="147"/>
      <c r="AV299" s="147"/>
      <c r="AW299" s="147"/>
      <c r="AX299" s="147"/>
      <c r="AY299" s="233"/>
      <c r="AZ299" s="147"/>
      <c r="BA299" s="147"/>
    </row>
    <row r="300" spans="1:53" ht="24.75" customHeight="1">
      <c r="A300" s="145"/>
      <c r="B300" s="180" t="s">
        <v>2</v>
      </c>
      <c r="C300" s="147"/>
      <c r="D300" s="147"/>
      <c r="E300" s="147" t="s">
        <v>26</v>
      </c>
      <c r="F300" s="148" t="s">
        <v>1961</v>
      </c>
      <c r="G300" s="148" t="s">
        <v>1962</v>
      </c>
      <c r="H300" s="147" t="s">
        <v>20</v>
      </c>
      <c r="I300" s="147"/>
      <c r="J300" s="147" t="s">
        <v>324</v>
      </c>
      <c r="K300" s="155" t="s">
        <v>37</v>
      </c>
      <c r="L300" s="147" t="s">
        <v>324</v>
      </c>
      <c r="M300" s="155" t="s">
        <v>392</v>
      </c>
      <c r="N300" s="147" t="s">
        <v>1963</v>
      </c>
      <c r="O300" s="148" t="s">
        <v>1964</v>
      </c>
      <c r="P300" s="148" t="s">
        <v>1965</v>
      </c>
      <c r="Q300" s="147"/>
      <c r="R300" s="147"/>
      <c r="S300" s="147"/>
      <c r="T300" s="147"/>
      <c r="U300" s="147"/>
      <c r="V300" s="155" t="s">
        <v>1966</v>
      </c>
      <c r="W300" s="147"/>
      <c r="X300" s="161" t="s">
        <v>1967</v>
      </c>
      <c r="Y300" s="148"/>
      <c r="Z300" s="159"/>
      <c r="AA300" s="159" t="s">
        <v>1968</v>
      </c>
      <c r="AB300" s="147"/>
      <c r="AC300" s="147"/>
      <c r="AD300" s="147"/>
      <c r="AE300" s="147"/>
      <c r="AF300" s="147"/>
      <c r="AG300" s="147"/>
      <c r="AH300" s="147"/>
      <c r="AI300" s="147"/>
      <c r="AJ300" s="147"/>
      <c r="AK300" s="147"/>
      <c r="AL300" s="147"/>
      <c r="AM300" s="147"/>
      <c r="AN300" s="147"/>
      <c r="AO300" s="147"/>
      <c r="AP300" s="147"/>
      <c r="AQ300" s="147"/>
      <c r="AR300" s="147"/>
      <c r="AS300" s="147"/>
      <c r="AT300" s="147"/>
      <c r="AU300" s="147"/>
      <c r="AV300" s="147"/>
      <c r="AW300" s="147"/>
      <c r="AX300" s="147"/>
      <c r="AY300" s="233"/>
      <c r="AZ300" s="147"/>
      <c r="BA300" s="147"/>
    </row>
    <row r="301" spans="1:53" ht="24.75" customHeight="1">
      <c r="A301" s="187"/>
      <c r="B301" s="180" t="s">
        <v>2</v>
      </c>
      <c r="C301" s="147"/>
      <c r="D301" s="147"/>
      <c r="E301" s="147" t="s">
        <v>26</v>
      </c>
      <c r="F301" s="148" t="s">
        <v>1969</v>
      </c>
      <c r="G301" s="148" t="s">
        <v>1969</v>
      </c>
      <c r="H301" s="147" t="s">
        <v>21</v>
      </c>
      <c r="I301" s="147" t="s">
        <v>22</v>
      </c>
      <c r="J301" s="147" t="s">
        <v>1970</v>
      </c>
      <c r="K301" s="155" t="s">
        <v>1971</v>
      </c>
      <c r="L301" s="147" t="s">
        <v>1970</v>
      </c>
      <c r="M301" s="155"/>
      <c r="N301" s="155" t="s">
        <v>1972</v>
      </c>
      <c r="O301" s="148" t="s">
        <v>1973</v>
      </c>
      <c r="P301" s="148" t="s">
        <v>1974</v>
      </c>
      <c r="Q301" s="147"/>
      <c r="R301" s="147"/>
      <c r="S301" s="147"/>
      <c r="T301" s="147"/>
      <c r="U301" s="147"/>
      <c r="V301" s="155" t="s">
        <v>1975</v>
      </c>
      <c r="W301" s="147"/>
      <c r="X301" s="161" t="s">
        <v>1976</v>
      </c>
      <c r="Y301" s="148"/>
      <c r="Z301" s="161" t="s">
        <v>1977</v>
      </c>
      <c r="AA301" s="148"/>
      <c r="AB301" s="147"/>
      <c r="AC301" s="147"/>
      <c r="AD301" s="147"/>
      <c r="AE301" s="147"/>
      <c r="AF301" s="147"/>
      <c r="AG301" s="147"/>
      <c r="AH301" s="147"/>
      <c r="AI301" s="147"/>
      <c r="AJ301" s="147"/>
      <c r="AK301" s="147"/>
      <c r="AL301" s="147"/>
      <c r="AM301" s="147"/>
      <c r="AN301" s="147"/>
      <c r="AO301" s="147"/>
      <c r="AP301" s="147"/>
      <c r="AQ301" s="147"/>
      <c r="AR301" s="147"/>
      <c r="AS301" s="147"/>
      <c r="AT301" s="147"/>
      <c r="AU301" s="147"/>
      <c r="AV301" s="147"/>
      <c r="AW301" s="147"/>
      <c r="AX301" s="147"/>
      <c r="AY301" s="233"/>
      <c r="AZ301" s="147"/>
      <c r="BA301" s="147"/>
    </row>
    <row r="302" spans="1:53" ht="24.75" customHeight="1">
      <c r="A302" s="185"/>
      <c r="B302" s="180" t="s">
        <v>2</v>
      </c>
      <c r="C302" s="147"/>
      <c r="D302" s="147"/>
      <c r="E302" s="147" t="s">
        <v>26</v>
      </c>
      <c r="F302" s="148" t="s">
        <v>1978</v>
      </c>
      <c r="G302" s="148" t="s">
        <v>1979</v>
      </c>
      <c r="H302" s="147" t="s">
        <v>21</v>
      </c>
      <c r="I302" s="147" t="s">
        <v>22</v>
      </c>
      <c r="J302" s="147" t="s">
        <v>1980</v>
      </c>
      <c r="K302" s="155" t="s">
        <v>1981</v>
      </c>
      <c r="L302" s="147" t="s">
        <v>1980</v>
      </c>
      <c r="M302" s="155" t="s">
        <v>1982</v>
      </c>
      <c r="N302" s="147" t="s">
        <v>1983</v>
      </c>
      <c r="O302" s="148" t="s">
        <v>1984</v>
      </c>
      <c r="P302" s="148" t="s">
        <v>1985</v>
      </c>
      <c r="Q302" s="147"/>
      <c r="R302" s="147"/>
      <c r="S302" s="147"/>
      <c r="T302" s="147"/>
      <c r="U302" s="147"/>
      <c r="V302" s="155" t="s">
        <v>1986</v>
      </c>
      <c r="W302" s="147"/>
      <c r="X302" s="161" t="s">
        <v>1987</v>
      </c>
      <c r="Y302" s="148"/>
      <c r="Z302" s="161" t="s">
        <v>1988</v>
      </c>
      <c r="AA302" s="148" t="s">
        <v>1989</v>
      </c>
      <c r="AB302" s="147"/>
      <c r="AC302" s="147"/>
      <c r="AD302" s="147"/>
      <c r="AE302" s="147"/>
      <c r="AF302" s="147"/>
      <c r="AG302" s="147"/>
      <c r="AH302" s="147"/>
      <c r="AI302" s="147"/>
      <c r="AJ302" s="147"/>
      <c r="AK302" s="147"/>
      <c r="AL302" s="147"/>
      <c r="AM302" s="147"/>
      <c r="AN302" s="147"/>
      <c r="AO302" s="147"/>
      <c r="AP302" s="147"/>
      <c r="AQ302" s="147"/>
      <c r="AR302" s="147"/>
      <c r="AS302" s="147"/>
      <c r="AT302" s="147"/>
      <c r="AU302" s="147"/>
      <c r="AV302" s="147"/>
      <c r="AW302" s="147"/>
      <c r="AX302" s="147"/>
      <c r="AY302" s="233"/>
      <c r="AZ302" s="147"/>
      <c r="BA302" s="147"/>
    </row>
    <row r="303" spans="1:53" ht="24.75" customHeight="1">
      <c r="A303" s="187"/>
      <c r="B303" s="180" t="s">
        <v>2</v>
      </c>
      <c r="C303" s="147"/>
      <c r="D303" s="147"/>
      <c r="E303" s="147" t="s">
        <v>26</v>
      </c>
      <c r="F303" s="148" t="s">
        <v>1990</v>
      </c>
      <c r="G303" s="148" t="s">
        <v>1990</v>
      </c>
      <c r="H303" s="147" t="s">
        <v>21</v>
      </c>
      <c r="I303" s="147" t="s">
        <v>22</v>
      </c>
      <c r="J303" s="147" t="s">
        <v>682</v>
      </c>
      <c r="K303" s="155" t="s">
        <v>801</v>
      </c>
      <c r="L303" s="147" t="s">
        <v>682</v>
      </c>
      <c r="M303" s="155" t="s">
        <v>1647</v>
      </c>
      <c r="N303" s="147" t="s">
        <v>1991</v>
      </c>
      <c r="O303" s="148" t="s">
        <v>1992</v>
      </c>
      <c r="P303" s="148" t="s">
        <v>1985</v>
      </c>
      <c r="Q303" s="147"/>
      <c r="R303" s="147"/>
      <c r="S303" s="147"/>
      <c r="T303" s="147"/>
      <c r="U303" s="147"/>
      <c r="V303" s="155" t="s">
        <v>1993</v>
      </c>
      <c r="W303" s="147"/>
      <c r="X303" s="161" t="s">
        <v>1994</v>
      </c>
      <c r="Y303" s="148"/>
      <c r="Z303" s="161" t="s">
        <v>1995</v>
      </c>
      <c r="AA303" s="148" t="s">
        <v>1996</v>
      </c>
      <c r="AB303" s="147"/>
      <c r="AC303" s="147"/>
      <c r="AD303" s="147"/>
      <c r="AE303" s="147"/>
      <c r="AF303" s="147"/>
      <c r="AG303" s="147"/>
      <c r="AH303" s="147"/>
      <c r="AI303" s="147"/>
      <c r="AJ303" s="147"/>
      <c r="AK303" s="147"/>
      <c r="AL303" s="147"/>
      <c r="AM303" s="147"/>
      <c r="AN303" s="147"/>
      <c r="AO303" s="147"/>
      <c r="AP303" s="147"/>
      <c r="AQ303" s="147"/>
      <c r="AR303" s="147"/>
      <c r="AS303" s="147"/>
      <c r="AT303" s="147"/>
      <c r="AU303" s="147"/>
      <c r="AV303" s="147"/>
      <c r="AW303" s="147"/>
      <c r="AX303" s="147"/>
      <c r="AY303" s="233"/>
      <c r="AZ303" s="147"/>
      <c r="BA303" s="147"/>
    </row>
    <row r="304" spans="1:53" ht="24.75" customHeight="1">
      <c r="A304" s="145"/>
      <c r="B304" s="180" t="s">
        <v>2</v>
      </c>
      <c r="C304" s="147"/>
      <c r="D304" s="147"/>
      <c r="E304" s="147" t="s">
        <v>26</v>
      </c>
      <c r="F304" s="148" t="s">
        <v>1997</v>
      </c>
      <c r="G304" s="148" t="s">
        <v>1997</v>
      </c>
      <c r="H304" s="147" t="s">
        <v>21</v>
      </c>
      <c r="I304" s="147" t="s">
        <v>22</v>
      </c>
      <c r="J304" s="147" t="s">
        <v>1405</v>
      </c>
      <c r="K304" s="155" t="s">
        <v>40</v>
      </c>
      <c r="L304" s="147" t="s">
        <v>1405</v>
      </c>
      <c r="M304" s="155" t="s">
        <v>1998</v>
      </c>
      <c r="N304" s="147" t="s">
        <v>1999</v>
      </c>
      <c r="O304" s="148" t="s">
        <v>2000</v>
      </c>
      <c r="P304" s="148" t="s">
        <v>1042</v>
      </c>
      <c r="Q304" s="147"/>
      <c r="R304" s="147"/>
      <c r="S304" s="147"/>
      <c r="T304" s="147"/>
      <c r="U304" s="147"/>
      <c r="V304" s="155" t="s">
        <v>2001</v>
      </c>
      <c r="W304" s="147"/>
      <c r="X304" s="161" t="s">
        <v>2002</v>
      </c>
      <c r="Y304" s="148"/>
      <c r="Z304" s="161" t="s">
        <v>2003</v>
      </c>
      <c r="AA304" s="148" t="s">
        <v>2004</v>
      </c>
      <c r="AB304" s="147"/>
      <c r="AC304" s="147"/>
      <c r="AD304" s="147"/>
      <c r="AE304" s="147"/>
      <c r="AF304" s="147"/>
      <c r="AG304" s="147"/>
      <c r="AH304" s="147"/>
      <c r="AI304" s="147"/>
      <c r="AJ304" s="147"/>
      <c r="AK304" s="147"/>
      <c r="AL304" s="147"/>
      <c r="AM304" s="147"/>
      <c r="AN304" s="147"/>
      <c r="AO304" s="147"/>
      <c r="AP304" s="147"/>
      <c r="AQ304" s="147"/>
      <c r="AR304" s="147"/>
      <c r="AS304" s="147"/>
      <c r="AT304" s="147"/>
      <c r="AU304" s="147"/>
      <c r="AV304" s="147"/>
      <c r="AW304" s="147"/>
      <c r="AX304" s="147"/>
      <c r="AY304" s="233"/>
      <c r="AZ304" s="147"/>
      <c r="BA304" s="147"/>
    </row>
    <row r="305" spans="1:53" ht="24.75" customHeight="1">
      <c r="A305" s="145"/>
      <c r="B305" s="180" t="s">
        <v>2</v>
      </c>
      <c r="C305" s="147"/>
      <c r="D305" s="147"/>
      <c r="E305" s="147" t="s">
        <v>26</v>
      </c>
      <c r="F305" s="148" t="s">
        <v>2005</v>
      </c>
      <c r="G305" s="148" t="s">
        <v>2006</v>
      </c>
      <c r="H305" s="147" t="s">
        <v>20</v>
      </c>
      <c r="I305" s="147"/>
      <c r="J305" s="147" t="s">
        <v>324</v>
      </c>
      <c r="K305" s="155" t="s">
        <v>37</v>
      </c>
      <c r="L305" s="147" t="s">
        <v>324</v>
      </c>
      <c r="M305" s="155" t="s">
        <v>1859</v>
      </c>
      <c r="N305" s="147" t="s">
        <v>2007</v>
      </c>
      <c r="O305" s="148" t="s">
        <v>2008</v>
      </c>
      <c r="P305" s="148" t="s">
        <v>2009</v>
      </c>
      <c r="Q305" s="147"/>
      <c r="R305" s="147"/>
      <c r="S305" s="147"/>
      <c r="T305" s="147"/>
      <c r="U305" s="147"/>
      <c r="V305" s="155" t="s">
        <v>2010</v>
      </c>
      <c r="W305" s="147"/>
      <c r="X305" s="161" t="s">
        <v>2011</v>
      </c>
      <c r="Y305" s="148"/>
      <c r="Z305" s="148"/>
      <c r="AA305" s="148" t="s">
        <v>2012</v>
      </c>
      <c r="AB305" s="147"/>
      <c r="AC305" s="147"/>
      <c r="AD305" s="147"/>
      <c r="AE305" s="147"/>
      <c r="AF305" s="147"/>
      <c r="AG305" s="147"/>
      <c r="AH305" s="147"/>
      <c r="AI305" s="147"/>
      <c r="AJ305" s="147"/>
      <c r="AK305" s="147"/>
      <c r="AL305" s="147"/>
      <c r="AM305" s="147"/>
      <c r="AN305" s="147"/>
      <c r="AO305" s="147"/>
      <c r="AP305" s="147"/>
      <c r="AQ305" s="147"/>
      <c r="AR305" s="147"/>
      <c r="AS305" s="147"/>
      <c r="AT305" s="147"/>
      <c r="AU305" s="147"/>
      <c r="AV305" s="147"/>
      <c r="AW305" s="147"/>
      <c r="AX305" s="147"/>
      <c r="AY305" s="233"/>
      <c r="AZ305" s="147"/>
      <c r="BA305" s="147"/>
    </row>
    <row r="306" spans="1:53" ht="24.75" customHeight="1">
      <c r="A306" s="145"/>
      <c r="B306" s="180" t="s">
        <v>2</v>
      </c>
      <c r="C306" s="147"/>
      <c r="D306" s="147"/>
      <c r="E306" s="147" t="s">
        <v>26</v>
      </c>
      <c r="F306" s="148" t="s">
        <v>2013</v>
      </c>
      <c r="G306" s="148" t="s">
        <v>2014</v>
      </c>
      <c r="H306" s="147" t="s">
        <v>20</v>
      </c>
      <c r="I306" s="147"/>
      <c r="J306" s="147" t="s">
        <v>324</v>
      </c>
      <c r="K306" s="155" t="s">
        <v>37</v>
      </c>
      <c r="L306" s="147" t="s">
        <v>324</v>
      </c>
      <c r="M306" s="155" t="s">
        <v>2015</v>
      </c>
      <c r="N306" s="147"/>
      <c r="O306" s="148" t="s">
        <v>2016</v>
      </c>
      <c r="P306" s="148" t="s">
        <v>1146</v>
      </c>
      <c r="Q306" s="147"/>
      <c r="R306" s="147"/>
      <c r="S306" s="147"/>
      <c r="T306" s="147"/>
      <c r="U306" s="147"/>
      <c r="V306" s="155" t="s">
        <v>2017</v>
      </c>
      <c r="W306" s="147"/>
      <c r="X306" s="161" t="s">
        <v>2018</v>
      </c>
      <c r="Y306" s="148"/>
      <c r="Z306" s="148"/>
      <c r="AA306" s="148" t="s">
        <v>2019</v>
      </c>
      <c r="AB306" s="147"/>
      <c r="AC306" s="147"/>
      <c r="AD306" s="147"/>
      <c r="AE306" s="147"/>
      <c r="AF306" s="147"/>
      <c r="AG306" s="147"/>
      <c r="AH306" s="147"/>
      <c r="AI306" s="147"/>
      <c r="AJ306" s="147"/>
      <c r="AK306" s="147"/>
      <c r="AL306" s="147"/>
      <c r="AM306" s="147"/>
      <c r="AN306" s="147"/>
      <c r="AO306" s="147"/>
      <c r="AP306" s="147"/>
      <c r="AQ306" s="147"/>
      <c r="AR306" s="147"/>
      <c r="AS306" s="147"/>
      <c r="AT306" s="147"/>
      <c r="AU306" s="147"/>
      <c r="AV306" s="147"/>
      <c r="AW306" s="147"/>
      <c r="AX306" s="147"/>
      <c r="AY306" s="233"/>
      <c r="AZ306" s="147"/>
      <c r="BA306" s="147"/>
    </row>
    <row r="307" spans="1:53" ht="24.75" customHeight="1">
      <c r="A307" s="145"/>
      <c r="B307" s="180" t="s">
        <v>2</v>
      </c>
      <c r="C307" s="147"/>
      <c r="D307" s="147"/>
      <c r="E307" s="147" t="s">
        <v>26</v>
      </c>
      <c r="F307" s="148" t="s">
        <v>2020</v>
      </c>
      <c r="G307" s="148" t="s">
        <v>2021</v>
      </c>
      <c r="H307" s="147" t="s">
        <v>20</v>
      </c>
      <c r="I307" s="147"/>
      <c r="J307" s="147" t="s">
        <v>324</v>
      </c>
      <c r="K307" s="155" t="s">
        <v>37</v>
      </c>
      <c r="L307" s="147" t="s">
        <v>324</v>
      </c>
      <c r="M307" s="155" t="s">
        <v>402</v>
      </c>
      <c r="N307" s="147"/>
      <c r="O307" s="148" t="s">
        <v>2022</v>
      </c>
      <c r="P307" s="148" t="s">
        <v>1146</v>
      </c>
      <c r="Q307" s="147"/>
      <c r="R307" s="147"/>
      <c r="S307" s="147"/>
      <c r="T307" s="147"/>
      <c r="U307" s="147"/>
      <c r="V307" s="155" t="s">
        <v>2023</v>
      </c>
      <c r="W307" s="147"/>
      <c r="X307" s="161" t="s">
        <v>2024</v>
      </c>
      <c r="Y307" s="148"/>
      <c r="Z307" s="148"/>
      <c r="AA307" s="148" t="s">
        <v>2025</v>
      </c>
      <c r="AB307" s="147"/>
      <c r="AC307" s="147"/>
      <c r="AD307" s="147"/>
      <c r="AE307" s="147"/>
      <c r="AF307" s="147"/>
      <c r="AG307" s="147"/>
      <c r="AH307" s="147"/>
      <c r="AI307" s="147"/>
      <c r="AJ307" s="147"/>
      <c r="AK307" s="147"/>
      <c r="AL307" s="147"/>
      <c r="AM307" s="147"/>
      <c r="AN307" s="147"/>
      <c r="AO307" s="147"/>
      <c r="AP307" s="147"/>
      <c r="AQ307" s="147"/>
      <c r="AR307" s="147"/>
      <c r="AS307" s="147"/>
      <c r="AT307" s="147"/>
      <c r="AU307" s="147"/>
      <c r="AV307" s="147"/>
      <c r="AW307" s="147"/>
      <c r="AX307" s="147"/>
      <c r="AY307" s="233"/>
      <c r="AZ307" s="147"/>
      <c r="BA307" s="147"/>
    </row>
    <row r="308" spans="1:53" ht="24.75" customHeight="1">
      <c r="A308" s="145"/>
      <c r="B308" s="180" t="s">
        <v>2</v>
      </c>
      <c r="C308" s="147"/>
      <c r="D308" s="147"/>
      <c r="E308" s="147" t="s">
        <v>26</v>
      </c>
      <c r="F308" s="148" t="s">
        <v>2026</v>
      </c>
      <c r="G308" s="148" t="s">
        <v>2027</v>
      </c>
      <c r="H308" s="147" t="s">
        <v>20</v>
      </c>
      <c r="I308" s="147"/>
      <c r="J308" s="147" t="s">
        <v>324</v>
      </c>
      <c r="K308" s="155" t="s">
        <v>37</v>
      </c>
      <c r="L308" s="147" t="s">
        <v>324</v>
      </c>
      <c r="M308" s="155" t="s">
        <v>402</v>
      </c>
      <c r="N308" s="147" t="s">
        <v>2028</v>
      </c>
      <c r="O308" s="148" t="s">
        <v>2029</v>
      </c>
      <c r="P308" s="148" t="s">
        <v>2030</v>
      </c>
      <c r="Q308" s="147"/>
      <c r="R308" s="147"/>
      <c r="S308" s="147"/>
      <c r="T308" s="147"/>
      <c r="U308" s="147"/>
      <c r="V308" s="155" t="s">
        <v>2031</v>
      </c>
      <c r="W308" s="147"/>
      <c r="X308" s="161" t="s">
        <v>2032</v>
      </c>
      <c r="Y308" s="148"/>
      <c r="Z308" s="148"/>
      <c r="AA308" s="148" t="s">
        <v>2033</v>
      </c>
      <c r="AB308" s="147"/>
      <c r="AC308" s="147"/>
      <c r="AD308" s="147"/>
      <c r="AE308" s="147"/>
      <c r="AF308" s="147"/>
      <c r="AG308" s="147"/>
      <c r="AH308" s="147"/>
      <c r="AI308" s="147"/>
      <c r="AJ308" s="147"/>
      <c r="AK308" s="147"/>
      <c r="AL308" s="147"/>
      <c r="AM308" s="147"/>
      <c r="AN308" s="147"/>
      <c r="AO308" s="147"/>
      <c r="AP308" s="147"/>
      <c r="AQ308" s="147"/>
      <c r="AR308" s="147"/>
      <c r="AS308" s="147"/>
      <c r="AT308" s="147"/>
      <c r="AU308" s="147"/>
      <c r="AV308" s="147"/>
      <c r="AW308" s="147"/>
      <c r="AX308" s="147"/>
      <c r="AY308" s="233"/>
      <c r="AZ308" s="147"/>
      <c r="BA308" s="147"/>
    </row>
    <row r="309" spans="1:53" ht="24.75" customHeight="1">
      <c r="A309" s="145"/>
      <c r="B309" s="180" t="s">
        <v>2</v>
      </c>
      <c r="C309" s="147"/>
      <c r="D309" s="147"/>
      <c r="E309" s="147" t="s">
        <v>26</v>
      </c>
      <c r="F309" s="148" t="s">
        <v>2034</v>
      </c>
      <c r="G309" s="148" t="s">
        <v>2035</v>
      </c>
      <c r="H309" s="147" t="s">
        <v>20</v>
      </c>
      <c r="I309" s="147"/>
      <c r="J309" s="147" t="s">
        <v>324</v>
      </c>
      <c r="K309" s="155" t="s">
        <v>37</v>
      </c>
      <c r="L309" s="147" t="s">
        <v>324</v>
      </c>
      <c r="M309" s="155" t="s">
        <v>2036</v>
      </c>
      <c r="N309" s="147"/>
      <c r="O309" s="148" t="s">
        <v>2037</v>
      </c>
      <c r="P309" s="148" t="s">
        <v>2038</v>
      </c>
      <c r="Q309" s="147"/>
      <c r="R309" s="147"/>
      <c r="S309" s="147"/>
      <c r="T309" s="147"/>
      <c r="U309" s="147"/>
      <c r="V309" s="155" t="s">
        <v>2039</v>
      </c>
      <c r="W309" s="147"/>
      <c r="X309" s="161" t="s">
        <v>2040</v>
      </c>
      <c r="Y309" s="148"/>
      <c r="Z309" s="148"/>
      <c r="AA309" s="148"/>
      <c r="AB309" s="147"/>
      <c r="AC309" s="147"/>
      <c r="AD309" s="147"/>
      <c r="AE309" s="147"/>
      <c r="AF309" s="147"/>
      <c r="AG309" s="147"/>
      <c r="AH309" s="147"/>
      <c r="AI309" s="147"/>
      <c r="AJ309" s="147"/>
      <c r="AK309" s="147"/>
      <c r="AL309" s="147"/>
      <c r="AM309" s="147"/>
      <c r="AN309" s="147"/>
      <c r="AO309" s="147"/>
      <c r="AP309" s="147"/>
      <c r="AQ309" s="147"/>
      <c r="AR309" s="147"/>
      <c r="AS309" s="147"/>
      <c r="AT309" s="147"/>
      <c r="AU309" s="147"/>
      <c r="AV309" s="147"/>
      <c r="AW309" s="147"/>
      <c r="AX309" s="147"/>
      <c r="AY309" s="233"/>
      <c r="AZ309" s="147"/>
      <c r="BA309" s="147"/>
    </row>
    <row r="310" spans="1:53" ht="24.75" customHeight="1">
      <c r="A310" s="145"/>
      <c r="B310" s="180" t="s">
        <v>2</v>
      </c>
      <c r="C310" s="147"/>
      <c r="D310" s="147"/>
      <c r="E310" s="147" t="s">
        <v>26</v>
      </c>
      <c r="F310" s="148" t="s">
        <v>2041</v>
      </c>
      <c r="G310" s="148" t="s">
        <v>2042</v>
      </c>
      <c r="H310" s="147" t="s">
        <v>20</v>
      </c>
      <c r="I310" s="147"/>
      <c r="J310" s="147" t="s">
        <v>324</v>
      </c>
      <c r="K310" s="155" t="s">
        <v>37</v>
      </c>
      <c r="L310" s="147" t="s">
        <v>324</v>
      </c>
      <c r="M310" s="155" t="s">
        <v>313</v>
      </c>
      <c r="N310" s="147" t="s">
        <v>32</v>
      </c>
      <c r="O310" s="148" t="s">
        <v>2043</v>
      </c>
      <c r="P310" s="148" t="s">
        <v>2044</v>
      </c>
      <c r="Q310" s="147"/>
      <c r="R310" s="147"/>
      <c r="S310" s="147"/>
      <c r="T310" s="147"/>
      <c r="U310" s="147"/>
      <c r="V310" s="155" t="s">
        <v>2045</v>
      </c>
      <c r="W310" s="147"/>
      <c r="X310" s="148" t="s">
        <v>2046</v>
      </c>
      <c r="Y310" s="148"/>
      <c r="Z310" s="148"/>
      <c r="AA310" s="148" t="s">
        <v>2047</v>
      </c>
      <c r="AB310" s="147"/>
      <c r="AC310" s="147"/>
      <c r="AD310" s="147"/>
      <c r="AE310" s="147"/>
      <c r="AF310" s="147"/>
      <c r="AG310" s="147"/>
      <c r="AH310" s="147"/>
      <c r="AI310" s="147"/>
      <c r="AJ310" s="147"/>
      <c r="AK310" s="147"/>
      <c r="AL310" s="147"/>
      <c r="AM310" s="147"/>
      <c r="AN310" s="147"/>
      <c r="AO310" s="147"/>
      <c r="AP310" s="147"/>
      <c r="AQ310" s="147"/>
      <c r="AR310" s="147"/>
      <c r="AS310" s="147"/>
      <c r="AT310" s="147"/>
      <c r="AU310" s="147"/>
      <c r="AV310" s="147"/>
      <c r="AW310" s="147"/>
      <c r="AX310" s="147"/>
      <c r="AY310" s="233"/>
      <c r="AZ310" s="147"/>
      <c r="BA310" s="147"/>
    </row>
    <row r="311" spans="1:53" ht="24.75" customHeight="1">
      <c r="A311" s="145"/>
      <c r="B311" s="180" t="s">
        <v>2</v>
      </c>
      <c r="C311" s="147"/>
      <c r="D311" s="147"/>
      <c r="E311" s="147" t="s">
        <v>26</v>
      </c>
      <c r="F311" s="148" t="s">
        <v>2048</v>
      </c>
      <c r="G311" s="148" t="s">
        <v>2049</v>
      </c>
      <c r="H311" s="147" t="s">
        <v>20</v>
      </c>
      <c r="I311" s="147"/>
      <c r="J311" s="147" t="s">
        <v>324</v>
      </c>
      <c r="K311" s="155" t="s">
        <v>37</v>
      </c>
      <c r="L311" s="147" t="s">
        <v>324</v>
      </c>
      <c r="M311" s="155" t="s">
        <v>2050</v>
      </c>
      <c r="N311" s="147" t="s">
        <v>32</v>
      </c>
      <c r="O311" s="148" t="s">
        <v>2051</v>
      </c>
      <c r="P311" s="148" t="s">
        <v>2052</v>
      </c>
      <c r="Q311" s="147"/>
      <c r="R311" s="147"/>
      <c r="S311" s="147"/>
      <c r="T311" s="147"/>
      <c r="U311" s="147"/>
      <c r="V311" s="155" t="s">
        <v>2053</v>
      </c>
      <c r="W311" s="147"/>
      <c r="X311" s="148" t="s">
        <v>2054</v>
      </c>
      <c r="Y311" s="148"/>
      <c r="Z311" s="161" t="s">
        <v>2055</v>
      </c>
      <c r="AA311" s="148"/>
      <c r="AB311" s="147"/>
      <c r="AC311" s="147"/>
      <c r="AD311" s="147"/>
      <c r="AE311" s="147"/>
      <c r="AF311" s="147"/>
      <c r="AG311" s="147"/>
      <c r="AH311" s="147"/>
      <c r="AI311" s="147"/>
      <c r="AJ311" s="147"/>
      <c r="AK311" s="147"/>
      <c r="AL311" s="147"/>
      <c r="AM311" s="147"/>
      <c r="AN311" s="147"/>
      <c r="AO311" s="147"/>
      <c r="AP311" s="147"/>
      <c r="AQ311" s="147"/>
      <c r="AR311" s="147"/>
      <c r="AS311" s="147"/>
      <c r="AT311" s="147"/>
      <c r="AU311" s="147"/>
      <c r="AV311" s="147"/>
      <c r="AW311" s="147"/>
      <c r="AX311" s="147"/>
      <c r="AY311" s="233"/>
      <c r="AZ311" s="147"/>
      <c r="BA311" s="147"/>
    </row>
    <row r="312" spans="1:53" ht="24.75" customHeight="1">
      <c r="A312" s="145"/>
      <c r="B312" s="180" t="s">
        <v>2</v>
      </c>
      <c r="C312" s="147"/>
      <c r="D312" s="147"/>
      <c r="E312" s="147" t="s">
        <v>26</v>
      </c>
      <c r="F312" s="148" t="s">
        <v>2056</v>
      </c>
      <c r="G312" s="148" t="s">
        <v>2057</v>
      </c>
      <c r="H312" s="147" t="s">
        <v>20</v>
      </c>
      <c r="I312" s="147"/>
      <c r="J312" s="147" t="s">
        <v>324</v>
      </c>
      <c r="K312" s="155" t="s">
        <v>37</v>
      </c>
      <c r="L312" s="147" t="s">
        <v>324</v>
      </c>
      <c r="M312" s="155" t="s">
        <v>325</v>
      </c>
      <c r="N312" s="147" t="s">
        <v>34</v>
      </c>
      <c r="O312" s="148" t="s">
        <v>2058</v>
      </c>
      <c r="P312" s="148" t="s">
        <v>1893</v>
      </c>
      <c r="Q312" s="147"/>
      <c r="R312" s="147"/>
      <c r="S312" s="147"/>
      <c r="T312" s="147"/>
      <c r="U312" s="147"/>
      <c r="V312" s="155" t="s">
        <v>2059</v>
      </c>
      <c r="W312" s="147"/>
      <c r="X312" s="161" t="s">
        <v>2060</v>
      </c>
      <c r="Y312" s="148"/>
      <c r="Z312" s="161" t="s">
        <v>2061</v>
      </c>
      <c r="AA312" s="148" t="s">
        <v>2062</v>
      </c>
      <c r="AB312" s="147"/>
      <c r="AC312" s="147"/>
      <c r="AD312" s="147"/>
      <c r="AE312" s="147"/>
      <c r="AF312" s="147"/>
      <c r="AG312" s="147"/>
      <c r="AH312" s="147"/>
      <c r="AI312" s="147"/>
      <c r="AJ312" s="147"/>
      <c r="AK312" s="147"/>
      <c r="AL312" s="147"/>
      <c r="AM312" s="147"/>
      <c r="AN312" s="147"/>
      <c r="AO312" s="147"/>
      <c r="AP312" s="147"/>
      <c r="AQ312" s="147"/>
      <c r="AR312" s="147"/>
      <c r="AS312" s="147"/>
      <c r="AT312" s="147"/>
      <c r="AU312" s="147"/>
      <c r="AV312" s="147"/>
      <c r="AW312" s="147"/>
      <c r="AX312" s="147"/>
      <c r="AY312" s="233"/>
      <c r="AZ312" s="147"/>
      <c r="BA312" s="147"/>
    </row>
    <row r="313" spans="1:53" ht="24.75" customHeight="1">
      <c r="A313" s="145"/>
      <c r="B313" s="180" t="s">
        <v>2</v>
      </c>
      <c r="C313" s="147"/>
      <c r="D313" s="147"/>
      <c r="E313" s="147" t="s">
        <v>1823</v>
      </c>
      <c r="F313" s="148" t="s">
        <v>2063</v>
      </c>
      <c r="G313" s="148" t="s">
        <v>2064</v>
      </c>
      <c r="H313" s="147" t="s">
        <v>20</v>
      </c>
      <c r="I313" s="147"/>
      <c r="J313" s="147" t="s">
        <v>324</v>
      </c>
      <c r="K313" s="155" t="s">
        <v>37</v>
      </c>
      <c r="L313" s="147" t="s">
        <v>324</v>
      </c>
      <c r="M313" s="155" t="s">
        <v>2065</v>
      </c>
      <c r="N313" s="147" t="s">
        <v>34</v>
      </c>
      <c r="O313" s="148" t="s">
        <v>2066</v>
      </c>
      <c r="P313" s="148" t="s">
        <v>2067</v>
      </c>
      <c r="Q313" s="147"/>
      <c r="R313" s="147"/>
      <c r="S313" s="147"/>
      <c r="T313" s="147"/>
      <c r="U313" s="147"/>
      <c r="V313" s="155" t="s">
        <v>2068</v>
      </c>
      <c r="W313" s="147"/>
      <c r="X313" s="161" t="s">
        <v>2069</v>
      </c>
      <c r="Y313" s="148"/>
      <c r="Z313" s="148"/>
      <c r="AA313" s="148"/>
      <c r="AB313" s="147"/>
      <c r="AC313" s="147"/>
      <c r="AD313" s="147"/>
      <c r="AE313" s="147"/>
      <c r="AF313" s="147"/>
      <c r="AG313" s="147"/>
      <c r="AH313" s="147"/>
      <c r="AI313" s="147"/>
      <c r="AJ313" s="147"/>
      <c r="AK313" s="147"/>
      <c r="AL313" s="147"/>
      <c r="AM313" s="147"/>
      <c r="AN313" s="147"/>
      <c r="AO313" s="147"/>
      <c r="AP313" s="147"/>
      <c r="AQ313" s="147"/>
      <c r="AR313" s="147"/>
      <c r="AS313" s="147"/>
      <c r="AT313" s="147"/>
      <c r="AU313" s="147"/>
      <c r="AV313" s="147"/>
      <c r="AW313" s="147"/>
      <c r="AX313" s="147"/>
      <c r="AY313" s="233"/>
      <c r="AZ313" s="147"/>
      <c r="BA313" s="147"/>
    </row>
    <row r="314" spans="1:53" ht="24.75" customHeight="1">
      <c r="A314" s="145"/>
      <c r="B314" s="180" t="s">
        <v>2</v>
      </c>
      <c r="C314" s="147"/>
      <c r="D314" s="147"/>
      <c r="E314" s="147" t="s">
        <v>26</v>
      </c>
      <c r="F314" s="148" t="s">
        <v>2070</v>
      </c>
      <c r="G314" s="148" t="s">
        <v>2071</v>
      </c>
      <c r="H314" s="147" t="s">
        <v>20</v>
      </c>
      <c r="I314" s="147"/>
      <c r="J314" s="147" t="s">
        <v>324</v>
      </c>
      <c r="K314" s="155" t="s">
        <v>37</v>
      </c>
      <c r="L314" s="147" t="s">
        <v>324</v>
      </c>
      <c r="M314" s="155" t="s">
        <v>392</v>
      </c>
      <c r="N314" s="147" t="s">
        <v>32</v>
      </c>
      <c r="O314" s="148" t="s">
        <v>2072</v>
      </c>
      <c r="P314" s="148" t="s">
        <v>2073</v>
      </c>
      <c r="Q314" s="147"/>
      <c r="R314" s="147" t="s">
        <v>1059</v>
      </c>
      <c r="S314" s="147"/>
      <c r="T314" s="147"/>
      <c r="U314" s="147"/>
      <c r="V314" s="155" t="s">
        <v>2074</v>
      </c>
      <c r="W314" s="147"/>
      <c r="X314" s="161" t="s">
        <v>2075</v>
      </c>
      <c r="Y314" s="148"/>
      <c r="Z314" s="148"/>
      <c r="AA314" s="148"/>
      <c r="AB314" s="147"/>
      <c r="AC314" s="147"/>
      <c r="AD314" s="147"/>
      <c r="AE314" s="147"/>
      <c r="AF314" s="147"/>
      <c r="AG314" s="147"/>
      <c r="AH314" s="147"/>
      <c r="AI314" s="147"/>
      <c r="AJ314" s="147"/>
      <c r="AK314" s="147"/>
      <c r="AL314" s="147"/>
      <c r="AM314" s="147"/>
      <c r="AN314" s="147"/>
      <c r="AO314" s="147"/>
      <c r="AP314" s="147"/>
      <c r="AQ314" s="147"/>
      <c r="AR314" s="147"/>
      <c r="AS314" s="147"/>
      <c r="AT314" s="147"/>
      <c r="AU314" s="147"/>
      <c r="AV314" s="147"/>
      <c r="AW314" s="147"/>
      <c r="AX314" s="147"/>
      <c r="AY314" s="233"/>
      <c r="AZ314" s="147"/>
      <c r="BA314" s="147"/>
    </row>
    <row r="315" spans="1:53" ht="24.75" customHeight="1">
      <c r="A315" s="145"/>
      <c r="B315" s="188"/>
      <c r="C315" s="147"/>
      <c r="D315" s="147"/>
      <c r="E315" s="147" t="s">
        <v>26</v>
      </c>
      <c r="F315" s="191" t="s">
        <v>2076</v>
      </c>
      <c r="G315" s="148"/>
      <c r="H315" s="147" t="s">
        <v>22</v>
      </c>
      <c r="I315" s="147"/>
      <c r="J315" s="147"/>
      <c r="K315" s="155" t="s">
        <v>2077</v>
      </c>
      <c r="L315" s="192" t="s">
        <v>1074</v>
      </c>
      <c r="M315" s="155"/>
      <c r="N315" s="192" t="s">
        <v>31</v>
      </c>
      <c r="O315" s="148"/>
      <c r="P315" s="148"/>
      <c r="Q315" s="147"/>
      <c r="R315" s="147" t="s">
        <v>1059</v>
      </c>
      <c r="S315" s="147"/>
      <c r="T315" s="147"/>
      <c r="U315" s="147"/>
      <c r="V315" s="155"/>
      <c r="W315" s="147"/>
      <c r="X315" s="148"/>
      <c r="Y315" s="148"/>
      <c r="Z315" s="148"/>
      <c r="AA315" s="148"/>
      <c r="AB315" s="147"/>
      <c r="AC315" s="147"/>
      <c r="AD315" s="147"/>
      <c r="AE315" s="147"/>
      <c r="AF315" s="147"/>
      <c r="AG315" s="147"/>
      <c r="AH315" s="147"/>
      <c r="AI315" s="147"/>
      <c r="AJ315" s="147"/>
      <c r="AK315" s="147"/>
      <c r="AL315" s="147"/>
      <c r="AM315" s="147"/>
      <c r="AN315" s="147"/>
      <c r="AO315" s="147"/>
      <c r="AP315" s="147"/>
      <c r="AQ315" s="147"/>
      <c r="AR315" s="147"/>
      <c r="AS315" s="147"/>
      <c r="AT315" s="147"/>
      <c r="AU315" s="147"/>
      <c r="AV315" s="147"/>
      <c r="AW315" s="147"/>
      <c r="AX315" s="147"/>
      <c r="AY315" s="233"/>
      <c r="AZ315" s="147"/>
      <c r="BA315" s="147"/>
    </row>
    <row r="316" spans="1:53" ht="24.75" customHeight="1">
      <c r="A316" s="145"/>
      <c r="B316" s="180" t="s">
        <v>2</v>
      </c>
      <c r="C316" s="147"/>
      <c r="D316" s="147"/>
      <c r="E316" s="147"/>
      <c r="F316" s="199" t="s">
        <v>2078</v>
      </c>
      <c r="G316" s="148" t="s">
        <v>2079</v>
      </c>
      <c r="H316" s="147" t="s">
        <v>20</v>
      </c>
      <c r="I316" s="147"/>
      <c r="J316" s="147"/>
      <c r="K316" s="155" t="s">
        <v>37</v>
      </c>
      <c r="L316" s="193" t="s">
        <v>324</v>
      </c>
      <c r="M316" s="155"/>
      <c r="N316" s="193" t="s">
        <v>34</v>
      </c>
      <c r="O316" s="148"/>
      <c r="P316" s="148"/>
      <c r="Q316" s="147"/>
      <c r="R316" s="147" t="s">
        <v>1059</v>
      </c>
      <c r="S316" s="147"/>
      <c r="T316" s="147"/>
      <c r="U316" s="147"/>
      <c r="V316" s="155"/>
      <c r="W316" s="147"/>
      <c r="X316" s="212" t="s">
        <v>2080</v>
      </c>
      <c r="Y316" s="148"/>
      <c r="Z316" s="148"/>
      <c r="AA316" s="148"/>
      <c r="AB316" s="147"/>
      <c r="AC316" s="147"/>
      <c r="AD316" s="147"/>
      <c r="AE316" s="147"/>
      <c r="AF316" s="147"/>
      <c r="AG316" s="147"/>
      <c r="AH316" s="147"/>
      <c r="AI316" s="147"/>
      <c r="AJ316" s="147"/>
      <c r="AK316" s="147"/>
      <c r="AL316" s="147"/>
      <c r="AM316" s="147"/>
      <c r="AN316" s="147"/>
      <c r="AO316" s="147"/>
      <c r="AP316" s="147"/>
      <c r="AQ316" s="147"/>
      <c r="AR316" s="147"/>
      <c r="AS316" s="147"/>
      <c r="AT316" s="147"/>
      <c r="AU316" s="147"/>
      <c r="AV316" s="147"/>
      <c r="AW316" s="147"/>
      <c r="AX316" s="147"/>
      <c r="AY316" s="233"/>
      <c r="AZ316" s="147"/>
      <c r="BA316" s="147"/>
    </row>
    <row r="317" spans="1:53" ht="24.75" customHeight="1">
      <c r="A317" s="145"/>
      <c r="B317" s="188"/>
      <c r="C317" s="147"/>
      <c r="D317" s="147"/>
      <c r="E317" s="147"/>
      <c r="F317" s="199" t="s">
        <v>2081</v>
      </c>
      <c r="G317" s="148"/>
      <c r="H317" s="147" t="s">
        <v>22</v>
      </c>
      <c r="I317" s="147"/>
      <c r="J317" s="147"/>
      <c r="K317" s="155" t="s">
        <v>2077</v>
      </c>
      <c r="L317" s="193" t="s">
        <v>39</v>
      </c>
      <c r="M317" s="155"/>
      <c r="N317" s="193" t="s">
        <v>2082</v>
      </c>
      <c r="O317" s="148"/>
      <c r="P317" s="148"/>
      <c r="Q317" s="147"/>
      <c r="R317" s="147"/>
      <c r="S317" s="147"/>
      <c r="T317" s="147"/>
      <c r="U317" s="147"/>
      <c r="V317" s="155"/>
      <c r="W317" s="147"/>
      <c r="X317" s="148"/>
      <c r="Y317" s="148"/>
      <c r="Z317" s="148"/>
      <c r="AA317" s="148"/>
      <c r="AB317" s="147"/>
      <c r="AC317" s="147"/>
      <c r="AD317" s="147"/>
      <c r="AE317" s="147"/>
      <c r="AF317" s="147"/>
      <c r="AG317" s="147"/>
      <c r="AH317" s="147"/>
      <c r="AI317" s="147"/>
      <c r="AJ317" s="147"/>
      <c r="AK317" s="147"/>
      <c r="AL317" s="147"/>
      <c r="AM317" s="147"/>
      <c r="AN317" s="147"/>
      <c r="AO317" s="147"/>
      <c r="AP317" s="147"/>
      <c r="AQ317" s="147"/>
      <c r="AR317" s="147"/>
      <c r="AS317" s="147"/>
      <c r="AT317" s="147"/>
      <c r="AU317" s="147"/>
      <c r="AV317" s="147"/>
      <c r="AW317" s="147"/>
      <c r="AX317" s="147"/>
      <c r="AY317" s="233"/>
      <c r="AZ317" s="147"/>
      <c r="BA317" s="147"/>
    </row>
    <row r="318" spans="1:53" ht="24.75" customHeight="1">
      <c r="A318" s="145"/>
      <c r="B318" s="180" t="s">
        <v>2</v>
      </c>
      <c r="C318" s="147"/>
      <c r="D318" s="147"/>
      <c r="E318" s="147" t="s">
        <v>26</v>
      </c>
      <c r="F318" s="199" t="s">
        <v>2083</v>
      </c>
      <c r="G318" s="148"/>
      <c r="H318" s="147" t="s">
        <v>20</v>
      </c>
      <c r="I318" s="147"/>
      <c r="J318" s="147"/>
      <c r="K318" s="155" t="s">
        <v>37</v>
      </c>
      <c r="L318" s="193" t="s">
        <v>324</v>
      </c>
      <c r="M318" s="155"/>
      <c r="N318" s="193" t="s">
        <v>34</v>
      </c>
      <c r="O318" s="148"/>
      <c r="P318" s="148"/>
      <c r="Q318" s="147"/>
      <c r="R318" s="147" t="s">
        <v>1059</v>
      </c>
      <c r="S318" s="147"/>
      <c r="T318" s="147"/>
      <c r="U318" s="147"/>
      <c r="V318" s="155"/>
      <c r="W318" s="147"/>
      <c r="X318" s="148"/>
      <c r="Y318" s="148"/>
      <c r="Z318" s="148"/>
      <c r="AA318" s="148"/>
      <c r="AB318" s="147"/>
      <c r="AC318" s="147"/>
      <c r="AD318" s="147"/>
      <c r="AE318" s="147"/>
      <c r="AF318" s="147"/>
      <c r="AG318" s="147"/>
      <c r="AH318" s="147"/>
      <c r="AI318" s="147"/>
      <c r="AJ318" s="147"/>
      <c r="AK318" s="147"/>
      <c r="AL318" s="147"/>
      <c r="AM318" s="147"/>
      <c r="AN318" s="147"/>
      <c r="AO318" s="147"/>
      <c r="AP318" s="147"/>
      <c r="AQ318" s="147"/>
      <c r="AR318" s="147"/>
      <c r="AS318" s="147"/>
      <c r="AT318" s="147"/>
      <c r="AU318" s="147"/>
      <c r="AV318" s="147"/>
      <c r="AW318" s="147"/>
      <c r="AX318" s="147"/>
      <c r="AY318" s="233"/>
      <c r="AZ318" s="147"/>
      <c r="BA318" s="147"/>
    </row>
    <row r="319" spans="1:53" ht="24.75" customHeight="1">
      <c r="A319" s="145"/>
      <c r="B319" s="188"/>
      <c r="C319" s="147"/>
      <c r="D319" s="147"/>
      <c r="E319" s="147"/>
      <c r="F319" s="199" t="s">
        <v>2084</v>
      </c>
      <c r="G319" s="148"/>
      <c r="H319" s="147" t="s">
        <v>22</v>
      </c>
      <c r="I319" s="147"/>
      <c r="J319" s="147"/>
      <c r="K319" s="155" t="s">
        <v>2077</v>
      </c>
      <c r="L319" s="193" t="s">
        <v>39</v>
      </c>
      <c r="M319" s="155"/>
      <c r="N319" s="193" t="s">
        <v>31</v>
      </c>
      <c r="O319" s="148"/>
      <c r="P319" s="148"/>
      <c r="Q319" s="147"/>
      <c r="R319" s="147" t="s">
        <v>1059</v>
      </c>
      <c r="S319" s="147"/>
      <c r="T319" s="147"/>
      <c r="U319" s="147"/>
      <c r="V319" s="155"/>
      <c r="W319" s="147"/>
      <c r="X319" s="148"/>
      <c r="Y319" s="148"/>
      <c r="Z319" s="148"/>
      <c r="AA319" s="148"/>
      <c r="AB319" s="147"/>
      <c r="AC319" s="147"/>
      <c r="AD319" s="147"/>
      <c r="AE319" s="147"/>
      <c r="AF319" s="147"/>
      <c r="AG319" s="147"/>
      <c r="AH319" s="147"/>
      <c r="AI319" s="147"/>
      <c r="AJ319" s="147"/>
      <c r="AK319" s="147"/>
      <c r="AL319" s="147"/>
      <c r="AM319" s="147"/>
      <c r="AN319" s="147"/>
      <c r="AO319" s="147"/>
      <c r="AP319" s="147"/>
      <c r="AQ319" s="147"/>
      <c r="AR319" s="147"/>
      <c r="AS319" s="147"/>
      <c r="AT319" s="147"/>
      <c r="AU319" s="147"/>
      <c r="AV319" s="147"/>
      <c r="AW319" s="147"/>
      <c r="AX319" s="147"/>
      <c r="AY319" s="233"/>
      <c r="AZ319" s="147"/>
      <c r="BA319" s="147"/>
    </row>
    <row r="320" spans="1:53" ht="24.75" customHeight="1">
      <c r="A320" s="145"/>
      <c r="B320" s="188"/>
      <c r="C320" s="147"/>
      <c r="D320" s="147"/>
      <c r="E320" s="147"/>
      <c r="F320" s="199" t="s">
        <v>2085</v>
      </c>
      <c r="G320" s="148"/>
      <c r="H320" s="147" t="s">
        <v>22</v>
      </c>
      <c r="I320" s="147"/>
      <c r="J320" s="147"/>
      <c r="K320" s="155" t="s">
        <v>2077</v>
      </c>
      <c r="L320" s="193" t="s">
        <v>1074</v>
      </c>
      <c r="M320" s="155"/>
      <c r="N320" s="193" t="s">
        <v>31</v>
      </c>
      <c r="O320" s="148"/>
      <c r="P320" s="148"/>
      <c r="Q320" s="147"/>
      <c r="R320" s="147" t="s">
        <v>1059</v>
      </c>
      <c r="S320" s="147"/>
      <c r="T320" s="147"/>
      <c r="U320" s="147"/>
      <c r="V320" s="155"/>
      <c r="W320" s="147"/>
      <c r="X320" s="148"/>
      <c r="Y320" s="148"/>
      <c r="Z320" s="148"/>
      <c r="AA320" s="148"/>
      <c r="AB320" s="147"/>
      <c r="AC320" s="147"/>
      <c r="AD320" s="147"/>
      <c r="AE320" s="147"/>
      <c r="AF320" s="147"/>
      <c r="AG320" s="147"/>
      <c r="AH320" s="147"/>
      <c r="AI320" s="147"/>
      <c r="AJ320" s="147"/>
      <c r="AK320" s="147"/>
      <c r="AL320" s="147"/>
      <c r="AM320" s="147"/>
      <c r="AN320" s="147"/>
      <c r="AO320" s="147"/>
      <c r="AP320" s="147"/>
      <c r="AQ320" s="147"/>
      <c r="AR320" s="147"/>
      <c r="AS320" s="147"/>
      <c r="AT320" s="147"/>
      <c r="AU320" s="147"/>
      <c r="AV320" s="147"/>
      <c r="AW320" s="147"/>
      <c r="AX320" s="147"/>
      <c r="AY320" s="233"/>
      <c r="AZ320" s="147"/>
      <c r="BA320" s="147"/>
    </row>
    <row r="321" spans="1:53" ht="24.75" customHeight="1">
      <c r="A321" s="145"/>
      <c r="B321" s="188"/>
      <c r="C321" s="147"/>
      <c r="D321" s="147"/>
      <c r="E321" s="147"/>
      <c r="F321" s="199" t="s">
        <v>2086</v>
      </c>
      <c r="G321" s="148"/>
      <c r="H321" s="147" t="s">
        <v>22</v>
      </c>
      <c r="I321" s="147"/>
      <c r="J321" s="147"/>
      <c r="K321" s="155" t="s">
        <v>2077</v>
      </c>
      <c r="L321" s="193" t="s">
        <v>1074</v>
      </c>
      <c r="M321" s="155"/>
      <c r="N321" s="193" t="s">
        <v>31</v>
      </c>
      <c r="O321" s="148"/>
      <c r="P321" s="148"/>
      <c r="Q321" s="147"/>
      <c r="R321" s="147" t="s">
        <v>1059</v>
      </c>
      <c r="S321" s="147"/>
      <c r="T321" s="147"/>
      <c r="U321" s="147"/>
      <c r="V321" s="155"/>
      <c r="W321" s="147"/>
      <c r="X321" s="148"/>
      <c r="Y321" s="148"/>
      <c r="Z321" s="148"/>
      <c r="AA321" s="148"/>
      <c r="AB321" s="147"/>
      <c r="AC321" s="147"/>
      <c r="AD321" s="147"/>
      <c r="AE321" s="147"/>
      <c r="AF321" s="147"/>
      <c r="AG321" s="147"/>
      <c r="AH321" s="147"/>
      <c r="AI321" s="147"/>
      <c r="AJ321" s="147"/>
      <c r="AK321" s="147"/>
      <c r="AL321" s="147"/>
      <c r="AM321" s="147"/>
      <c r="AN321" s="147"/>
      <c r="AO321" s="147"/>
      <c r="AP321" s="147"/>
      <c r="AQ321" s="147"/>
      <c r="AR321" s="147"/>
      <c r="AS321" s="147"/>
      <c r="AT321" s="147"/>
      <c r="AU321" s="147"/>
      <c r="AV321" s="147"/>
      <c r="AW321" s="147"/>
      <c r="AX321" s="147"/>
      <c r="AY321" s="233"/>
      <c r="AZ321" s="147"/>
      <c r="BA321" s="147"/>
    </row>
    <row r="322" spans="1:53" ht="24.75" customHeight="1">
      <c r="A322" s="145"/>
      <c r="B322" s="188"/>
      <c r="C322" s="147"/>
      <c r="D322" s="147"/>
      <c r="E322" s="147"/>
      <c r="F322" s="199" t="s">
        <v>2087</v>
      </c>
      <c r="G322" s="148"/>
      <c r="H322" s="147" t="s">
        <v>22</v>
      </c>
      <c r="I322" s="147"/>
      <c r="J322" s="147"/>
      <c r="K322" s="155" t="s">
        <v>2077</v>
      </c>
      <c r="L322" s="193" t="s">
        <v>39</v>
      </c>
      <c r="M322" s="155"/>
      <c r="N322" s="193" t="s">
        <v>35</v>
      </c>
      <c r="O322" s="148"/>
      <c r="P322" s="148"/>
      <c r="Q322" s="147"/>
      <c r="R322" s="147" t="s">
        <v>1059</v>
      </c>
      <c r="S322" s="147"/>
      <c r="T322" s="147"/>
      <c r="U322" s="147"/>
      <c r="V322" s="155"/>
      <c r="W322" s="147"/>
      <c r="X322" s="148"/>
      <c r="Y322" s="148"/>
      <c r="Z322" s="148"/>
      <c r="AA322" s="148"/>
      <c r="AB322" s="147"/>
      <c r="AC322" s="147"/>
      <c r="AD322" s="147"/>
      <c r="AE322" s="147"/>
      <c r="AF322" s="147"/>
      <c r="AG322" s="147"/>
      <c r="AH322" s="147"/>
      <c r="AI322" s="147"/>
      <c r="AJ322" s="147"/>
      <c r="AK322" s="147"/>
      <c r="AL322" s="147"/>
      <c r="AM322" s="147"/>
      <c r="AN322" s="147"/>
      <c r="AO322" s="147"/>
      <c r="AP322" s="147"/>
      <c r="AQ322" s="147"/>
      <c r="AR322" s="147"/>
      <c r="AS322" s="147"/>
      <c r="AT322" s="147"/>
      <c r="AU322" s="147"/>
      <c r="AV322" s="147"/>
      <c r="AW322" s="147"/>
      <c r="AX322" s="147"/>
      <c r="AY322" s="233"/>
      <c r="AZ322" s="147"/>
      <c r="BA322" s="147"/>
    </row>
    <row r="323" spans="1:53" ht="24.75" customHeight="1">
      <c r="A323" s="145"/>
      <c r="B323" s="147" t="s">
        <v>2</v>
      </c>
      <c r="C323" s="147"/>
      <c r="D323" s="147"/>
      <c r="E323" s="147"/>
      <c r="F323" s="200" t="s">
        <v>2088</v>
      </c>
      <c r="G323" s="148"/>
      <c r="H323" s="147" t="s">
        <v>22</v>
      </c>
      <c r="I323" s="147"/>
      <c r="J323" s="147" t="s">
        <v>39</v>
      </c>
      <c r="K323" s="155" t="s">
        <v>39</v>
      </c>
      <c r="L323" s="193" t="s">
        <v>39</v>
      </c>
      <c r="M323" s="155" t="s">
        <v>39</v>
      </c>
      <c r="N323" s="193" t="s">
        <v>2089</v>
      </c>
      <c r="O323" s="148" t="s">
        <v>2090</v>
      </c>
      <c r="P323" s="148"/>
      <c r="Q323" s="147"/>
      <c r="R323" s="147"/>
      <c r="S323" s="147"/>
      <c r="T323" s="147"/>
      <c r="U323" s="147"/>
      <c r="V323" s="155" t="s">
        <v>2091</v>
      </c>
      <c r="W323" s="147"/>
      <c r="X323" s="148" t="s">
        <v>2092</v>
      </c>
      <c r="Y323" s="148"/>
      <c r="Z323" s="148" t="s">
        <v>2093</v>
      </c>
      <c r="AA323" s="148" t="s">
        <v>2094</v>
      </c>
      <c r="AB323" s="147"/>
      <c r="AC323" s="147"/>
      <c r="AD323" s="147"/>
      <c r="AE323" s="147"/>
      <c r="AF323" s="147"/>
      <c r="AG323" s="147"/>
      <c r="AH323" s="147"/>
      <c r="AI323" s="147"/>
      <c r="AJ323" s="147"/>
      <c r="AK323" s="147"/>
      <c r="AL323" s="147"/>
      <c r="AM323" s="147"/>
      <c r="AN323" s="147"/>
      <c r="AO323" s="147"/>
      <c r="AP323" s="147"/>
      <c r="AQ323" s="147"/>
      <c r="AR323" s="147"/>
      <c r="AS323" s="147"/>
      <c r="AT323" s="147"/>
      <c r="AU323" s="147"/>
      <c r="AV323" s="147"/>
      <c r="AW323" s="147"/>
      <c r="AX323" s="147"/>
      <c r="AY323" s="233" t="s">
        <v>1124</v>
      </c>
      <c r="AZ323" s="147"/>
      <c r="BA323" s="147"/>
    </row>
    <row r="324" spans="1:53" ht="24.75" customHeight="1">
      <c r="A324" s="145"/>
      <c r="B324" s="147" t="s">
        <v>2</v>
      </c>
      <c r="C324" s="147"/>
      <c r="D324" s="147"/>
      <c r="E324" s="147"/>
      <c r="F324" s="199" t="s">
        <v>2095</v>
      </c>
      <c r="G324" s="148"/>
      <c r="H324" s="147" t="s">
        <v>22</v>
      </c>
      <c r="I324" s="147"/>
      <c r="J324" s="147" t="s">
        <v>39</v>
      </c>
      <c r="K324" s="155" t="s">
        <v>39</v>
      </c>
      <c r="L324" s="193" t="s">
        <v>39</v>
      </c>
      <c r="M324" s="155" t="s">
        <v>39</v>
      </c>
      <c r="N324" s="193" t="s">
        <v>2089</v>
      </c>
      <c r="O324" s="148" t="s">
        <v>2096</v>
      </c>
      <c r="P324" s="148" t="s">
        <v>1135</v>
      </c>
      <c r="Q324" s="147"/>
      <c r="R324" s="147"/>
      <c r="S324" s="147"/>
      <c r="T324" s="147"/>
      <c r="U324" s="147"/>
      <c r="V324" s="155" t="s">
        <v>2097</v>
      </c>
      <c r="W324" s="147"/>
      <c r="X324" s="148" t="s">
        <v>2098</v>
      </c>
      <c r="Y324" s="148"/>
      <c r="Z324" s="148" t="s">
        <v>2099</v>
      </c>
      <c r="AA324" s="148" t="s">
        <v>2100</v>
      </c>
      <c r="AB324" s="147"/>
      <c r="AC324" s="147"/>
      <c r="AD324" s="147"/>
      <c r="AE324" s="147"/>
      <c r="AF324" s="147"/>
      <c r="AG324" s="147"/>
      <c r="AH324" s="147"/>
      <c r="AI324" s="147"/>
      <c r="AJ324" s="147"/>
      <c r="AK324" s="147"/>
      <c r="AL324" s="147"/>
      <c r="AM324" s="147"/>
      <c r="AN324" s="147"/>
      <c r="AO324" s="147"/>
      <c r="AP324" s="147"/>
      <c r="AQ324" s="147"/>
      <c r="AR324" s="147"/>
      <c r="AS324" s="147"/>
      <c r="AT324" s="147"/>
      <c r="AU324" s="147"/>
      <c r="AV324" s="147"/>
      <c r="AW324" s="147"/>
      <c r="AX324" s="147"/>
      <c r="AY324" s="233" t="s">
        <v>1082</v>
      </c>
      <c r="AZ324" s="147"/>
      <c r="BA324" s="147"/>
    </row>
    <row r="325" spans="1:53" ht="24.75" customHeight="1">
      <c r="A325" s="145"/>
      <c r="B325" s="147" t="s">
        <v>2</v>
      </c>
      <c r="C325" s="147"/>
      <c r="D325" s="147"/>
      <c r="E325" s="147" t="s">
        <v>2101</v>
      </c>
      <c r="F325" s="199" t="s">
        <v>2102</v>
      </c>
      <c r="G325" s="148"/>
      <c r="H325" s="147" t="s">
        <v>22</v>
      </c>
      <c r="I325" s="147"/>
      <c r="J325" s="147" t="s">
        <v>39</v>
      </c>
      <c r="K325" s="155" t="s">
        <v>2103</v>
      </c>
      <c r="L325" s="193" t="s">
        <v>2103</v>
      </c>
      <c r="M325" s="155" t="s">
        <v>2103</v>
      </c>
      <c r="N325" s="193" t="s">
        <v>32</v>
      </c>
      <c r="O325" s="148" t="s">
        <v>2104</v>
      </c>
      <c r="P325" s="148" t="s">
        <v>354</v>
      </c>
      <c r="Q325" s="147"/>
      <c r="R325" s="147"/>
      <c r="S325" s="147"/>
      <c r="T325" s="147"/>
      <c r="U325" s="147"/>
      <c r="V325" s="155" t="s">
        <v>2105</v>
      </c>
      <c r="W325" s="147"/>
      <c r="X325" s="148" t="s">
        <v>2106</v>
      </c>
      <c r="Y325" s="148"/>
      <c r="Z325" s="148" t="s">
        <v>2107</v>
      </c>
      <c r="AA325" s="148" t="s">
        <v>2108</v>
      </c>
      <c r="AB325" s="147"/>
      <c r="AC325" s="147"/>
      <c r="AD325" s="147"/>
      <c r="AE325" s="147"/>
      <c r="AF325" s="147"/>
      <c r="AG325" s="147"/>
      <c r="AH325" s="147"/>
      <c r="AI325" s="147"/>
      <c r="AJ325" s="147"/>
      <c r="AK325" s="147"/>
      <c r="AL325" s="147"/>
      <c r="AM325" s="147"/>
      <c r="AN325" s="147"/>
      <c r="AO325" s="147"/>
      <c r="AP325" s="147"/>
      <c r="AQ325" s="147"/>
      <c r="AR325" s="147"/>
      <c r="AS325" s="147"/>
      <c r="AT325" s="147"/>
      <c r="AU325" s="147"/>
      <c r="AV325" s="147"/>
      <c r="AW325" s="147"/>
      <c r="AX325" s="147"/>
      <c r="AY325" s="233" t="s">
        <v>2109</v>
      </c>
      <c r="AZ325" s="147"/>
      <c r="BA325" s="147"/>
    </row>
    <row r="326" spans="1:53" ht="24.75" customHeight="1">
      <c r="A326" s="145"/>
      <c r="B326" s="147" t="s">
        <v>2110</v>
      </c>
      <c r="C326" s="147"/>
      <c r="D326" s="147"/>
      <c r="E326" s="147" t="s">
        <v>28</v>
      </c>
      <c r="F326" s="199" t="s">
        <v>2111</v>
      </c>
      <c r="G326" s="148"/>
      <c r="H326" s="147" t="s">
        <v>22</v>
      </c>
      <c r="I326" s="147"/>
      <c r="J326" s="147" t="s">
        <v>39</v>
      </c>
      <c r="K326" s="155" t="s">
        <v>2112</v>
      </c>
      <c r="L326" s="193"/>
      <c r="M326" s="155"/>
      <c r="N326" s="193" t="s">
        <v>2089</v>
      </c>
      <c r="O326" s="148" t="s">
        <v>2113</v>
      </c>
      <c r="P326" s="148" t="s">
        <v>354</v>
      </c>
      <c r="Q326" s="147"/>
      <c r="R326" s="147"/>
      <c r="S326" s="147"/>
      <c r="T326" s="147"/>
      <c r="U326" s="147"/>
      <c r="V326" s="155" t="s">
        <v>2114</v>
      </c>
      <c r="W326" s="147"/>
      <c r="X326" s="148" t="s">
        <v>2115</v>
      </c>
      <c r="Y326" s="148"/>
      <c r="Z326" s="148" t="s">
        <v>2116</v>
      </c>
      <c r="AA326" s="148" t="s">
        <v>2117</v>
      </c>
      <c r="AB326" s="147"/>
      <c r="AC326" s="147"/>
      <c r="AD326" s="147"/>
      <c r="AE326" s="147"/>
      <c r="AF326" s="147"/>
      <c r="AG326" s="147"/>
      <c r="AH326" s="147"/>
      <c r="AI326" s="147"/>
      <c r="AJ326" s="147"/>
      <c r="AK326" s="147"/>
      <c r="AL326" s="147"/>
      <c r="AM326" s="147"/>
      <c r="AN326" s="147"/>
      <c r="AO326" s="147"/>
      <c r="AP326" s="147"/>
      <c r="AQ326" s="147"/>
      <c r="AR326" s="147"/>
      <c r="AS326" s="147"/>
      <c r="AT326" s="147"/>
      <c r="AU326" s="147"/>
      <c r="AV326" s="147"/>
      <c r="AW326" s="147"/>
      <c r="AX326" s="147"/>
      <c r="AY326" s="233" t="s">
        <v>2118</v>
      </c>
      <c r="AZ326" s="147"/>
      <c r="BA326" s="147"/>
    </row>
    <row r="327" spans="1:53" ht="24.75" customHeight="1">
      <c r="A327" s="145"/>
      <c r="B327" s="147" t="s">
        <v>2110</v>
      </c>
      <c r="C327" s="147"/>
      <c r="D327" s="147"/>
      <c r="E327" s="147" t="s">
        <v>28</v>
      </c>
      <c r="F327" s="199" t="s">
        <v>2119</v>
      </c>
      <c r="G327" s="148"/>
      <c r="H327" s="147" t="s">
        <v>22</v>
      </c>
      <c r="I327" s="147"/>
      <c r="J327" s="147" t="s">
        <v>39</v>
      </c>
      <c r="K327" s="155" t="s">
        <v>39</v>
      </c>
      <c r="L327" s="193" t="s">
        <v>39</v>
      </c>
      <c r="M327" s="155" t="s">
        <v>39</v>
      </c>
      <c r="N327" s="193" t="s">
        <v>2089</v>
      </c>
      <c r="O327" s="148" t="s">
        <v>2120</v>
      </c>
      <c r="P327" s="148" t="s">
        <v>2121</v>
      </c>
      <c r="Q327" s="147"/>
      <c r="R327" s="147"/>
      <c r="S327" s="147"/>
      <c r="T327" s="147"/>
      <c r="U327" s="147"/>
      <c r="V327" s="155" t="s">
        <v>2122</v>
      </c>
      <c r="W327" s="147"/>
      <c r="X327" s="148" t="s">
        <v>2123</v>
      </c>
      <c r="Y327" s="148"/>
      <c r="Z327" s="148" t="s">
        <v>2124</v>
      </c>
      <c r="AA327" s="148" t="s">
        <v>2125</v>
      </c>
      <c r="AB327" s="147"/>
      <c r="AC327" s="147"/>
      <c r="AD327" s="147"/>
      <c r="AE327" s="147"/>
      <c r="AF327" s="147"/>
      <c r="AG327" s="147"/>
      <c r="AH327" s="147"/>
      <c r="AI327" s="147"/>
      <c r="AJ327" s="147"/>
      <c r="AK327" s="147"/>
      <c r="AL327" s="147"/>
      <c r="AM327" s="147"/>
      <c r="AN327" s="147"/>
      <c r="AO327" s="147"/>
      <c r="AP327" s="147"/>
      <c r="AQ327" s="147"/>
      <c r="AR327" s="147"/>
      <c r="AS327" s="147"/>
      <c r="AT327" s="147"/>
      <c r="AU327" s="147"/>
      <c r="AV327" s="147"/>
      <c r="AW327" s="147"/>
      <c r="AX327" s="147"/>
      <c r="AY327" s="233" t="s">
        <v>2118</v>
      </c>
      <c r="AZ327" s="147"/>
      <c r="BA327" s="147"/>
    </row>
    <row r="328" spans="1:53" ht="24.75" customHeight="1">
      <c r="A328" s="145"/>
      <c r="B328" s="147" t="s">
        <v>4</v>
      </c>
      <c r="C328" s="147"/>
      <c r="D328" s="147"/>
      <c r="E328" s="147" t="s">
        <v>28</v>
      </c>
      <c r="F328" s="199" t="s">
        <v>2126</v>
      </c>
      <c r="G328" s="148"/>
      <c r="H328" s="147" t="s">
        <v>22</v>
      </c>
      <c r="I328" s="147"/>
      <c r="J328" s="147" t="s">
        <v>39</v>
      </c>
      <c r="K328" s="155" t="s">
        <v>39</v>
      </c>
      <c r="L328" s="193" t="s">
        <v>39</v>
      </c>
      <c r="M328" s="155" t="s">
        <v>39</v>
      </c>
      <c r="N328" s="193" t="s">
        <v>2089</v>
      </c>
      <c r="O328" s="148" t="s">
        <v>2127</v>
      </c>
      <c r="P328" s="148" t="s">
        <v>1222</v>
      </c>
      <c r="Q328" s="147"/>
      <c r="R328" s="147"/>
      <c r="S328" s="147"/>
      <c r="T328" s="147"/>
      <c r="U328" s="147"/>
      <c r="V328" s="155" t="s">
        <v>2128</v>
      </c>
      <c r="W328" s="147"/>
      <c r="X328" s="148" t="s">
        <v>2129</v>
      </c>
      <c r="Y328" s="148"/>
      <c r="Z328" s="148" t="s">
        <v>2130</v>
      </c>
      <c r="AA328" s="148" t="s">
        <v>2131</v>
      </c>
      <c r="AB328" s="147"/>
      <c r="AC328" s="147"/>
      <c r="AD328" s="147"/>
      <c r="AE328" s="147"/>
      <c r="AF328" s="147"/>
      <c r="AG328" s="147"/>
      <c r="AH328" s="147"/>
      <c r="AI328" s="147"/>
      <c r="AJ328" s="147"/>
      <c r="AK328" s="147"/>
      <c r="AL328" s="147"/>
      <c r="AM328" s="147"/>
      <c r="AN328" s="147"/>
      <c r="AO328" s="147"/>
      <c r="AP328" s="147"/>
      <c r="AQ328" s="147"/>
      <c r="AR328" s="147"/>
      <c r="AS328" s="147"/>
      <c r="AT328" s="147"/>
      <c r="AU328" s="147"/>
      <c r="AV328" s="147"/>
      <c r="AW328" s="147"/>
      <c r="AX328" s="147"/>
      <c r="AY328" s="233" t="s">
        <v>1328</v>
      </c>
      <c r="AZ328" s="147"/>
      <c r="BA328" s="147"/>
    </row>
    <row r="329" spans="1:53" ht="24.75" customHeight="1">
      <c r="A329" s="145"/>
      <c r="B329" s="147" t="s">
        <v>2</v>
      </c>
      <c r="C329" s="147"/>
      <c r="D329" s="147"/>
      <c r="E329" s="147" t="s">
        <v>26</v>
      </c>
      <c r="F329" s="199" t="s">
        <v>2132</v>
      </c>
      <c r="G329" s="148"/>
      <c r="H329" s="147" t="s">
        <v>22</v>
      </c>
      <c r="I329" s="147"/>
      <c r="J329" s="147"/>
      <c r="K329" s="155"/>
      <c r="L329" s="193"/>
      <c r="M329" s="155"/>
      <c r="N329" s="193"/>
      <c r="O329" s="148" t="s">
        <v>2133</v>
      </c>
      <c r="P329" s="148"/>
      <c r="Q329" s="147"/>
      <c r="R329" s="147"/>
      <c r="S329" s="147"/>
      <c r="T329" s="147"/>
      <c r="U329" s="147"/>
      <c r="V329" s="155"/>
      <c r="W329" s="147"/>
      <c r="X329" s="148"/>
      <c r="Y329" s="148"/>
      <c r="Z329" s="148"/>
      <c r="AA329" s="148"/>
      <c r="AB329" s="147"/>
      <c r="AC329" s="147"/>
      <c r="AD329" s="147"/>
      <c r="AE329" s="147"/>
      <c r="AF329" s="147"/>
      <c r="AG329" s="147"/>
      <c r="AH329" s="147"/>
      <c r="AI329" s="147"/>
      <c r="AJ329" s="147"/>
      <c r="AK329" s="147"/>
      <c r="AL329" s="147"/>
      <c r="AM329" s="147"/>
      <c r="AN329" s="147"/>
      <c r="AO329" s="147"/>
      <c r="AP329" s="147"/>
      <c r="AQ329" s="147"/>
      <c r="AR329" s="147"/>
      <c r="AS329" s="147"/>
      <c r="AT329" s="147"/>
      <c r="AU329" s="147"/>
      <c r="AV329" s="147"/>
      <c r="AW329" s="147"/>
      <c r="AX329" s="147"/>
      <c r="AY329" s="233" t="s">
        <v>2134</v>
      </c>
      <c r="AZ329" s="147"/>
      <c r="BA329" s="147"/>
    </row>
    <row r="330" spans="1:53" ht="24.75" customHeight="1">
      <c r="A330" s="145"/>
      <c r="B330" s="147" t="s">
        <v>2</v>
      </c>
      <c r="C330" s="147"/>
      <c r="D330" s="147"/>
      <c r="E330" s="147" t="s">
        <v>2135</v>
      </c>
      <c r="F330" s="199" t="s">
        <v>2136</v>
      </c>
      <c r="G330" s="148"/>
      <c r="H330" s="147" t="s">
        <v>22</v>
      </c>
      <c r="I330" s="147"/>
      <c r="J330" s="147" t="s">
        <v>39</v>
      </c>
      <c r="K330" s="155" t="s">
        <v>2137</v>
      </c>
      <c r="L330" s="193" t="s">
        <v>39</v>
      </c>
      <c r="M330" s="155" t="s">
        <v>39</v>
      </c>
      <c r="N330" s="193" t="s">
        <v>2135</v>
      </c>
      <c r="O330" s="148" t="s">
        <v>2138</v>
      </c>
      <c r="P330" s="148" t="s">
        <v>2139</v>
      </c>
      <c r="Q330" s="147"/>
      <c r="R330" s="147"/>
      <c r="S330" s="147"/>
      <c r="T330" s="147"/>
      <c r="U330" s="147"/>
      <c r="V330" s="155" t="s">
        <v>2140</v>
      </c>
      <c r="W330" s="147"/>
      <c r="X330" s="148" t="s">
        <v>2141</v>
      </c>
      <c r="Y330" s="148"/>
      <c r="Z330" s="148" t="s">
        <v>2142</v>
      </c>
      <c r="AA330" s="148" t="s">
        <v>2143</v>
      </c>
      <c r="AB330" s="147"/>
      <c r="AC330" s="147"/>
      <c r="AD330" s="147"/>
      <c r="AE330" s="147"/>
      <c r="AF330" s="147"/>
      <c r="AG330" s="147"/>
      <c r="AH330" s="147"/>
      <c r="AI330" s="147"/>
      <c r="AJ330" s="147"/>
      <c r="AK330" s="147"/>
      <c r="AL330" s="147"/>
      <c r="AM330" s="147"/>
      <c r="AN330" s="147"/>
      <c r="AO330" s="147"/>
      <c r="AP330" s="147"/>
      <c r="AQ330" s="147"/>
      <c r="AR330" s="147"/>
      <c r="AS330" s="147"/>
      <c r="AT330" s="147"/>
      <c r="AU330" s="147"/>
      <c r="AV330" s="147"/>
      <c r="AW330" s="147"/>
      <c r="AX330" s="147"/>
      <c r="AY330" s="233" t="s">
        <v>2144</v>
      </c>
      <c r="AZ330" s="147"/>
      <c r="BA330" s="147"/>
    </row>
    <row r="331" spans="1:53" ht="24.75" customHeight="1">
      <c r="A331" s="145"/>
      <c r="B331" s="147" t="s">
        <v>2</v>
      </c>
      <c r="C331" s="147"/>
      <c r="D331" s="147"/>
      <c r="E331" s="147" t="s">
        <v>26</v>
      </c>
      <c r="F331" s="199" t="s">
        <v>2145</v>
      </c>
      <c r="G331" s="148"/>
      <c r="H331" s="147" t="s">
        <v>22</v>
      </c>
      <c r="I331" s="147"/>
      <c r="J331" s="147" t="s">
        <v>39</v>
      </c>
      <c r="K331" s="155" t="s">
        <v>39</v>
      </c>
      <c r="L331" s="147" t="s">
        <v>39</v>
      </c>
      <c r="M331" s="155" t="s">
        <v>39</v>
      </c>
      <c r="N331" s="147" t="s">
        <v>2089</v>
      </c>
      <c r="O331" s="148" t="s">
        <v>2146</v>
      </c>
      <c r="P331" s="148" t="s">
        <v>959</v>
      </c>
      <c r="Q331" s="147"/>
      <c r="R331" s="147"/>
      <c r="S331" s="147"/>
      <c r="T331" s="147"/>
      <c r="U331" s="147"/>
      <c r="V331" s="155"/>
      <c r="W331" s="147"/>
      <c r="X331" s="148" t="s">
        <v>960</v>
      </c>
      <c r="Y331" s="148"/>
      <c r="Z331" s="148" t="s">
        <v>2147</v>
      </c>
      <c r="AA331" s="148" t="s">
        <v>2148</v>
      </c>
      <c r="AB331" s="147"/>
      <c r="AC331" s="147"/>
      <c r="AD331" s="147"/>
      <c r="AE331" s="147"/>
      <c r="AF331" s="147"/>
      <c r="AG331" s="147"/>
      <c r="AH331" s="147"/>
      <c r="AI331" s="147"/>
      <c r="AJ331" s="147"/>
      <c r="AK331" s="147"/>
      <c r="AL331" s="147"/>
      <c r="AM331" s="147"/>
      <c r="AN331" s="147"/>
      <c r="AO331" s="147"/>
      <c r="AP331" s="147"/>
      <c r="AQ331" s="147"/>
      <c r="AR331" s="147"/>
      <c r="AS331" s="147"/>
      <c r="AT331" s="147"/>
      <c r="AU331" s="147"/>
      <c r="AV331" s="147"/>
      <c r="AW331" s="147"/>
      <c r="AX331" s="147"/>
      <c r="AY331" s="233" t="s">
        <v>1082</v>
      </c>
      <c r="AZ331" s="147"/>
      <c r="BA331" s="147"/>
    </row>
    <row r="332" spans="1:53" ht="24.75" customHeight="1">
      <c r="A332" s="145"/>
      <c r="B332" s="147" t="s">
        <v>2</v>
      </c>
      <c r="C332" s="147"/>
      <c r="D332" s="147"/>
      <c r="E332" s="147" t="s">
        <v>26</v>
      </c>
      <c r="F332" s="199" t="s">
        <v>2149</v>
      </c>
      <c r="G332" s="148"/>
      <c r="H332" s="147" t="s">
        <v>22</v>
      </c>
      <c r="I332" s="147"/>
      <c r="J332" s="147" t="s">
        <v>199</v>
      </c>
      <c r="K332" s="155" t="s">
        <v>2150</v>
      </c>
      <c r="L332" s="147" t="s">
        <v>199</v>
      </c>
      <c r="M332" s="155" t="s">
        <v>199</v>
      </c>
      <c r="N332" s="147" t="s">
        <v>32</v>
      </c>
      <c r="O332" s="148" t="s">
        <v>2151</v>
      </c>
      <c r="P332" s="148" t="s">
        <v>2152</v>
      </c>
      <c r="Q332" s="147"/>
      <c r="R332" s="147"/>
      <c r="S332" s="147"/>
      <c r="T332" s="147"/>
      <c r="U332" s="147"/>
      <c r="V332" s="155" t="s">
        <v>2153</v>
      </c>
      <c r="W332" s="147"/>
      <c r="X332" s="148" t="s">
        <v>2154</v>
      </c>
      <c r="Y332" s="148"/>
      <c r="Z332" s="148" t="s">
        <v>2155</v>
      </c>
      <c r="AA332" s="148"/>
      <c r="AB332" s="147"/>
      <c r="AC332" s="147"/>
      <c r="AD332" s="147"/>
      <c r="AE332" s="147"/>
      <c r="AF332" s="147"/>
      <c r="AG332" s="147"/>
      <c r="AH332" s="147"/>
      <c r="AI332" s="147"/>
      <c r="AJ332" s="147"/>
      <c r="AK332" s="147"/>
      <c r="AL332" s="147"/>
      <c r="AM332" s="147"/>
      <c r="AN332" s="147"/>
      <c r="AO332" s="147"/>
      <c r="AP332" s="147"/>
      <c r="AQ332" s="147"/>
      <c r="AR332" s="147"/>
      <c r="AS332" s="147"/>
      <c r="AT332" s="147"/>
      <c r="AU332" s="147"/>
      <c r="AV332" s="147"/>
      <c r="AW332" s="147"/>
      <c r="AX332" s="147"/>
      <c r="AY332" s="233" t="s">
        <v>2156</v>
      </c>
      <c r="AZ332" s="147"/>
      <c r="BA332" s="147"/>
    </row>
    <row r="333" spans="1:53" ht="24.75" customHeight="1">
      <c r="A333" s="145"/>
      <c r="B333" s="147" t="s">
        <v>2</v>
      </c>
      <c r="C333" s="147"/>
      <c r="D333" s="147"/>
      <c r="E333" s="147" t="s">
        <v>26</v>
      </c>
      <c r="F333" s="199" t="s">
        <v>2157</v>
      </c>
      <c r="G333" s="148"/>
      <c r="H333" s="147" t="s">
        <v>22</v>
      </c>
      <c r="I333" s="147"/>
      <c r="J333" s="147" t="s">
        <v>682</v>
      </c>
      <c r="K333" s="155" t="s">
        <v>682</v>
      </c>
      <c r="L333" s="147" t="s">
        <v>682</v>
      </c>
      <c r="M333" s="155"/>
      <c r="N333" s="147" t="s">
        <v>32</v>
      </c>
      <c r="O333" s="148" t="s">
        <v>2158</v>
      </c>
      <c r="P333" s="148" t="s">
        <v>2159</v>
      </c>
      <c r="Q333" s="147"/>
      <c r="R333" s="147"/>
      <c r="S333" s="147"/>
      <c r="T333" s="147"/>
      <c r="U333" s="147"/>
      <c r="V333" s="155"/>
      <c r="W333" s="147"/>
      <c r="X333" s="148" t="s">
        <v>2160</v>
      </c>
      <c r="Y333" s="148"/>
      <c r="Z333" s="148" t="s">
        <v>2161</v>
      </c>
      <c r="AA333" s="148"/>
      <c r="AB333" s="147"/>
      <c r="AC333" s="147"/>
      <c r="AD333" s="147"/>
      <c r="AE333" s="147"/>
      <c r="AF333" s="147"/>
      <c r="AG333" s="147"/>
      <c r="AH333" s="147"/>
      <c r="AI333" s="147"/>
      <c r="AJ333" s="147"/>
      <c r="AK333" s="147"/>
      <c r="AL333" s="147"/>
      <c r="AM333" s="147"/>
      <c r="AN333" s="147"/>
      <c r="AO333" s="147"/>
      <c r="AP333" s="147"/>
      <c r="AQ333" s="147"/>
      <c r="AR333" s="147"/>
      <c r="AS333" s="147"/>
      <c r="AT333" s="147"/>
      <c r="AU333" s="147"/>
      <c r="AV333" s="147"/>
      <c r="AW333" s="147"/>
      <c r="AX333" s="147"/>
      <c r="AY333" s="233" t="s">
        <v>2162</v>
      </c>
      <c r="AZ333" s="147"/>
      <c r="BA333" s="147"/>
    </row>
    <row r="334" spans="1:53" ht="24.75" customHeight="1">
      <c r="A334" s="145"/>
      <c r="B334" s="147" t="s">
        <v>2</v>
      </c>
      <c r="C334" s="147"/>
      <c r="D334" s="147"/>
      <c r="E334" s="147"/>
      <c r="F334" s="148" t="s">
        <v>2163</v>
      </c>
      <c r="G334" s="148"/>
      <c r="H334" s="147" t="s">
        <v>22</v>
      </c>
      <c r="I334" s="147"/>
      <c r="J334" s="147" t="s">
        <v>39</v>
      </c>
      <c r="K334" s="155" t="s">
        <v>39</v>
      </c>
      <c r="L334" s="147" t="s">
        <v>39</v>
      </c>
      <c r="M334" s="155" t="s">
        <v>39</v>
      </c>
      <c r="N334" s="147" t="s">
        <v>32</v>
      </c>
      <c r="O334" s="148"/>
      <c r="P334" s="148"/>
      <c r="Q334" s="147"/>
      <c r="R334" s="147"/>
      <c r="S334" s="147"/>
      <c r="T334" s="147"/>
      <c r="U334" s="147"/>
      <c r="V334" s="155">
        <v>64740800</v>
      </c>
      <c r="W334" s="147"/>
      <c r="X334" s="148" t="s">
        <v>2164</v>
      </c>
      <c r="Y334" s="148"/>
      <c r="Z334" s="148" t="s">
        <v>2165</v>
      </c>
      <c r="AA334" s="148" t="s">
        <v>2166</v>
      </c>
      <c r="AB334" s="147"/>
      <c r="AC334" s="147"/>
      <c r="AD334" s="147"/>
      <c r="AE334" s="147"/>
      <c r="AF334" s="147"/>
      <c r="AG334" s="147"/>
      <c r="AH334" s="147"/>
      <c r="AI334" s="147"/>
      <c r="AJ334" s="147"/>
      <c r="AK334" s="147"/>
      <c r="AL334" s="147"/>
      <c r="AM334" s="147"/>
      <c r="AN334" s="147"/>
      <c r="AO334" s="147"/>
      <c r="AP334" s="147"/>
      <c r="AQ334" s="147"/>
      <c r="AR334" s="147"/>
      <c r="AS334" s="147"/>
      <c r="AT334" s="147"/>
      <c r="AU334" s="147"/>
      <c r="AV334" s="147"/>
      <c r="AW334" s="147"/>
      <c r="AX334" s="147"/>
      <c r="AY334" s="233" t="s">
        <v>1097</v>
      </c>
      <c r="AZ334" s="147"/>
      <c r="BA334" s="147"/>
    </row>
    <row r="335" spans="1:53" ht="24.75" customHeight="1">
      <c r="A335" s="145"/>
      <c r="B335" s="147" t="s">
        <v>2</v>
      </c>
      <c r="C335" s="147"/>
      <c r="D335" s="147"/>
      <c r="E335" s="147" t="s">
        <v>28</v>
      </c>
      <c r="F335" s="148" t="s">
        <v>2167</v>
      </c>
      <c r="G335" s="148"/>
      <c r="H335" s="147" t="s">
        <v>22</v>
      </c>
      <c r="I335" s="147"/>
      <c r="J335" s="147" t="s">
        <v>39</v>
      </c>
      <c r="K335" s="155" t="s">
        <v>39</v>
      </c>
      <c r="L335" s="147" t="s">
        <v>39</v>
      </c>
      <c r="M335" s="155" t="s">
        <v>39</v>
      </c>
      <c r="N335" s="147" t="s">
        <v>32</v>
      </c>
      <c r="O335" s="148" t="s">
        <v>2168</v>
      </c>
      <c r="P335" s="148" t="s">
        <v>354</v>
      </c>
      <c r="Q335" s="147"/>
      <c r="R335" s="147"/>
      <c r="S335" s="147"/>
      <c r="T335" s="147"/>
      <c r="U335" s="147"/>
      <c r="V335" s="155">
        <v>65325686</v>
      </c>
      <c r="W335" s="147"/>
      <c r="X335" s="148" t="s">
        <v>2169</v>
      </c>
      <c r="Y335" s="148"/>
      <c r="Z335" s="148" t="s">
        <v>2170</v>
      </c>
      <c r="AA335" s="148" t="s">
        <v>2171</v>
      </c>
      <c r="AB335" s="147"/>
      <c r="AC335" s="147"/>
      <c r="AD335" s="147"/>
      <c r="AE335" s="147"/>
      <c r="AF335" s="147"/>
      <c r="AG335" s="147"/>
      <c r="AH335" s="147"/>
      <c r="AI335" s="147"/>
      <c r="AJ335" s="147"/>
      <c r="AK335" s="147"/>
      <c r="AL335" s="147"/>
      <c r="AM335" s="147"/>
      <c r="AN335" s="147"/>
      <c r="AO335" s="147"/>
      <c r="AP335" s="147"/>
      <c r="AQ335" s="147"/>
      <c r="AR335" s="147"/>
      <c r="AS335" s="147"/>
      <c r="AT335" s="147"/>
      <c r="AU335" s="147"/>
      <c r="AV335" s="147"/>
      <c r="AW335" s="147"/>
      <c r="AX335" s="147"/>
      <c r="AY335" s="233" t="s">
        <v>1139</v>
      </c>
      <c r="AZ335" s="147"/>
      <c r="BA335" s="147"/>
    </row>
    <row r="336" spans="1:53" ht="24.75" customHeight="1">
      <c r="A336" s="145"/>
      <c r="B336" s="147" t="s">
        <v>2</v>
      </c>
      <c r="C336" s="147"/>
      <c r="D336" s="147"/>
      <c r="E336" s="147" t="s">
        <v>26</v>
      </c>
      <c r="F336" s="148" t="s">
        <v>2172</v>
      </c>
      <c r="G336" s="148"/>
      <c r="H336" s="147" t="s">
        <v>22</v>
      </c>
      <c r="I336" s="147"/>
      <c r="J336" s="147" t="s">
        <v>39</v>
      </c>
      <c r="K336" s="155" t="s">
        <v>39</v>
      </c>
      <c r="L336" s="147" t="s">
        <v>39</v>
      </c>
      <c r="M336" s="155" t="s">
        <v>39</v>
      </c>
      <c r="N336" s="147" t="s">
        <v>32</v>
      </c>
      <c r="O336" s="148"/>
      <c r="P336" s="148"/>
      <c r="Q336" s="147"/>
      <c r="R336" s="147"/>
      <c r="S336" s="147"/>
      <c r="T336" s="147"/>
      <c r="U336" s="147"/>
      <c r="V336" s="155">
        <v>67378777</v>
      </c>
      <c r="W336" s="147"/>
      <c r="X336" s="148" t="s">
        <v>2173</v>
      </c>
      <c r="Y336" s="148"/>
      <c r="Z336" s="148" t="s">
        <v>2174</v>
      </c>
      <c r="AA336" s="148" t="s">
        <v>2175</v>
      </c>
      <c r="AB336" s="147"/>
      <c r="AC336" s="147"/>
      <c r="AD336" s="147"/>
      <c r="AE336" s="147"/>
      <c r="AF336" s="147"/>
      <c r="AG336" s="147"/>
      <c r="AH336" s="147"/>
      <c r="AI336" s="147"/>
      <c r="AJ336" s="147"/>
      <c r="AK336" s="147"/>
      <c r="AL336" s="147"/>
      <c r="AM336" s="147"/>
      <c r="AN336" s="147"/>
      <c r="AO336" s="147"/>
      <c r="AP336" s="147"/>
      <c r="AQ336" s="147"/>
      <c r="AR336" s="147"/>
      <c r="AS336" s="147"/>
      <c r="AT336" s="147"/>
      <c r="AU336" s="147"/>
      <c r="AV336" s="147"/>
      <c r="AW336" s="147"/>
      <c r="AX336" s="147"/>
      <c r="AY336" s="233" t="s">
        <v>1097</v>
      </c>
      <c r="AZ336" s="147"/>
      <c r="BA336" s="147"/>
    </row>
    <row r="337" spans="1:53" ht="24.75" customHeight="1">
      <c r="A337" s="145"/>
      <c r="B337" s="147" t="s">
        <v>2</v>
      </c>
      <c r="C337" s="147"/>
      <c r="D337" s="147"/>
      <c r="E337" s="147" t="s">
        <v>28</v>
      </c>
      <c r="F337" s="148" t="s">
        <v>2176</v>
      </c>
      <c r="G337" s="148"/>
      <c r="H337" s="147" t="s">
        <v>22</v>
      </c>
      <c r="I337" s="147"/>
      <c r="J337" s="147" t="s">
        <v>39</v>
      </c>
      <c r="K337" s="155" t="s">
        <v>39</v>
      </c>
      <c r="L337" s="147" t="s">
        <v>39</v>
      </c>
      <c r="M337" s="155" t="s">
        <v>39</v>
      </c>
      <c r="N337" s="147" t="s">
        <v>2089</v>
      </c>
      <c r="O337" s="148" t="s">
        <v>2177</v>
      </c>
      <c r="P337" s="148" t="s">
        <v>354</v>
      </c>
      <c r="Q337" s="147"/>
      <c r="R337" s="147"/>
      <c r="S337" s="147"/>
      <c r="T337" s="147"/>
      <c r="U337" s="147"/>
      <c r="V337" s="155">
        <v>98972321</v>
      </c>
      <c r="W337" s="147"/>
      <c r="X337" s="148" t="s">
        <v>2178</v>
      </c>
      <c r="Y337" s="148"/>
      <c r="Z337" s="148" t="s">
        <v>2179</v>
      </c>
      <c r="AA337" s="148" t="s">
        <v>2180</v>
      </c>
      <c r="AB337" s="147"/>
      <c r="AC337" s="147"/>
      <c r="AD337" s="147"/>
      <c r="AE337" s="147"/>
      <c r="AF337" s="147"/>
      <c r="AG337" s="147"/>
      <c r="AH337" s="147"/>
      <c r="AI337" s="147"/>
      <c r="AJ337" s="147"/>
      <c r="AK337" s="147"/>
      <c r="AL337" s="147"/>
      <c r="AM337" s="147"/>
      <c r="AN337" s="147"/>
      <c r="AO337" s="147"/>
      <c r="AP337" s="147"/>
      <c r="AQ337" s="147"/>
      <c r="AR337" s="147"/>
      <c r="AS337" s="147"/>
      <c r="AT337" s="147"/>
      <c r="AU337" s="147"/>
      <c r="AV337" s="147"/>
      <c r="AW337" s="147"/>
      <c r="AX337" s="147"/>
      <c r="AY337" s="233" t="s">
        <v>1139</v>
      </c>
      <c r="AZ337" s="147"/>
      <c r="BA337" s="147"/>
    </row>
    <row r="338" spans="1:53" ht="24.75" customHeight="1">
      <c r="A338" s="145"/>
      <c r="B338" s="147" t="s">
        <v>2</v>
      </c>
      <c r="C338" s="147"/>
      <c r="D338" s="147"/>
      <c r="E338" s="147"/>
      <c r="F338" s="148" t="s">
        <v>2181</v>
      </c>
      <c r="G338" s="148"/>
      <c r="H338" s="147" t="s">
        <v>22</v>
      </c>
      <c r="I338" s="147"/>
      <c r="J338" s="147" t="s">
        <v>39</v>
      </c>
      <c r="K338" s="155" t="s">
        <v>39</v>
      </c>
      <c r="L338" s="147" t="s">
        <v>39</v>
      </c>
      <c r="M338" s="155" t="s">
        <v>39</v>
      </c>
      <c r="N338" s="147" t="s">
        <v>2089</v>
      </c>
      <c r="O338" s="148"/>
      <c r="P338" s="148"/>
      <c r="Q338" s="147"/>
      <c r="R338" s="147"/>
      <c r="S338" s="147"/>
      <c r="T338" s="147"/>
      <c r="U338" s="147"/>
      <c r="V338" s="155">
        <v>63340255</v>
      </c>
      <c r="W338" s="147"/>
      <c r="X338" s="148" t="s">
        <v>2182</v>
      </c>
      <c r="Y338" s="148"/>
      <c r="Z338" s="148" t="s">
        <v>2183</v>
      </c>
      <c r="AA338" s="148" t="s">
        <v>2184</v>
      </c>
      <c r="AB338" s="147"/>
      <c r="AC338" s="147"/>
      <c r="AD338" s="147"/>
      <c r="AE338" s="147"/>
      <c r="AF338" s="147"/>
      <c r="AG338" s="147"/>
      <c r="AH338" s="147"/>
      <c r="AI338" s="147"/>
      <c r="AJ338" s="147"/>
      <c r="AK338" s="147"/>
      <c r="AL338" s="147"/>
      <c r="AM338" s="147"/>
      <c r="AN338" s="147"/>
      <c r="AO338" s="147"/>
      <c r="AP338" s="147"/>
      <c r="AQ338" s="147"/>
      <c r="AR338" s="147"/>
      <c r="AS338" s="147"/>
      <c r="AT338" s="147"/>
      <c r="AU338" s="147"/>
      <c r="AV338" s="147"/>
      <c r="AW338" s="147"/>
      <c r="AX338" s="147"/>
      <c r="AY338" s="233" t="s">
        <v>2185</v>
      </c>
      <c r="AZ338" s="147"/>
      <c r="BA338" s="147"/>
    </row>
    <row r="339" spans="1:53" ht="24.75" customHeight="1">
      <c r="A339" s="145"/>
      <c r="B339" s="147" t="s">
        <v>2110</v>
      </c>
      <c r="C339" s="147"/>
      <c r="D339" s="147"/>
      <c r="E339" s="147" t="s">
        <v>28</v>
      </c>
      <c r="F339" s="148" t="s">
        <v>2186</v>
      </c>
      <c r="G339" s="148"/>
      <c r="H339" s="147" t="s">
        <v>22</v>
      </c>
      <c r="I339" s="147"/>
      <c r="J339" s="147" t="s">
        <v>39</v>
      </c>
      <c r="K339" s="155" t="s">
        <v>39</v>
      </c>
      <c r="L339" s="147" t="s">
        <v>39</v>
      </c>
      <c r="M339" s="155" t="s">
        <v>39</v>
      </c>
      <c r="N339" s="147" t="s">
        <v>2187</v>
      </c>
      <c r="O339" s="148" t="s">
        <v>2188</v>
      </c>
      <c r="P339" s="148" t="s">
        <v>19</v>
      </c>
      <c r="Q339" s="147"/>
      <c r="R339" s="147"/>
      <c r="S339" s="147"/>
      <c r="T339" s="147"/>
      <c r="U339" s="147"/>
      <c r="V339" s="155">
        <v>82426587</v>
      </c>
      <c r="W339" s="147"/>
      <c r="X339" s="148" t="s">
        <v>2189</v>
      </c>
      <c r="Y339" s="148"/>
      <c r="Z339" s="148" t="s">
        <v>2147</v>
      </c>
      <c r="AA339" s="148" t="s">
        <v>2190</v>
      </c>
      <c r="AB339" s="147"/>
      <c r="AC339" s="147"/>
      <c r="AD339" s="147"/>
      <c r="AE339" s="147"/>
      <c r="AF339" s="147"/>
      <c r="AG339" s="147"/>
      <c r="AH339" s="147"/>
      <c r="AI339" s="147"/>
      <c r="AJ339" s="147"/>
      <c r="AK339" s="147"/>
      <c r="AL339" s="147"/>
      <c r="AM339" s="147"/>
      <c r="AN339" s="147"/>
      <c r="AO339" s="147"/>
      <c r="AP339" s="147"/>
      <c r="AQ339" s="147"/>
      <c r="AR339" s="147"/>
      <c r="AS339" s="147"/>
      <c r="AT339" s="147"/>
      <c r="AU339" s="147"/>
      <c r="AV339" s="147"/>
      <c r="AW339" s="147"/>
      <c r="AX339" s="147"/>
      <c r="AY339" s="233" t="s">
        <v>2191</v>
      </c>
      <c r="AZ339" s="147"/>
      <c r="BA339" s="147"/>
    </row>
    <row r="340" spans="1:53" ht="24.75" customHeight="1">
      <c r="A340" s="145"/>
      <c r="B340" s="147" t="s">
        <v>2</v>
      </c>
      <c r="C340" s="147"/>
      <c r="D340" s="147"/>
      <c r="E340" s="147" t="s">
        <v>26</v>
      </c>
      <c r="F340" s="148" t="s">
        <v>2192</v>
      </c>
      <c r="G340" s="148"/>
      <c r="H340" s="147" t="s">
        <v>22</v>
      </c>
      <c r="I340" s="147"/>
      <c r="J340" s="147" t="s">
        <v>2193</v>
      </c>
      <c r="K340" s="155" t="s">
        <v>2194</v>
      </c>
      <c r="L340" s="147" t="s">
        <v>2194</v>
      </c>
      <c r="M340" s="155" t="s">
        <v>2194</v>
      </c>
      <c r="N340" s="147" t="s">
        <v>32</v>
      </c>
      <c r="O340" s="148" t="s">
        <v>2195</v>
      </c>
      <c r="P340" s="148" t="s">
        <v>2196</v>
      </c>
      <c r="Q340" s="147"/>
      <c r="R340" s="147"/>
      <c r="S340" s="147"/>
      <c r="T340" s="147"/>
      <c r="U340" s="147"/>
      <c r="V340" s="155" t="s">
        <v>2197</v>
      </c>
      <c r="W340" s="147"/>
      <c r="X340" s="148" t="s">
        <v>2198</v>
      </c>
      <c r="Y340" s="148"/>
      <c r="Z340" s="148" t="s">
        <v>2199</v>
      </c>
      <c r="AA340" s="148"/>
      <c r="AB340" s="147"/>
      <c r="AC340" s="147"/>
      <c r="AD340" s="147"/>
      <c r="AE340" s="147"/>
      <c r="AF340" s="147"/>
      <c r="AG340" s="147"/>
      <c r="AH340" s="147"/>
      <c r="AI340" s="147"/>
      <c r="AJ340" s="147"/>
      <c r="AK340" s="147"/>
      <c r="AL340" s="147"/>
      <c r="AM340" s="147"/>
      <c r="AN340" s="147"/>
      <c r="AO340" s="147"/>
      <c r="AP340" s="147"/>
      <c r="AQ340" s="147"/>
      <c r="AR340" s="147"/>
      <c r="AS340" s="147"/>
      <c r="AT340" s="147"/>
      <c r="AU340" s="147"/>
      <c r="AV340" s="147"/>
      <c r="AW340" s="147"/>
      <c r="AX340" s="147"/>
      <c r="AY340" s="233" t="s">
        <v>2200</v>
      </c>
      <c r="AZ340" s="147"/>
      <c r="BA340" s="147"/>
    </row>
    <row r="341" spans="1:53" ht="24.75" customHeight="1">
      <c r="A341" s="145"/>
      <c r="B341" s="147" t="s">
        <v>2</v>
      </c>
      <c r="C341" s="147"/>
      <c r="D341" s="147"/>
      <c r="E341" s="147" t="s">
        <v>26</v>
      </c>
      <c r="F341" s="148" t="s">
        <v>2201</v>
      </c>
      <c r="G341" s="148"/>
      <c r="H341" s="147" t="s">
        <v>22</v>
      </c>
      <c r="I341" s="147"/>
      <c r="J341" s="147" t="s">
        <v>39</v>
      </c>
      <c r="K341" s="155" t="s">
        <v>39</v>
      </c>
      <c r="L341" s="147" t="s">
        <v>39</v>
      </c>
      <c r="M341" s="155" t="s">
        <v>39</v>
      </c>
      <c r="N341" s="147" t="s">
        <v>35</v>
      </c>
      <c r="O341" s="148"/>
      <c r="P341" s="148"/>
      <c r="Q341" s="147"/>
      <c r="R341" s="147"/>
      <c r="S341" s="147"/>
      <c r="T341" s="147"/>
      <c r="U341" s="147"/>
      <c r="V341" s="155">
        <v>89626608</v>
      </c>
      <c r="W341" s="147"/>
      <c r="X341" s="148" t="s">
        <v>2202</v>
      </c>
      <c r="Y341" s="148"/>
      <c r="Z341" s="148" t="s">
        <v>2203</v>
      </c>
      <c r="AA341" s="148"/>
      <c r="AB341" s="147"/>
      <c r="AC341" s="147"/>
      <c r="AD341" s="147"/>
      <c r="AE341" s="147"/>
      <c r="AF341" s="147"/>
      <c r="AG341" s="147"/>
      <c r="AH341" s="147"/>
      <c r="AI341" s="147"/>
      <c r="AJ341" s="147"/>
      <c r="AK341" s="147"/>
      <c r="AL341" s="147"/>
      <c r="AM341" s="147"/>
      <c r="AN341" s="147"/>
      <c r="AO341" s="147"/>
      <c r="AP341" s="147"/>
      <c r="AQ341" s="147"/>
      <c r="AR341" s="147"/>
      <c r="AS341" s="147"/>
      <c r="AT341" s="147"/>
      <c r="AU341" s="147"/>
      <c r="AV341" s="147"/>
      <c r="AW341" s="147"/>
      <c r="AX341" s="147"/>
      <c r="AY341" s="233" t="s">
        <v>2204</v>
      </c>
      <c r="AZ341" s="147"/>
      <c r="BA341" s="147"/>
    </row>
    <row r="342" spans="1:53" ht="24.75" customHeight="1">
      <c r="A342" s="145"/>
      <c r="B342" s="147" t="s">
        <v>2</v>
      </c>
      <c r="C342" s="147"/>
      <c r="D342" s="147"/>
      <c r="E342" s="147" t="s">
        <v>26</v>
      </c>
      <c r="F342" s="148" t="s">
        <v>2205</v>
      </c>
      <c r="G342" s="148"/>
      <c r="H342" s="147" t="s">
        <v>22</v>
      </c>
      <c r="I342" s="147"/>
      <c r="J342" s="147" t="s">
        <v>39</v>
      </c>
      <c r="K342" s="155" t="s">
        <v>39</v>
      </c>
      <c r="L342" s="147" t="s">
        <v>39</v>
      </c>
      <c r="M342" s="155" t="s">
        <v>39</v>
      </c>
      <c r="N342" s="147" t="s">
        <v>35</v>
      </c>
      <c r="O342" s="148"/>
      <c r="P342" s="148"/>
      <c r="Q342" s="147"/>
      <c r="R342" s="147"/>
      <c r="S342" s="147"/>
      <c r="T342" s="147"/>
      <c r="U342" s="147"/>
      <c r="V342" s="155">
        <v>69897200</v>
      </c>
      <c r="W342" s="147"/>
      <c r="X342" s="148" t="s">
        <v>2206</v>
      </c>
      <c r="Y342" s="148"/>
      <c r="Z342" s="148" t="s">
        <v>2207</v>
      </c>
      <c r="AA342" s="148" t="s">
        <v>2208</v>
      </c>
      <c r="AB342" s="147"/>
      <c r="AC342" s="147"/>
      <c r="AD342" s="147"/>
      <c r="AE342" s="147"/>
      <c r="AF342" s="147"/>
      <c r="AG342" s="147"/>
      <c r="AH342" s="147"/>
      <c r="AI342" s="147"/>
      <c r="AJ342" s="147"/>
      <c r="AK342" s="147"/>
      <c r="AL342" s="147"/>
      <c r="AM342" s="147"/>
      <c r="AN342" s="147"/>
      <c r="AO342" s="147"/>
      <c r="AP342" s="147"/>
      <c r="AQ342" s="147"/>
      <c r="AR342" s="147"/>
      <c r="AS342" s="147"/>
      <c r="AT342" s="147"/>
      <c r="AU342" s="147"/>
      <c r="AV342" s="147"/>
      <c r="AW342" s="147"/>
      <c r="AX342" s="147"/>
      <c r="AY342" s="233" t="s">
        <v>2200</v>
      </c>
      <c r="AZ342" s="147"/>
      <c r="BA342" s="147"/>
    </row>
    <row r="343" spans="1:53" ht="24.75" customHeight="1">
      <c r="A343" s="145"/>
      <c r="B343" s="147" t="s">
        <v>2</v>
      </c>
      <c r="C343" s="147"/>
      <c r="D343" s="147"/>
      <c r="E343" s="147"/>
      <c r="F343" s="148" t="s">
        <v>2209</v>
      </c>
      <c r="G343" s="148"/>
      <c r="H343" s="147" t="s">
        <v>22</v>
      </c>
      <c r="I343" s="147"/>
      <c r="J343" s="147" t="s">
        <v>39</v>
      </c>
      <c r="K343" s="155" t="s">
        <v>39</v>
      </c>
      <c r="L343" s="147" t="s">
        <v>39</v>
      </c>
      <c r="M343" s="155" t="s">
        <v>39</v>
      </c>
      <c r="N343" s="147" t="s">
        <v>34</v>
      </c>
      <c r="O343" s="148"/>
      <c r="P343" s="148"/>
      <c r="Q343" s="147"/>
      <c r="R343" s="147"/>
      <c r="S343" s="147"/>
      <c r="T343" s="147"/>
      <c r="U343" s="147"/>
      <c r="V343" s="155">
        <v>65934488</v>
      </c>
      <c r="W343" s="147"/>
      <c r="X343" s="148" t="s">
        <v>2210</v>
      </c>
      <c r="Y343" s="148"/>
      <c r="Z343" s="148" t="s">
        <v>2211</v>
      </c>
      <c r="AA343" s="148" t="s">
        <v>2212</v>
      </c>
      <c r="AB343" s="147"/>
      <c r="AC343" s="147"/>
      <c r="AD343" s="147"/>
      <c r="AE343" s="147"/>
      <c r="AF343" s="147"/>
      <c r="AG343" s="147"/>
      <c r="AH343" s="147"/>
      <c r="AI343" s="147"/>
      <c r="AJ343" s="147"/>
      <c r="AK343" s="147"/>
      <c r="AL343" s="147"/>
      <c r="AM343" s="147"/>
      <c r="AN343" s="147"/>
      <c r="AO343" s="147"/>
      <c r="AP343" s="147"/>
      <c r="AQ343" s="147"/>
      <c r="AR343" s="147"/>
      <c r="AS343" s="147"/>
      <c r="AT343" s="147"/>
      <c r="AU343" s="147"/>
      <c r="AV343" s="147"/>
      <c r="AW343" s="147"/>
      <c r="AX343" s="147"/>
      <c r="AY343" s="233" t="s">
        <v>2200</v>
      </c>
      <c r="AZ343" s="147"/>
      <c r="BA343" s="147"/>
    </row>
    <row r="344" spans="1:53" ht="24.75" customHeight="1">
      <c r="A344" s="145"/>
      <c r="B344" s="147" t="s">
        <v>2</v>
      </c>
      <c r="C344" s="147"/>
      <c r="D344" s="147"/>
      <c r="E344" s="147"/>
      <c r="F344" s="148" t="s">
        <v>2213</v>
      </c>
      <c r="G344" s="148"/>
      <c r="H344" s="147" t="s">
        <v>22</v>
      </c>
      <c r="I344" s="147"/>
      <c r="J344" s="147" t="s">
        <v>39</v>
      </c>
      <c r="K344" s="155" t="s">
        <v>39</v>
      </c>
      <c r="L344" s="147" t="s">
        <v>39</v>
      </c>
      <c r="M344" s="155" t="s">
        <v>39</v>
      </c>
      <c r="N344" s="147" t="s">
        <v>32</v>
      </c>
      <c r="O344" s="148"/>
      <c r="P344" s="148"/>
      <c r="Q344" s="147"/>
      <c r="R344" s="147"/>
      <c r="S344" s="147"/>
      <c r="T344" s="147"/>
      <c r="U344" s="147"/>
      <c r="V344" s="155">
        <v>65073900</v>
      </c>
      <c r="W344" s="147"/>
      <c r="X344" s="148" t="s">
        <v>2214</v>
      </c>
      <c r="Y344" s="148"/>
      <c r="Z344" s="148" t="s">
        <v>2215</v>
      </c>
      <c r="AA344" s="148" t="s">
        <v>2216</v>
      </c>
      <c r="AB344" s="147"/>
      <c r="AC344" s="147"/>
      <c r="AD344" s="147"/>
      <c r="AE344" s="147"/>
      <c r="AF344" s="147"/>
      <c r="AG344" s="147"/>
      <c r="AH344" s="147"/>
      <c r="AI344" s="147"/>
      <c r="AJ344" s="147"/>
      <c r="AK344" s="147"/>
      <c r="AL344" s="147"/>
      <c r="AM344" s="147"/>
      <c r="AN344" s="147"/>
      <c r="AO344" s="147"/>
      <c r="AP344" s="147"/>
      <c r="AQ344" s="147"/>
      <c r="AR344" s="147"/>
      <c r="AS344" s="147"/>
      <c r="AT344" s="147"/>
      <c r="AU344" s="147"/>
      <c r="AV344" s="147"/>
      <c r="AW344" s="147"/>
      <c r="AX344" s="147"/>
      <c r="AY344" s="233" t="s">
        <v>2204</v>
      </c>
      <c r="AZ344" s="147"/>
      <c r="BA344" s="147"/>
    </row>
    <row r="345" spans="1:53" ht="24.75" customHeight="1">
      <c r="A345" s="145"/>
      <c r="B345" s="147" t="s">
        <v>2</v>
      </c>
      <c r="C345" s="147"/>
      <c r="D345" s="147"/>
      <c r="E345" s="147" t="s">
        <v>26</v>
      </c>
      <c r="F345" s="148" t="s">
        <v>2217</v>
      </c>
      <c r="G345" s="148"/>
      <c r="H345" s="147" t="s">
        <v>22</v>
      </c>
      <c r="I345" s="147"/>
      <c r="J345" s="147"/>
      <c r="K345" s="155"/>
      <c r="L345" s="147"/>
      <c r="M345" s="155"/>
      <c r="N345" s="147" t="s">
        <v>2218</v>
      </c>
      <c r="O345" s="148" t="s">
        <v>2219</v>
      </c>
      <c r="P345" s="148" t="s">
        <v>2220</v>
      </c>
      <c r="Q345" s="147"/>
      <c r="R345" s="147"/>
      <c r="S345" s="147"/>
      <c r="T345" s="147"/>
      <c r="U345" s="147"/>
      <c r="V345" s="155"/>
      <c r="W345" s="147"/>
      <c r="X345" s="148" t="s">
        <v>2221</v>
      </c>
      <c r="Y345" s="148"/>
      <c r="Z345" s="148" t="s">
        <v>2222</v>
      </c>
      <c r="AA345" s="148"/>
      <c r="AB345" s="147"/>
      <c r="AC345" s="147"/>
      <c r="AD345" s="147"/>
      <c r="AE345" s="147"/>
      <c r="AF345" s="147"/>
      <c r="AG345" s="147"/>
      <c r="AH345" s="147"/>
      <c r="AI345" s="147"/>
      <c r="AJ345" s="147"/>
      <c r="AK345" s="147"/>
      <c r="AL345" s="147"/>
      <c r="AM345" s="147"/>
      <c r="AN345" s="147"/>
      <c r="AO345" s="147"/>
      <c r="AP345" s="147"/>
      <c r="AQ345" s="147"/>
      <c r="AR345" s="147"/>
      <c r="AS345" s="147"/>
      <c r="AT345" s="147"/>
      <c r="AU345" s="147"/>
      <c r="AV345" s="147"/>
      <c r="AW345" s="147"/>
      <c r="AX345" s="147"/>
      <c r="AY345" s="233" t="s">
        <v>2223</v>
      </c>
      <c r="AZ345" s="147"/>
      <c r="BA345" s="147"/>
    </row>
    <row r="346" spans="1:53" ht="24.75" customHeight="1">
      <c r="A346" s="145"/>
      <c r="B346" s="147" t="s">
        <v>2</v>
      </c>
      <c r="C346" s="147"/>
      <c r="D346" s="147"/>
      <c r="E346" s="147" t="s">
        <v>26</v>
      </c>
      <c r="F346" s="148" t="s">
        <v>2224</v>
      </c>
      <c r="G346" s="148"/>
      <c r="H346" s="147" t="s">
        <v>22</v>
      </c>
      <c r="I346" s="147"/>
      <c r="J346" s="147" t="s">
        <v>39</v>
      </c>
      <c r="K346" s="155" t="s">
        <v>2225</v>
      </c>
      <c r="L346" s="147" t="s">
        <v>39</v>
      </c>
      <c r="M346" s="155" t="s">
        <v>39</v>
      </c>
      <c r="N346" s="147" t="s">
        <v>35</v>
      </c>
      <c r="O346" s="148" t="s">
        <v>2226</v>
      </c>
      <c r="P346" s="148"/>
      <c r="Q346" s="147"/>
      <c r="R346" s="147"/>
      <c r="S346" s="147"/>
      <c r="T346" s="147"/>
      <c r="U346" s="147"/>
      <c r="V346" s="155" t="s">
        <v>2227</v>
      </c>
      <c r="W346" s="147"/>
      <c r="X346" s="148" t="s">
        <v>2228</v>
      </c>
      <c r="Y346" s="148"/>
      <c r="Z346" s="148" t="s">
        <v>2207</v>
      </c>
      <c r="AA346" s="148"/>
      <c r="AB346" s="147"/>
      <c r="AC346" s="147"/>
      <c r="AD346" s="147"/>
      <c r="AE346" s="147"/>
      <c r="AF346" s="147"/>
      <c r="AG346" s="147"/>
      <c r="AH346" s="147"/>
      <c r="AI346" s="147"/>
      <c r="AJ346" s="147"/>
      <c r="AK346" s="147"/>
      <c r="AL346" s="147"/>
      <c r="AM346" s="147"/>
      <c r="AN346" s="147"/>
      <c r="AO346" s="147"/>
      <c r="AP346" s="147"/>
      <c r="AQ346" s="147"/>
      <c r="AR346" s="147"/>
      <c r="AS346" s="147"/>
      <c r="AT346" s="147"/>
      <c r="AU346" s="147"/>
      <c r="AV346" s="147"/>
      <c r="AW346" s="147"/>
      <c r="AX346" s="147"/>
      <c r="AY346" s="233" t="s">
        <v>2229</v>
      </c>
      <c r="AZ346" s="147"/>
      <c r="BA346" s="147"/>
    </row>
    <row r="347" spans="1:53" ht="24.75" customHeight="1">
      <c r="A347" s="145"/>
      <c r="B347" s="147" t="s">
        <v>2</v>
      </c>
      <c r="C347" s="147"/>
      <c r="D347" s="147"/>
      <c r="E347" s="147" t="s">
        <v>2230</v>
      </c>
      <c r="F347" s="148" t="s">
        <v>2231</v>
      </c>
      <c r="G347" s="148"/>
      <c r="H347" s="147" t="s">
        <v>22</v>
      </c>
      <c r="I347" s="147"/>
      <c r="J347" s="147" t="s">
        <v>39</v>
      </c>
      <c r="K347" s="155" t="s">
        <v>39</v>
      </c>
      <c r="L347" s="147" t="s">
        <v>39</v>
      </c>
      <c r="M347" s="155" t="s">
        <v>39</v>
      </c>
      <c r="N347" s="147" t="s">
        <v>2089</v>
      </c>
      <c r="O347" s="148"/>
      <c r="P347" s="148"/>
      <c r="Q347" s="147"/>
      <c r="R347" s="147"/>
      <c r="S347" s="147"/>
      <c r="T347" s="147"/>
      <c r="U347" s="147"/>
      <c r="V347" s="155">
        <v>63232886</v>
      </c>
      <c r="W347" s="147"/>
      <c r="X347" s="148" t="s">
        <v>2232</v>
      </c>
      <c r="Y347" s="148"/>
      <c r="Z347" s="148" t="s">
        <v>2233</v>
      </c>
      <c r="AA347" s="148" t="s">
        <v>2234</v>
      </c>
      <c r="AB347" s="147"/>
      <c r="AC347" s="147"/>
      <c r="AD347" s="147"/>
      <c r="AE347" s="147"/>
      <c r="AF347" s="147"/>
      <c r="AG347" s="147"/>
      <c r="AH347" s="147"/>
      <c r="AI347" s="147"/>
      <c r="AJ347" s="147"/>
      <c r="AK347" s="147"/>
      <c r="AL347" s="147"/>
      <c r="AM347" s="147"/>
      <c r="AN347" s="147"/>
      <c r="AO347" s="147"/>
      <c r="AP347" s="147"/>
      <c r="AQ347" s="147"/>
      <c r="AR347" s="147"/>
      <c r="AS347" s="147"/>
      <c r="AT347" s="147"/>
      <c r="AU347" s="147"/>
      <c r="AV347" s="147"/>
      <c r="AW347" s="147"/>
      <c r="AX347" s="147"/>
      <c r="AY347" s="233" t="s">
        <v>1207</v>
      </c>
      <c r="AZ347" s="147"/>
      <c r="BA347" s="147"/>
    </row>
    <row r="348" spans="1:53" ht="24.75" customHeight="1">
      <c r="A348" s="145"/>
      <c r="B348" s="147" t="s">
        <v>2</v>
      </c>
      <c r="C348" s="147"/>
      <c r="D348" s="147"/>
      <c r="E348" s="147" t="s">
        <v>28</v>
      </c>
      <c r="F348" s="148" t="s">
        <v>2235</v>
      </c>
      <c r="G348" s="148"/>
      <c r="H348" s="147" t="s">
        <v>22</v>
      </c>
      <c r="I348" s="147"/>
      <c r="J348" s="147" t="s">
        <v>39</v>
      </c>
      <c r="K348" s="155" t="s">
        <v>39</v>
      </c>
      <c r="L348" s="147" t="s">
        <v>39</v>
      </c>
      <c r="M348" s="155" t="s">
        <v>39</v>
      </c>
      <c r="N348" s="147" t="s">
        <v>2236</v>
      </c>
      <c r="O348" s="148" t="s">
        <v>2237</v>
      </c>
      <c r="P348" s="148" t="s">
        <v>19</v>
      </c>
      <c r="Q348" s="147"/>
      <c r="R348" s="147"/>
      <c r="S348" s="147"/>
      <c r="T348" s="147"/>
      <c r="U348" s="147"/>
      <c r="V348" s="155">
        <v>88052528</v>
      </c>
      <c r="W348" s="147"/>
      <c r="X348" s="148" t="s">
        <v>2238</v>
      </c>
      <c r="Y348" s="148"/>
      <c r="Z348" s="148" t="s">
        <v>2239</v>
      </c>
      <c r="AA348" s="148" t="s">
        <v>2240</v>
      </c>
      <c r="AB348" s="147"/>
      <c r="AC348" s="147"/>
      <c r="AD348" s="147"/>
      <c r="AE348" s="147"/>
      <c r="AF348" s="147"/>
      <c r="AG348" s="147"/>
      <c r="AH348" s="147"/>
      <c r="AI348" s="147"/>
      <c r="AJ348" s="147"/>
      <c r="AK348" s="147"/>
      <c r="AL348" s="147"/>
      <c r="AM348" s="147"/>
      <c r="AN348" s="147"/>
      <c r="AO348" s="147"/>
      <c r="AP348" s="147"/>
      <c r="AQ348" s="147"/>
      <c r="AR348" s="147"/>
      <c r="AS348" s="147"/>
      <c r="AT348" s="147"/>
      <c r="AU348" s="147"/>
      <c r="AV348" s="147"/>
      <c r="AW348" s="147"/>
      <c r="AX348" s="147"/>
      <c r="AY348" s="233" t="s">
        <v>2229</v>
      </c>
      <c r="AZ348" s="147"/>
      <c r="BA348" s="147"/>
    </row>
    <row r="349" spans="1:53" ht="24.75" customHeight="1">
      <c r="A349" s="145"/>
      <c r="B349" s="147" t="s">
        <v>2</v>
      </c>
      <c r="C349" s="147"/>
      <c r="D349" s="147"/>
      <c r="E349" s="147" t="s">
        <v>28</v>
      </c>
      <c r="F349" s="148" t="s">
        <v>2241</v>
      </c>
      <c r="G349" s="148"/>
      <c r="H349" s="147" t="s">
        <v>22</v>
      </c>
      <c r="I349" s="147"/>
      <c r="J349" s="147" t="s">
        <v>1074</v>
      </c>
      <c r="K349" s="155" t="s">
        <v>1074</v>
      </c>
      <c r="L349" s="147" t="s">
        <v>1074</v>
      </c>
      <c r="M349" s="155" t="s">
        <v>2242</v>
      </c>
      <c r="N349" s="147" t="s">
        <v>32</v>
      </c>
      <c r="O349" s="148"/>
      <c r="P349" s="148"/>
      <c r="Q349" s="147"/>
      <c r="R349" s="147"/>
      <c r="S349" s="147"/>
      <c r="T349" s="147"/>
      <c r="U349" s="147"/>
      <c r="V349" s="155"/>
      <c r="W349" s="147"/>
      <c r="X349" s="148"/>
      <c r="Y349" s="148"/>
      <c r="Z349" s="148" t="s">
        <v>2179</v>
      </c>
      <c r="AA349" s="148"/>
      <c r="AB349" s="147"/>
      <c r="AC349" s="147"/>
      <c r="AD349" s="147"/>
      <c r="AE349" s="147"/>
      <c r="AF349" s="147"/>
      <c r="AG349" s="147"/>
      <c r="AH349" s="147"/>
      <c r="AI349" s="147"/>
      <c r="AJ349" s="147"/>
      <c r="AK349" s="147"/>
      <c r="AL349" s="147"/>
      <c r="AM349" s="147"/>
      <c r="AN349" s="147"/>
      <c r="AO349" s="147"/>
      <c r="AP349" s="147"/>
      <c r="AQ349" s="147"/>
      <c r="AR349" s="147"/>
      <c r="AS349" s="147"/>
      <c r="AT349" s="147"/>
      <c r="AU349" s="147"/>
      <c r="AV349" s="147"/>
      <c r="AW349" s="147"/>
      <c r="AX349" s="147"/>
      <c r="AY349" s="233" t="s">
        <v>2243</v>
      </c>
      <c r="AZ349" s="147"/>
      <c r="BA349" s="147"/>
    </row>
    <row r="350" spans="1:53" ht="24.75" customHeight="1">
      <c r="A350" s="145"/>
      <c r="B350" s="147" t="s">
        <v>2</v>
      </c>
      <c r="C350" s="147"/>
      <c r="D350" s="147"/>
      <c r="E350" s="147"/>
      <c r="F350" s="148" t="s">
        <v>2244</v>
      </c>
      <c r="G350" s="148"/>
      <c r="H350" s="147" t="s">
        <v>22</v>
      </c>
      <c r="I350" s="147"/>
      <c r="J350" s="147" t="s">
        <v>39</v>
      </c>
      <c r="K350" s="155" t="s">
        <v>38</v>
      </c>
      <c r="L350" s="147" t="s">
        <v>39</v>
      </c>
      <c r="M350" s="155" t="s">
        <v>39</v>
      </c>
      <c r="N350" s="147"/>
      <c r="O350" s="148"/>
      <c r="P350" s="148"/>
      <c r="Q350" s="147"/>
      <c r="R350" s="147"/>
      <c r="S350" s="147"/>
      <c r="T350" s="147"/>
      <c r="U350" s="147"/>
      <c r="V350" s="155">
        <v>60383939</v>
      </c>
      <c r="W350" s="147"/>
      <c r="X350" s="148" t="s">
        <v>2245</v>
      </c>
      <c r="Y350" s="148"/>
      <c r="Z350" s="148" t="s">
        <v>2246</v>
      </c>
      <c r="AA350" s="148" t="s">
        <v>2247</v>
      </c>
      <c r="AB350" s="147"/>
      <c r="AC350" s="147"/>
      <c r="AD350" s="147"/>
      <c r="AE350" s="147"/>
      <c r="AF350" s="147"/>
      <c r="AG350" s="147"/>
      <c r="AH350" s="147"/>
      <c r="AI350" s="147"/>
      <c r="AJ350" s="147"/>
      <c r="AK350" s="147"/>
      <c r="AL350" s="147"/>
      <c r="AM350" s="147"/>
      <c r="AN350" s="147"/>
      <c r="AO350" s="147"/>
      <c r="AP350" s="147"/>
      <c r="AQ350" s="147"/>
      <c r="AR350" s="147"/>
      <c r="AS350" s="147"/>
      <c r="AT350" s="147"/>
      <c r="AU350" s="147"/>
      <c r="AV350" s="147"/>
      <c r="AW350" s="147"/>
      <c r="AX350" s="147"/>
      <c r="AY350" s="233" t="s">
        <v>2248</v>
      </c>
      <c r="AZ350" s="147" t="s">
        <v>2249</v>
      </c>
      <c r="BA350" s="147">
        <v>4</v>
      </c>
    </row>
    <row r="351" spans="1:53" ht="24.75" customHeight="1">
      <c r="A351" s="145"/>
      <c r="B351" s="147" t="s">
        <v>2</v>
      </c>
      <c r="C351" s="147"/>
      <c r="D351" s="147"/>
      <c r="E351" s="147"/>
      <c r="F351" s="148" t="s">
        <v>2250</v>
      </c>
      <c r="G351" s="148"/>
      <c r="H351" s="147" t="s">
        <v>22</v>
      </c>
      <c r="I351" s="147"/>
      <c r="J351" s="147" t="s">
        <v>39</v>
      </c>
      <c r="K351" s="155" t="s">
        <v>38</v>
      </c>
      <c r="L351" s="147" t="s">
        <v>39</v>
      </c>
      <c r="M351" s="155" t="s">
        <v>39</v>
      </c>
      <c r="N351" s="147"/>
      <c r="O351" s="148"/>
      <c r="P351" s="148"/>
      <c r="Q351" s="147"/>
      <c r="R351" s="147"/>
      <c r="S351" s="147"/>
      <c r="T351" s="147"/>
      <c r="U351" s="147"/>
      <c r="V351" s="155">
        <v>63461959</v>
      </c>
      <c r="W351" s="147"/>
      <c r="X351" s="148" t="s">
        <v>2251</v>
      </c>
      <c r="Y351" s="148"/>
      <c r="Z351" s="148" t="s">
        <v>2252</v>
      </c>
      <c r="AA351" s="148" t="s">
        <v>2253</v>
      </c>
      <c r="AB351" s="147"/>
      <c r="AC351" s="147"/>
      <c r="AD351" s="147"/>
      <c r="AE351" s="147"/>
      <c r="AF351" s="147"/>
      <c r="AG351" s="147"/>
      <c r="AH351" s="147"/>
      <c r="AI351" s="147"/>
      <c r="AJ351" s="147"/>
      <c r="AK351" s="147"/>
      <c r="AL351" s="147"/>
      <c r="AM351" s="147"/>
      <c r="AN351" s="147"/>
      <c r="AO351" s="147"/>
      <c r="AP351" s="147"/>
      <c r="AQ351" s="147"/>
      <c r="AR351" s="147"/>
      <c r="AS351" s="147"/>
      <c r="AT351" s="147"/>
      <c r="AU351" s="147"/>
      <c r="AV351" s="147"/>
      <c r="AW351" s="147"/>
      <c r="AX351" s="147"/>
      <c r="AY351" s="233" t="s">
        <v>2248</v>
      </c>
      <c r="AZ351" s="147" t="s">
        <v>2254</v>
      </c>
      <c r="BA351" s="147">
        <v>4</v>
      </c>
    </row>
    <row r="352" spans="1:53" ht="24.75" customHeight="1">
      <c r="A352" s="145"/>
      <c r="B352" s="147" t="s">
        <v>2</v>
      </c>
      <c r="C352" s="147"/>
      <c r="D352" s="147"/>
      <c r="E352" s="147"/>
      <c r="F352" s="148" t="s">
        <v>2255</v>
      </c>
      <c r="G352" s="148"/>
      <c r="H352" s="147" t="s">
        <v>22</v>
      </c>
      <c r="I352" s="147"/>
      <c r="J352" s="147" t="s">
        <v>39</v>
      </c>
      <c r="K352" s="155" t="s">
        <v>38</v>
      </c>
      <c r="L352" s="147" t="s">
        <v>39</v>
      </c>
      <c r="M352" s="155" t="s">
        <v>39</v>
      </c>
      <c r="N352" s="147"/>
      <c r="O352" s="148"/>
      <c r="P352" s="148"/>
      <c r="Q352" s="147"/>
      <c r="R352" s="147"/>
      <c r="S352" s="147"/>
      <c r="T352" s="147"/>
      <c r="U352" s="147"/>
      <c r="V352" s="155">
        <v>63461959</v>
      </c>
      <c r="W352" s="147"/>
      <c r="X352" s="148" t="s">
        <v>2251</v>
      </c>
      <c r="Y352" s="148"/>
      <c r="Z352" s="148" t="s">
        <v>2256</v>
      </c>
      <c r="AA352" s="148" t="s">
        <v>2257</v>
      </c>
      <c r="AB352" s="147"/>
      <c r="AC352" s="147"/>
      <c r="AD352" s="147"/>
      <c r="AE352" s="147"/>
      <c r="AF352" s="147"/>
      <c r="AG352" s="147"/>
      <c r="AH352" s="147"/>
      <c r="AI352" s="147"/>
      <c r="AJ352" s="147"/>
      <c r="AK352" s="147"/>
      <c r="AL352" s="147"/>
      <c r="AM352" s="147"/>
      <c r="AN352" s="147"/>
      <c r="AO352" s="147"/>
      <c r="AP352" s="147"/>
      <c r="AQ352" s="147"/>
      <c r="AR352" s="147"/>
      <c r="AS352" s="147"/>
      <c r="AT352" s="147"/>
      <c r="AU352" s="147"/>
      <c r="AV352" s="147"/>
      <c r="AW352" s="147"/>
      <c r="AX352" s="147"/>
      <c r="AY352" s="233" t="s">
        <v>2248</v>
      </c>
      <c r="AZ352" s="147" t="s">
        <v>2258</v>
      </c>
      <c r="BA352" s="147">
        <v>4</v>
      </c>
    </row>
    <row r="353" spans="1:53" ht="24.75" customHeight="1">
      <c r="A353" s="145"/>
      <c r="B353" s="147" t="s">
        <v>2</v>
      </c>
      <c r="C353" s="147"/>
      <c r="D353" s="147"/>
      <c r="E353" s="147"/>
      <c r="F353" s="148" t="s">
        <v>2259</v>
      </c>
      <c r="G353" s="148"/>
      <c r="H353" s="147" t="s">
        <v>22</v>
      </c>
      <c r="I353" s="147"/>
      <c r="J353" s="147" t="s">
        <v>39</v>
      </c>
      <c r="K353" s="155" t="s">
        <v>38</v>
      </c>
      <c r="L353" s="147" t="s">
        <v>39</v>
      </c>
      <c r="M353" s="155" t="s">
        <v>39</v>
      </c>
      <c r="N353" s="147"/>
      <c r="O353" s="148"/>
      <c r="P353" s="148"/>
      <c r="Q353" s="147"/>
      <c r="R353" s="147"/>
      <c r="S353" s="147"/>
      <c r="T353" s="147"/>
      <c r="U353" s="147"/>
      <c r="V353" s="155">
        <v>63368111</v>
      </c>
      <c r="W353" s="147"/>
      <c r="X353" s="148" t="s">
        <v>2260</v>
      </c>
      <c r="Y353" s="148"/>
      <c r="Z353" s="148" t="s">
        <v>2261</v>
      </c>
      <c r="AA353" s="148" t="s">
        <v>2262</v>
      </c>
      <c r="AB353" s="147"/>
      <c r="AC353" s="147"/>
      <c r="AD353" s="147"/>
      <c r="AE353" s="147"/>
      <c r="AF353" s="147"/>
      <c r="AG353" s="147"/>
      <c r="AH353" s="147"/>
      <c r="AI353" s="147"/>
      <c r="AJ353" s="147"/>
      <c r="AK353" s="147"/>
      <c r="AL353" s="147"/>
      <c r="AM353" s="147"/>
      <c r="AN353" s="147"/>
      <c r="AO353" s="147"/>
      <c r="AP353" s="147"/>
      <c r="AQ353" s="147"/>
      <c r="AR353" s="147"/>
      <c r="AS353" s="147"/>
      <c r="AT353" s="147"/>
      <c r="AU353" s="147"/>
      <c r="AV353" s="147"/>
      <c r="AW353" s="147"/>
      <c r="AX353" s="147"/>
      <c r="AY353" s="233" t="s">
        <v>2248</v>
      </c>
      <c r="AZ353" s="147" t="s">
        <v>2263</v>
      </c>
      <c r="BA353" s="147">
        <v>5</v>
      </c>
    </row>
    <row r="354" spans="1:53" ht="24.75" customHeight="1">
      <c r="A354" s="145"/>
      <c r="B354" s="147" t="s">
        <v>2</v>
      </c>
      <c r="C354" s="147"/>
      <c r="D354" s="147"/>
      <c r="E354" s="147"/>
      <c r="F354" s="148" t="s">
        <v>2264</v>
      </c>
      <c r="G354" s="148"/>
      <c r="H354" s="147" t="s">
        <v>22</v>
      </c>
      <c r="I354" s="147"/>
      <c r="J354" s="147" t="s">
        <v>39</v>
      </c>
      <c r="K354" s="155" t="s">
        <v>38</v>
      </c>
      <c r="L354" s="147" t="s">
        <v>39</v>
      </c>
      <c r="M354" s="155" t="s">
        <v>39</v>
      </c>
      <c r="N354" s="147"/>
      <c r="O354" s="148"/>
      <c r="P354" s="148"/>
      <c r="Q354" s="147"/>
      <c r="R354" s="147"/>
      <c r="S354" s="147"/>
      <c r="T354" s="147"/>
      <c r="U354" s="147"/>
      <c r="V354" s="155">
        <v>67237001</v>
      </c>
      <c r="W354" s="147"/>
      <c r="X354" s="148" t="s">
        <v>2265</v>
      </c>
      <c r="Y354" s="148"/>
      <c r="Z354" s="148" t="s">
        <v>2266</v>
      </c>
      <c r="AA354" s="148" t="s">
        <v>2267</v>
      </c>
      <c r="AB354" s="147"/>
      <c r="AC354" s="147"/>
      <c r="AD354" s="147"/>
      <c r="AE354" s="147"/>
      <c r="AF354" s="147"/>
      <c r="AG354" s="147"/>
      <c r="AH354" s="147"/>
      <c r="AI354" s="147"/>
      <c r="AJ354" s="147"/>
      <c r="AK354" s="147"/>
      <c r="AL354" s="147"/>
      <c r="AM354" s="147"/>
      <c r="AN354" s="147"/>
      <c r="AO354" s="147"/>
      <c r="AP354" s="147"/>
      <c r="AQ354" s="147"/>
      <c r="AR354" s="147"/>
      <c r="AS354" s="147"/>
      <c r="AT354" s="147"/>
      <c r="AU354" s="147"/>
      <c r="AV354" s="147"/>
      <c r="AW354" s="147"/>
      <c r="AX354" s="147"/>
      <c r="AY354" s="233" t="s">
        <v>2248</v>
      </c>
      <c r="AZ354" s="147" t="s">
        <v>2268</v>
      </c>
      <c r="BA354" s="147">
        <v>4</v>
      </c>
    </row>
    <row r="355" spans="1:53" ht="24.75" customHeight="1">
      <c r="A355" s="145"/>
      <c r="B355" s="147" t="s">
        <v>2</v>
      </c>
      <c r="C355" s="147"/>
      <c r="D355" s="147"/>
      <c r="E355" s="147"/>
      <c r="F355" s="148" t="s">
        <v>2269</v>
      </c>
      <c r="G355" s="148"/>
      <c r="H355" s="147" t="s">
        <v>22</v>
      </c>
      <c r="I355" s="147"/>
      <c r="J355" s="147" t="s">
        <v>39</v>
      </c>
      <c r="K355" s="155" t="s">
        <v>38</v>
      </c>
      <c r="L355" s="147" t="s">
        <v>39</v>
      </c>
      <c r="M355" s="155" t="s">
        <v>39</v>
      </c>
      <c r="N355" s="147"/>
      <c r="O355" s="148"/>
      <c r="P355" s="148"/>
      <c r="Q355" s="147"/>
      <c r="R355" s="147"/>
      <c r="S355" s="147"/>
      <c r="T355" s="147"/>
      <c r="U355" s="147"/>
      <c r="V355" s="155">
        <v>67220800</v>
      </c>
      <c r="W355" s="147"/>
      <c r="X355" s="148" t="s">
        <v>2270</v>
      </c>
      <c r="Y355" s="148"/>
      <c r="Z355" s="148" t="s">
        <v>2271</v>
      </c>
      <c r="AA355" s="148" t="s">
        <v>2272</v>
      </c>
      <c r="AB355" s="147"/>
      <c r="AC355" s="147"/>
      <c r="AD355" s="147"/>
      <c r="AE355" s="147"/>
      <c r="AF355" s="147"/>
      <c r="AG355" s="147"/>
      <c r="AH355" s="147"/>
      <c r="AI355" s="147"/>
      <c r="AJ355" s="147"/>
      <c r="AK355" s="147"/>
      <c r="AL355" s="147"/>
      <c r="AM355" s="147"/>
      <c r="AN355" s="147"/>
      <c r="AO355" s="147"/>
      <c r="AP355" s="147"/>
      <c r="AQ355" s="147"/>
      <c r="AR355" s="147"/>
      <c r="AS355" s="147"/>
      <c r="AT355" s="147"/>
      <c r="AU355" s="147"/>
      <c r="AV355" s="147"/>
      <c r="AW355" s="147"/>
      <c r="AX355" s="147"/>
      <c r="AY355" s="233" t="s">
        <v>2273</v>
      </c>
      <c r="AZ355" s="147" t="s">
        <v>2274</v>
      </c>
      <c r="BA355" s="147">
        <v>5</v>
      </c>
    </row>
    <row r="356" spans="1:53" ht="24.75" customHeight="1">
      <c r="A356" s="145"/>
      <c r="B356" s="147" t="s">
        <v>2</v>
      </c>
      <c r="C356" s="147"/>
      <c r="D356" s="147"/>
      <c r="E356" s="147"/>
      <c r="F356" s="148" t="s">
        <v>2275</v>
      </c>
      <c r="G356" s="148"/>
      <c r="H356" s="147" t="s">
        <v>22</v>
      </c>
      <c r="I356" s="147"/>
      <c r="J356" s="147" t="s">
        <v>39</v>
      </c>
      <c r="K356" s="155" t="s">
        <v>38</v>
      </c>
      <c r="L356" s="147" t="s">
        <v>39</v>
      </c>
      <c r="M356" s="155" t="s">
        <v>39</v>
      </c>
      <c r="N356" s="147"/>
      <c r="O356" s="148"/>
      <c r="P356" s="148"/>
      <c r="Q356" s="147"/>
      <c r="R356" s="147"/>
      <c r="S356" s="147"/>
      <c r="T356" s="147"/>
      <c r="U356" s="147"/>
      <c r="V356" s="155">
        <v>62286388</v>
      </c>
      <c r="W356" s="147"/>
      <c r="X356" s="148" t="s">
        <v>2276</v>
      </c>
      <c r="Y356" s="148"/>
      <c r="Z356" s="148" t="s">
        <v>2277</v>
      </c>
      <c r="AA356" s="148" t="s">
        <v>2278</v>
      </c>
      <c r="AB356" s="147"/>
      <c r="AC356" s="147"/>
      <c r="AD356" s="147"/>
      <c r="AE356" s="147"/>
      <c r="AF356" s="147"/>
      <c r="AG356" s="147"/>
      <c r="AH356" s="147"/>
      <c r="AI356" s="147"/>
      <c r="AJ356" s="147"/>
      <c r="AK356" s="147"/>
      <c r="AL356" s="147"/>
      <c r="AM356" s="147"/>
      <c r="AN356" s="147"/>
      <c r="AO356" s="147"/>
      <c r="AP356" s="147"/>
      <c r="AQ356" s="147"/>
      <c r="AR356" s="147"/>
      <c r="AS356" s="147"/>
      <c r="AT356" s="147"/>
      <c r="AU356" s="147"/>
      <c r="AV356" s="147"/>
      <c r="AW356" s="147"/>
      <c r="AX356" s="147"/>
      <c r="AY356" s="233" t="s">
        <v>2273</v>
      </c>
      <c r="AZ356" s="147" t="s">
        <v>2279</v>
      </c>
      <c r="BA356" s="147">
        <v>4</v>
      </c>
    </row>
    <row r="357" spans="1:53" ht="24.75" customHeight="1">
      <c r="A357" s="145"/>
      <c r="B357" s="147" t="s">
        <v>2</v>
      </c>
      <c r="C357" s="147"/>
      <c r="D357" s="147"/>
      <c r="E357" s="147"/>
      <c r="F357" s="148" t="s">
        <v>2280</v>
      </c>
      <c r="G357" s="148"/>
      <c r="H357" s="147" t="s">
        <v>22</v>
      </c>
      <c r="I357" s="147"/>
      <c r="J357" s="147" t="s">
        <v>39</v>
      </c>
      <c r="K357" s="155" t="s">
        <v>38</v>
      </c>
      <c r="L357" s="147" t="s">
        <v>39</v>
      </c>
      <c r="M357" s="155" t="s">
        <v>39</v>
      </c>
      <c r="N357" s="147"/>
      <c r="O357" s="148"/>
      <c r="P357" s="148"/>
      <c r="Q357" s="147"/>
      <c r="R357" s="147"/>
      <c r="S357" s="147"/>
      <c r="T357" s="147"/>
      <c r="U357" s="147"/>
      <c r="V357" s="155">
        <v>63338898</v>
      </c>
      <c r="W357" s="147"/>
      <c r="X357" s="148" t="s">
        <v>2281</v>
      </c>
      <c r="Y357" s="148"/>
      <c r="Z357" s="148" t="s">
        <v>2282</v>
      </c>
      <c r="AA357" s="148" t="s">
        <v>2283</v>
      </c>
      <c r="AB357" s="147"/>
      <c r="AC357" s="147"/>
      <c r="AD357" s="147"/>
      <c r="AE357" s="147"/>
      <c r="AF357" s="147"/>
      <c r="AG357" s="147"/>
      <c r="AH357" s="147"/>
      <c r="AI357" s="147"/>
      <c r="AJ357" s="147"/>
      <c r="AK357" s="147"/>
      <c r="AL357" s="147"/>
      <c r="AM357" s="147"/>
      <c r="AN357" s="147"/>
      <c r="AO357" s="147"/>
      <c r="AP357" s="147"/>
      <c r="AQ357" s="147"/>
      <c r="AR357" s="147"/>
      <c r="AS357" s="147"/>
      <c r="AT357" s="147"/>
      <c r="AU357" s="147"/>
      <c r="AV357" s="147"/>
      <c r="AW357" s="147"/>
      <c r="AX357" s="147"/>
      <c r="AY357" s="233" t="s">
        <v>2273</v>
      </c>
      <c r="AZ357" s="147" t="s">
        <v>2284</v>
      </c>
      <c r="BA357" s="147">
        <v>4</v>
      </c>
    </row>
    <row r="358" spans="1:53" ht="24.75" customHeight="1">
      <c r="A358" s="145"/>
      <c r="B358" s="147" t="s">
        <v>2</v>
      </c>
      <c r="C358" s="147"/>
      <c r="D358" s="147"/>
      <c r="E358" s="147"/>
      <c r="F358" s="148" t="s">
        <v>2285</v>
      </c>
      <c r="G358" s="148"/>
      <c r="H358" s="147" t="s">
        <v>22</v>
      </c>
      <c r="I358" s="147"/>
      <c r="J358" s="147" t="s">
        <v>39</v>
      </c>
      <c r="K358" s="155" t="s">
        <v>38</v>
      </c>
      <c r="L358" s="147" t="s">
        <v>39</v>
      </c>
      <c r="M358" s="155" t="s">
        <v>39</v>
      </c>
      <c r="N358" s="147"/>
      <c r="O358" s="148"/>
      <c r="P358" s="148"/>
      <c r="Q358" s="147"/>
      <c r="R358" s="147"/>
      <c r="S358" s="147"/>
      <c r="T358" s="147"/>
      <c r="U358" s="147"/>
      <c r="V358" s="155">
        <v>68451000</v>
      </c>
      <c r="W358" s="147"/>
      <c r="X358" s="148" t="s">
        <v>2286</v>
      </c>
      <c r="Y358" s="148"/>
      <c r="Z358" s="148" t="s">
        <v>2287</v>
      </c>
      <c r="AA358" s="148" t="s">
        <v>2288</v>
      </c>
      <c r="AB358" s="147"/>
      <c r="AC358" s="147"/>
      <c r="AD358" s="147"/>
      <c r="AE358" s="147"/>
      <c r="AF358" s="147"/>
      <c r="AG358" s="147"/>
      <c r="AH358" s="147"/>
      <c r="AI358" s="147"/>
      <c r="AJ358" s="147"/>
      <c r="AK358" s="147"/>
      <c r="AL358" s="147"/>
      <c r="AM358" s="147"/>
      <c r="AN358" s="147"/>
      <c r="AO358" s="147"/>
      <c r="AP358" s="147"/>
      <c r="AQ358" s="147"/>
      <c r="AR358" s="147"/>
      <c r="AS358" s="147"/>
      <c r="AT358" s="147"/>
      <c r="AU358" s="147"/>
      <c r="AV358" s="147"/>
      <c r="AW358" s="147"/>
      <c r="AX358" s="147"/>
      <c r="AY358" s="233" t="s">
        <v>2273</v>
      </c>
      <c r="AZ358" s="147" t="s">
        <v>2289</v>
      </c>
      <c r="BA358" s="147">
        <v>5</v>
      </c>
    </row>
    <row r="359" spans="1:53" ht="24.75" customHeight="1">
      <c r="A359" s="145"/>
      <c r="B359" s="147" t="s">
        <v>2</v>
      </c>
      <c r="C359" s="147"/>
      <c r="D359" s="147"/>
      <c r="E359" s="147"/>
      <c r="F359" s="148" t="s">
        <v>2290</v>
      </c>
      <c r="G359" s="148"/>
      <c r="H359" s="147" t="s">
        <v>22</v>
      </c>
      <c r="I359" s="147"/>
      <c r="J359" s="147" t="s">
        <v>39</v>
      </c>
      <c r="K359" s="155" t="s">
        <v>38</v>
      </c>
      <c r="L359" s="147" t="s">
        <v>39</v>
      </c>
      <c r="M359" s="155" t="s">
        <v>39</v>
      </c>
      <c r="N359" s="147"/>
      <c r="O359" s="148"/>
      <c r="P359" s="148"/>
      <c r="Q359" s="147"/>
      <c r="R359" s="147"/>
      <c r="S359" s="147"/>
      <c r="T359" s="147"/>
      <c r="U359" s="147"/>
      <c r="V359" s="155">
        <v>68668000</v>
      </c>
      <c r="W359" s="147"/>
      <c r="X359" s="148" t="s">
        <v>2291</v>
      </c>
      <c r="Y359" s="148"/>
      <c r="Z359" s="148" t="s">
        <v>2292</v>
      </c>
      <c r="AA359" s="148" t="s">
        <v>2293</v>
      </c>
      <c r="AB359" s="147"/>
      <c r="AC359" s="147"/>
      <c r="AD359" s="147"/>
      <c r="AE359" s="147"/>
      <c r="AF359" s="147"/>
      <c r="AG359" s="147"/>
      <c r="AH359" s="147"/>
      <c r="AI359" s="147"/>
      <c r="AJ359" s="147"/>
      <c r="AK359" s="147"/>
      <c r="AL359" s="147"/>
      <c r="AM359" s="147"/>
      <c r="AN359" s="147"/>
      <c r="AO359" s="147"/>
      <c r="AP359" s="147"/>
      <c r="AQ359" s="147"/>
      <c r="AR359" s="147"/>
      <c r="AS359" s="147"/>
      <c r="AT359" s="147"/>
      <c r="AU359" s="147"/>
      <c r="AV359" s="147"/>
      <c r="AW359" s="147"/>
      <c r="AX359" s="147"/>
      <c r="AY359" s="233" t="s">
        <v>2273</v>
      </c>
      <c r="AZ359" s="147" t="s">
        <v>2294</v>
      </c>
      <c r="BA359" s="147">
        <v>4</v>
      </c>
    </row>
    <row r="360" spans="1:53" ht="24.75" customHeight="1">
      <c r="A360" s="145"/>
      <c r="B360" s="147" t="s">
        <v>2110</v>
      </c>
      <c r="C360" s="147"/>
      <c r="D360" s="147"/>
      <c r="E360" s="147"/>
      <c r="F360" s="148" t="s">
        <v>2295</v>
      </c>
      <c r="G360" s="148"/>
      <c r="H360" s="147" t="s">
        <v>22</v>
      </c>
      <c r="I360" s="147"/>
      <c r="J360" s="147" t="s">
        <v>39</v>
      </c>
      <c r="K360" s="155" t="s">
        <v>38</v>
      </c>
      <c r="L360" s="147" t="s">
        <v>39</v>
      </c>
      <c r="M360" s="155" t="s">
        <v>39</v>
      </c>
      <c r="N360" s="147"/>
      <c r="O360" s="148"/>
      <c r="P360" s="148"/>
      <c r="Q360" s="147"/>
      <c r="R360" s="147"/>
      <c r="S360" s="147"/>
      <c r="T360" s="147"/>
      <c r="U360" s="147"/>
      <c r="V360" s="155">
        <v>63388333</v>
      </c>
      <c r="W360" s="147"/>
      <c r="X360" s="148" t="s">
        <v>2296</v>
      </c>
      <c r="Y360" s="148"/>
      <c r="Z360" s="148" t="s">
        <v>2297</v>
      </c>
      <c r="AA360" s="148" t="s">
        <v>2298</v>
      </c>
      <c r="AB360" s="147"/>
      <c r="AC360" s="147"/>
      <c r="AD360" s="147"/>
      <c r="AE360" s="147"/>
      <c r="AF360" s="147"/>
      <c r="AG360" s="147"/>
      <c r="AH360" s="147"/>
      <c r="AI360" s="147"/>
      <c r="AJ360" s="147"/>
      <c r="AK360" s="147"/>
      <c r="AL360" s="147"/>
      <c r="AM360" s="147"/>
      <c r="AN360" s="147"/>
      <c r="AO360" s="147"/>
      <c r="AP360" s="147"/>
      <c r="AQ360" s="147"/>
      <c r="AR360" s="147"/>
      <c r="AS360" s="147"/>
      <c r="AT360" s="147"/>
      <c r="AU360" s="147"/>
      <c r="AV360" s="147"/>
      <c r="AW360" s="147"/>
      <c r="AX360" s="147"/>
      <c r="AY360" s="233" t="s">
        <v>2299</v>
      </c>
      <c r="AZ360" s="147" t="s">
        <v>2300</v>
      </c>
      <c r="BA360" s="147">
        <v>4</v>
      </c>
    </row>
    <row r="361" spans="1:53" ht="24.75" customHeight="1">
      <c r="A361" s="145"/>
      <c r="B361" s="147" t="s">
        <v>2</v>
      </c>
      <c r="C361" s="147"/>
      <c r="D361" s="147"/>
      <c r="E361" s="147"/>
      <c r="F361" s="148" t="s">
        <v>2301</v>
      </c>
      <c r="G361" s="148"/>
      <c r="H361" s="147" t="s">
        <v>22</v>
      </c>
      <c r="I361" s="147"/>
      <c r="J361" s="147" t="s">
        <v>39</v>
      </c>
      <c r="K361" s="155" t="s">
        <v>38</v>
      </c>
      <c r="L361" s="147" t="s">
        <v>39</v>
      </c>
      <c r="M361" s="155" t="s">
        <v>39</v>
      </c>
      <c r="N361" s="147"/>
      <c r="O361" s="148" t="s">
        <v>2302</v>
      </c>
      <c r="P361" s="148" t="s">
        <v>2303</v>
      </c>
      <c r="Q361" s="147"/>
      <c r="R361" s="147"/>
      <c r="S361" s="147"/>
      <c r="T361" s="147"/>
      <c r="U361" s="147"/>
      <c r="V361" s="155">
        <v>69339833</v>
      </c>
      <c r="W361" s="147"/>
      <c r="X361" s="148" t="s">
        <v>2304</v>
      </c>
      <c r="Y361" s="148"/>
      <c r="Z361" s="148" t="s">
        <v>2305</v>
      </c>
      <c r="AA361" s="148" t="s">
        <v>2306</v>
      </c>
      <c r="AB361" s="147"/>
      <c r="AC361" s="147"/>
      <c r="AD361" s="147"/>
      <c r="AE361" s="147"/>
      <c r="AF361" s="147"/>
      <c r="AG361" s="147"/>
      <c r="AH361" s="147"/>
      <c r="AI361" s="147"/>
      <c r="AJ361" s="147"/>
      <c r="AK361" s="147"/>
      <c r="AL361" s="147"/>
      <c r="AM361" s="147"/>
      <c r="AN361" s="147"/>
      <c r="AO361" s="147"/>
      <c r="AP361" s="147"/>
      <c r="AQ361" s="147"/>
      <c r="AR361" s="147"/>
      <c r="AS361" s="147"/>
      <c r="AT361" s="147"/>
      <c r="AU361" s="147"/>
      <c r="AV361" s="147"/>
      <c r="AW361" s="147"/>
      <c r="AX361" s="147"/>
      <c r="AY361" s="233" t="s">
        <v>2307</v>
      </c>
      <c r="AZ361" s="147" t="s">
        <v>2308</v>
      </c>
      <c r="BA361" s="147">
        <v>4</v>
      </c>
    </row>
    <row r="362" spans="1:53" ht="24.75" customHeight="1">
      <c r="A362" s="145"/>
      <c r="B362" s="147" t="s">
        <v>902</v>
      </c>
      <c r="C362" s="147"/>
      <c r="D362" s="147"/>
      <c r="E362" s="147"/>
      <c r="F362" s="148" t="s">
        <v>2309</v>
      </c>
      <c r="G362" s="148"/>
      <c r="H362" s="147" t="s">
        <v>22</v>
      </c>
      <c r="I362" s="147"/>
      <c r="J362" s="147" t="s">
        <v>39</v>
      </c>
      <c r="K362" s="155" t="s">
        <v>38</v>
      </c>
      <c r="L362" s="147" t="s">
        <v>39</v>
      </c>
      <c r="M362" s="155" t="s">
        <v>39</v>
      </c>
      <c r="N362" s="147"/>
      <c r="O362" s="148"/>
      <c r="P362" s="148"/>
      <c r="Q362" s="147"/>
      <c r="R362" s="147"/>
      <c r="S362" s="147"/>
      <c r="T362" s="147"/>
      <c r="U362" s="147"/>
      <c r="V362" s="155">
        <v>63372288</v>
      </c>
      <c r="W362" s="147"/>
      <c r="X362" s="148" t="s">
        <v>2310</v>
      </c>
      <c r="Y362" s="148"/>
      <c r="Z362" s="148" t="s">
        <v>2311</v>
      </c>
      <c r="AA362" s="148" t="s">
        <v>2312</v>
      </c>
      <c r="AB362" s="147"/>
      <c r="AC362" s="147"/>
      <c r="AD362" s="147"/>
      <c r="AE362" s="147"/>
      <c r="AF362" s="147"/>
      <c r="AG362" s="147"/>
      <c r="AH362" s="147"/>
      <c r="AI362" s="147"/>
      <c r="AJ362" s="147"/>
      <c r="AK362" s="147"/>
      <c r="AL362" s="147"/>
      <c r="AM362" s="147"/>
      <c r="AN362" s="147"/>
      <c r="AO362" s="147"/>
      <c r="AP362" s="147"/>
      <c r="AQ362" s="147"/>
      <c r="AR362" s="147"/>
      <c r="AS362" s="147"/>
      <c r="AT362" s="147"/>
      <c r="AU362" s="147"/>
      <c r="AV362" s="147"/>
      <c r="AW362" s="147"/>
      <c r="AX362" s="147"/>
      <c r="AY362" s="233" t="s">
        <v>2313</v>
      </c>
      <c r="AZ362" s="147" t="s">
        <v>2314</v>
      </c>
      <c r="BA362" s="147">
        <v>5</v>
      </c>
    </row>
    <row r="363" spans="1:53" ht="24.75" customHeight="1">
      <c r="A363" s="145"/>
      <c r="B363" s="147" t="s">
        <v>2110</v>
      </c>
      <c r="C363" s="147"/>
      <c r="D363" s="147"/>
      <c r="E363" s="147"/>
      <c r="F363" s="148" t="s">
        <v>2315</v>
      </c>
      <c r="G363" s="148"/>
      <c r="H363" s="147" t="s">
        <v>22</v>
      </c>
      <c r="I363" s="147"/>
      <c r="J363" s="147" t="s">
        <v>39</v>
      </c>
      <c r="K363" s="155" t="s">
        <v>38</v>
      </c>
      <c r="L363" s="147" t="s">
        <v>39</v>
      </c>
      <c r="M363" s="155" t="s">
        <v>39</v>
      </c>
      <c r="N363" s="147"/>
      <c r="O363" s="148" t="s">
        <v>2316</v>
      </c>
      <c r="P363" s="148" t="s">
        <v>2317</v>
      </c>
      <c r="Q363" s="147"/>
      <c r="R363" s="147"/>
      <c r="S363" s="147"/>
      <c r="T363" s="147"/>
      <c r="U363" s="147"/>
      <c r="V363" s="155">
        <v>96884265</v>
      </c>
      <c r="W363" s="147"/>
      <c r="X363" s="148" t="s">
        <v>2318</v>
      </c>
      <c r="Y363" s="148"/>
      <c r="Z363" s="148" t="s">
        <v>2319</v>
      </c>
      <c r="AA363" s="148" t="s">
        <v>2320</v>
      </c>
      <c r="AB363" s="147"/>
      <c r="AC363" s="147"/>
      <c r="AD363" s="147"/>
      <c r="AE363" s="147"/>
      <c r="AF363" s="147"/>
      <c r="AG363" s="147"/>
      <c r="AH363" s="147"/>
      <c r="AI363" s="147"/>
      <c r="AJ363" s="147"/>
      <c r="AK363" s="147"/>
      <c r="AL363" s="147"/>
      <c r="AM363" s="147"/>
      <c r="AN363" s="147"/>
      <c r="AO363" s="147"/>
      <c r="AP363" s="147"/>
      <c r="AQ363" s="147"/>
      <c r="AR363" s="147"/>
      <c r="AS363" s="147"/>
      <c r="AT363" s="147"/>
      <c r="AU363" s="147"/>
      <c r="AV363" s="147"/>
      <c r="AW363" s="147"/>
      <c r="AX363" s="147"/>
      <c r="AY363" s="233" t="s">
        <v>2299</v>
      </c>
      <c r="AZ363" s="147" t="s">
        <v>2321</v>
      </c>
      <c r="BA363" s="147">
        <v>5</v>
      </c>
    </row>
    <row r="364" spans="1:53" ht="24.75" customHeight="1">
      <c r="A364" s="145"/>
      <c r="B364" s="147" t="s">
        <v>2</v>
      </c>
      <c r="C364" s="147"/>
      <c r="D364" s="147"/>
      <c r="E364" s="147"/>
      <c r="F364" s="148" t="s">
        <v>2322</v>
      </c>
      <c r="G364" s="148"/>
      <c r="H364" s="147" t="s">
        <v>22</v>
      </c>
      <c r="I364" s="147"/>
      <c r="J364" s="147" t="s">
        <v>39</v>
      </c>
      <c r="K364" s="155" t="s">
        <v>38</v>
      </c>
      <c r="L364" s="147" t="s">
        <v>39</v>
      </c>
      <c r="M364" s="155" t="s">
        <v>39</v>
      </c>
      <c r="N364" s="147"/>
      <c r="O364" s="148" t="s">
        <v>2323</v>
      </c>
      <c r="P364" s="148" t="s">
        <v>2324</v>
      </c>
      <c r="Q364" s="147"/>
      <c r="R364" s="147"/>
      <c r="S364" s="147"/>
      <c r="T364" s="147"/>
      <c r="U364" s="147"/>
      <c r="V364" s="155">
        <v>96584131</v>
      </c>
      <c r="W364" s="147"/>
      <c r="X364" s="148" t="s">
        <v>2325</v>
      </c>
      <c r="Y364" s="148"/>
      <c r="Z364" s="148" t="s">
        <v>2326</v>
      </c>
      <c r="AA364" s="148" t="s">
        <v>2327</v>
      </c>
      <c r="AB364" s="147"/>
      <c r="AC364" s="147"/>
      <c r="AD364" s="147"/>
      <c r="AE364" s="147"/>
      <c r="AF364" s="147"/>
      <c r="AG364" s="147"/>
      <c r="AH364" s="147"/>
      <c r="AI364" s="147"/>
      <c r="AJ364" s="147"/>
      <c r="AK364" s="147"/>
      <c r="AL364" s="147"/>
      <c r="AM364" s="147"/>
      <c r="AN364" s="147"/>
      <c r="AO364" s="147"/>
      <c r="AP364" s="147"/>
      <c r="AQ364" s="147"/>
      <c r="AR364" s="147"/>
      <c r="AS364" s="147"/>
      <c r="AT364" s="147"/>
      <c r="AU364" s="147"/>
      <c r="AV364" s="147"/>
      <c r="AW364" s="147"/>
      <c r="AX364" s="147"/>
      <c r="AY364" s="233" t="s">
        <v>2328</v>
      </c>
      <c r="AZ364" s="147" t="s">
        <v>2329</v>
      </c>
      <c r="BA364" s="147">
        <v>4</v>
      </c>
    </row>
    <row r="365" spans="1:53" ht="24.75" customHeight="1">
      <c r="A365" s="145"/>
      <c r="B365" s="147" t="s">
        <v>4</v>
      </c>
      <c r="C365" s="147"/>
      <c r="D365" s="147"/>
      <c r="E365" s="147"/>
      <c r="F365" s="148" t="s">
        <v>2330</v>
      </c>
      <c r="G365" s="148"/>
      <c r="H365" s="147" t="s">
        <v>22</v>
      </c>
      <c r="I365" s="147"/>
      <c r="J365" s="147" t="s">
        <v>39</v>
      </c>
      <c r="K365" s="155" t="s">
        <v>38</v>
      </c>
      <c r="L365" s="147" t="s">
        <v>39</v>
      </c>
      <c r="M365" s="155" t="s">
        <v>39</v>
      </c>
      <c r="N365" s="147"/>
      <c r="O365" s="148" t="s">
        <v>2331</v>
      </c>
      <c r="P365" s="148"/>
      <c r="Q365" s="147"/>
      <c r="R365" s="147"/>
      <c r="S365" s="147"/>
      <c r="T365" s="147"/>
      <c r="U365" s="147"/>
      <c r="V365" s="155">
        <v>63630101</v>
      </c>
      <c r="W365" s="147"/>
      <c r="X365" s="148" t="s">
        <v>2332</v>
      </c>
      <c r="Y365" s="148"/>
      <c r="Z365" s="148" t="s">
        <v>2333</v>
      </c>
      <c r="AA365" s="148" t="s">
        <v>2334</v>
      </c>
      <c r="AB365" s="147"/>
      <c r="AC365" s="147"/>
      <c r="AD365" s="147"/>
      <c r="AE365" s="147"/>
      <c r="AF365" s="147"/>
      <c r="AG365" s="147"/>
      <c r="AH365" s="147"/>
      <c r="AI365" s="147"/>
      <c r="AJ365" s="147"/>
      <c r="AK365" s="147"/>
      <c r="AL365" s="147"/>
      <c r="AM365" s="147"/>
      <c r="AN365" s="147"/>
      <c r="AO365" s="147"/>
      <c r="AP365" s="147"/>
      <c r="AQ365" s="147"/>
      <c r="AR365" s="147"/>
      <c r="AS365" s="147"/>
      <c r="AT365" s="147"/>
      <c r="AU365" s="147"/>
      <c r="AV365" s="147"/>
      <c r="AW365" s="147"/>
      <c r="AX365" s="147"/>
      <c r="AY365" s="233" t="s">
        <v>2299</v>
      </c>
      <c r="AZ365" s="147" t="s">
        <v>2329</v>
      </c>
      <c r="BA365" s="147">
        <v>5</v>
      </c>
    </row>
    <row r="366" spans="1:53" ht="24.75" customHeight="1">
      <c r="A366" s="145"/>
      <c r="B366" s="147" t="s">
        <v>2</v>
      </c>
      <c r="C366" s="147"/>
      <c r="D366" s="147"/>
      <c r="E366" s="147"/>
      <c r="F366" s="148" t="s">
        <v>2335</v>
      </c>
      <c r="G366" s="148"/>
      <c r="H366" s="147" t="s">
        <v>22</v>
      </c>
      <c r="I366" s="147"/>
      <c r="J366" s="147" t="s">
        <v>39</v>
      </c>
      <c r="K366" s="155" t="s">
        <v>38</v>
      </c>
      <c r="L366" s="147" t="s">
        <v>39</v>
      </c>
      <c r="M366" s="155" t="s">
        <v>39</v>
      </c>
      <c r="N366" s="147"/>
      <c r="O366" s="148"/>
      <c r="P366" s="148"/>
      <c r="Q366" s="147"/>
      <c r="R366" s="147"/>
      <c r="S366" s="147"/>
      <c r="T366" s="147"/>
      <c r="U366" s="147"/>
      <c r="V366" s="155">
        <v>67338388</v>
      </c>
      <c r="W366" s="147"/>
      <c r="X366" s="148" t="s">
        <v>2336</v>
      </c>
      <c r="Y366" s="148"/>
      <c r="Z366" s="148" t="s">
        <v>2337</v>
      </c>
      <c r="AA366" s="148" t="s">
        <v>2338</v>
      </c>
      <c r="AB366" s="147"/>
      <c r="AC366" s="147"/>
      <c r="AD366" s="147"/>
      <c r="AE366" s="147"/>
      <c r="AF366" s="147"/>
      <c r="AG366" s="147"/>
      <c r="AH366" s="147"/>
      <c r="AI366" s="147"/>
      <c r="AJ366" s="147"/>
      <c r="AK366" s="147"/>
      <c r="AL366" s="147"/>
      <c r="AM366" s="147"/>
      <c r="AN366" s="147"/>
      <c r="AO366" s="147"/>
      <c r="AP366" s="147"/>
      <c r="AQ366" s="147"/>
      <c r="AR366" s="147"/>
      <c r="AS366" s="147"/>
      <c r="AT366" s="147"/>
      <c r="AU366" s="147"/>
      <c r="AV366" s="147"/>
      <c r="AW366" s="147"/>
      <c r="AX366" s="147"/>
      <c r="AY366" s="233" t="s">
        <v>2339</v>
      </c>
      <c r="AZ366" s="147" t="s">
        <v>2340</v>
      </c>
      <c r="BA366" s="147">
        <v>5</v>
      </c>
    </row>
    <row r="367" spans="1:53" ht="24.75" customHeight="1">
      <c r="A367" s="145"/>
      <c r="B367" s="147" t="s">
        <v>2</v>
      </c>
      <c r="C367" s="147"/>
      <c r="D367" s="147"/>
      <c r="E367" s="147"/>
      <c r="F367" s="148" t="s">
        <v>2341</v>
      </c>
      <c r="G367" s="148"/>
      <c r="H367" s="147" t="s">
        <v>22</v>
      </c>
      <c r="I367" s="147"/>
      <c r="J367" s="147" t="s">
        <v>39</v>
      </c>
      <c r="K367" s="155" t="s">
        <v>38</v>
      </c>
      <c r="L367" s="147" t="s">
        <v>39</v>
      </c>
      <c r="M367" s="155" t="s">
        <v>39</v>
      </c>
      <c r="N367" s="147"/>
      <c r="O367" s="148"/>
      <c r="P367" s="148"/>
      <c r="Q367" s="147"/>
      <c r="R367" s="147"/>
      <c r="S367" s="147"/>
      <c r="T367" s="147"/>
      <c r="U367" s="147"/>
      <c r="V367" s="155">
        <v>67088888</v>
      </c>
      <c r="W367" s="147"/>
      <c r="X367" s="148" t="s">
        <v>2342</v>
      </c>
      <c r="Y367" s="148"/>
      <c r="Z367" s="148" t="s">
        <v>2343</v>
      </c>
      <c r="AA367" s="148" t="s">
        <v>2344</v>
      </c>
      <c r="AB367" s="147"/>
      <c r="AC367" s="147"/>
      <c r="AD367" s="147"/>
      <c r="AE367" s="147"/>
      <c r="AF367" s="147"/>
      <c r="AG367" s="147"/>
      <c r="AH367" s="147"/>
      <c r="AI367" s="147"/>
      <c r="AJ367" s="147"/>
      <c r="AK367" s="147"/>
      <c r="AL367" s="147"/>
      <c r="AM367" s="147"/>
      <c r="AN367" s="147"/>
      <c r="AO367" s="147"/>
      <c r="AP367" s="147"/>
      <c r="AQ367" s="147"/>
      <c r="AR367" s="147"/>
      <c r="AS367" s="147"/>
      <c r="AT367" s="147"/>
      <c r="AU367" s="147"/>
      <c r="AV367" s="147"/>
      <c r="AW367" s="147"/>
      <c r="AX367" s="147"/>
      <c r="AY367" s="233" t="s">
        <v>2345</v>
      </c>
      <c r="AZ367" s="147" t="s">
        <v>2346</v>
      </c>
      <c r="BA367" s="147">
        <v>5</v>
      </c>
    </row>
    <row r="368" spans="1:53" ht="24.75" customHeight="1">
      <c r="A368" s="145"/>
      <c r="B368" s="147" t="s">
        <v>2</v>
      </c>
      <c r="C368" s="147"/>
      <c r="D368" s="147"/>
      <c r="E368" s="147"/>
      <c r="F368" s="148" t="s">
        <v>2347</v>
      </c>
      <c r="G368" s="148"/>
      <c r="H368" s="147" t="s">
        <v>22</v>
      </c>
      <c r="I368" s="147"/>
      <c r="J368" s="147" t="s">
        <v>39</v>
      </c>
      <c r="K368" s="155" t="s">
        <v>38</v>
      </c>
      <c r="L368" s="147" t="s">
        <v>39</v>
      </c>
      <c r="M368" s="155" t="s">
        <v>39</v>
      </c>
      <c r="N368" s="147"/>
      <c r="O368" s="148" t="s">
        <v>2348</v>
      </c>
      <c r="P368" s="148" t="s">
        <v>2349</v>
      </c>
      <c r="Q368" s="147"/>
      <c r="R368" s="147"/>
      <c r="S368" s="147"/>
      <c r="T368" s="147"/>
      <c r="U368" s="147"/>
      <c r="V368" s="155">
        <v>68126900</v>
      </c>
      <c r="W368" s="147"/>
      <c r="X368" s="148" t="s">
        <v>2350</v>
      </c>
      <c r="Y368" s="148"/>
      <c r="Z368" s="148" t="s">
        <v>2351</v>
      </c>
      <c r="AA368" s="148" t="s">
        <v>2352</v>
      </c>
      <c r="AB368" s="147"/>
      <c r="AC368" s="147"/>
      <c r="AD368" s="147"/>
      <c r="AE368" s="147"/>
      <c r="AF368" s="147"/>
      <c r="AG368" s="147"/>
      <c r="AH368" s="147"/>
      <c r="AI368" s="147"/>
      <c r="AJ368" s="147"/>
      <c r="AK368" s="147"/>
      <c r="AL368" s="147"/>
      <c r="AM368" s="147"/>
      <c r="AN368" s="147"/>
      <c r="AO368" s="147"/>
      <c r="AP368" s="147"/>
      <c r="AQ368" s="147"/>
      <c r="AR368" s="147"/>
      <c r="AS368" s="147"/>
      <c r="AT368" s="147"/>
      <c r="AU368" s="147"/>
      <c r="AV368" s="147"/>
      <c r="AW368" s="147"/>
      <c r="AX368" s="147"/>
      <c r="AY368" s="233" t="s">
        <v>2353</v>
      </c>
      <c r="AZ368" s="147" t="s">
        <v>2354</v>
      </c>
      <c r="BA368" s="147">
        <v>4.5</v>
      </c>
    </row>
    <row r="369" spans="1:53" ht="24.75" customHeight="1">
      <c r="A369" s="145"/>
      <c r="B369" s="147" t="s">
        <v>2</v>
      </c>
      <c r="C369" s="147"/>
      <c r="D369" s="147"/>
      <c r="E369" s="147"/>
      <c r="F369" s="148" t="s">
        <v>2355</v>
      </c>
      <c r="G369" s="148"/>
      <c r="H369" s="147" t="s">
        <v>22</v>
      </c>
      <c r="I369" s="147"/>
      <c r="J369" s="147" t="s">
        <v>39</v>
      </c>
      <c r="K369" s="155" t="s">
        <v>38</v>
      </c>
      <c r="L369" s="147" t="s">
        <v>39</v>
      </c>
      <c r="M369" s="155" t="s">
        <v>39</v>
      </c>
      <c r="N369" s="147"/>
      <c r="O369" s="148" t="s">
        <v>2356</v>
      </c>
      <c r="P369" s="148" t="s">
        <v>2349</v>
      </c>
      <c r="Q369" s="147"/>
      <c r="R369" s="147"/>
      <c r="S369" s="147"/>
      <c r="T369" s="147"/>
      <c r="U369" s="147"/>
      <c r="V369" s="155">
        <v>63393939</v>
      </c>
      <c r="W369" s="147"/>
      <c r="X369" s="148" t="s">
        <v>2357</v>
      </c>
      <c r="Y369" s="148"/>
      <c r="Z369" s="148" t="s">
        <v>2358</v>
      </c>
      <c r="AA369" s="148" t="s">
        <v>2359</v>
      </c>
      <c r="AB369" s="147"/>
      <c r="AC369" s="147"/>
      <c r="AD369" s="147"/>
      <c r="AE369" s="147"/>
      <c r="AF369" s="147"/>
      <c r="AG369" s="147"/>
      <c r="AH369" s="147"/>
      <c r="AI369" s="147"/>
      <c r="AJ369" s="147"/>
      <c r="AK369" s="147"/>
      <c r="AL369" s="147"/>
      <c r="AM369" s="147"/>
      <c r="AN369" s="147"/>
      <c r="AO369" s="147"/>
      <c r="AP369" s="147"/>
      <c r="AQ369" s="147"/>
      <c r="AR369" s="147"/>
      <c r="AS369" s="147"/>
      <c r="AT369" s="147"/>
      <c r="AU369" s="147"/>
      <c r="AV369" s="147"/>
      <c r="AW369" s="147"/>
      <c r="AX369" s="147"/>
      <c r="AY369" s="233" t="s">
        <v>2345</v>
      </c>
      <c r="AZ369" s="147" t="s">
        <v>2360</v>
      </c>
      <c r="BA369" s="147">
        <v>4</v>
      </c>
    </row>
    <row r="370" spans="1:53" ht="24.75" customHeight="1">
      <c r="A370" s="145"/>
      <c r="B370" s="147" t="s">
        <v>2</v>
      </c>
      <c r="C370" s="147"/>
      <c r="D370" s="147"/>
      <c r="E370" s="147"/>
      <c r="F370" s="148" t="s">
        <v>2361</v>
      </c>
      <c r="G370" s="148"/>
      <c r="H370" s="147" t="s">
        <v>22</v>
      </c>
      <c r="I370" s="147"/>
      <c r="J370" s="147" t="s">
        <v>39</v>
      </c>
      <c r="K370" s="155" t="s">
        <v>38</v>
      </c>
      <c r="L370" s="147" t="s">
        <v>39</v>
      </c>
      <c r="M370" s="155" t="s">
        <v>39</v>
      </c>
      <c r="N370" s="147"/>
      <c r="O370" s="148" t="s">
        <v>2362</v>
      </c>
      <c r="P370" s="148" t="s">
        <v>2349</v>
      </c>
      <c r="Q370" s="147"/>
      <c r="R370" s="147"/>
      <c r="S370" s="147"/>
      <c r="T370" s="147"/>
      <c r="U370" s="147"/>
      <c r="V370" s="155">
        <v>66328888</v>
      </c>
      <c r="W370" s="147"/>
      <c r="X370" s="148" t="s">
        <v>2363</v>
      </c>
      <c r="Y370" s="148"/>
      <c r="Z370" s="148" t="s">
        <v>2364</v>
      </c>
      <c r="AA370" s="148" t="s">
        <v>2365</v>
      </c>
      <c r="AB370" s="147"/>
      <c r="AC370" s="147"/>
      <c r="AD370" s="147"/>
      <c r="AE370" s="147"/>
      <c r="AF370" s="147"/>
      <c r="AG370" s="147"/>
      <c r="AH370" s="147"/>
      <c r="AI370" s="147"/>
      <c r="AJ370" s="147"/>
      <c r="AK370" s="147"/>
      <c r="AL370" s="147"/>
      <c r="AM370" s="147"/>
      <c r="AN370" s="147"/>
      <c r="AO370" s="147"/>
      <c r="AP370" s="147"/>
      <c r="AQ370" s="147"/>
      <c r="AR370" s="147"/>
      <c r="AS370" s="147"/>
      <c r="AT370" s="147"/>
      <c r="AU370" s="147"/>
      <c r="AV370" s="147"/>
      <c r="AW370" s="147"/>
      <c r="AX370" s="147"/>
      <c r="AY370" s="233" t="s">
        <v>2366</v>
      </c>
      <c r="AZ370" s="147" t="s">
        <v>2367</v>
      </c>
      <c r="BA370" s="147">
        <v>5</v>
      </c>
    </row>
    <row r="371" spans="1:53" ht="24.75" customHeight="1">
      <c r="A371" s="145"/>
      <c r="B371" s="147" t="s">
        <v>2</v>
      </c>
      <c r="C371" s="147"/>
      <c r="D371" s="147"/>
      <c r="E371" s="147"/>
      <c r="F371" s="148" t="s">
        <v>2368</v>
      </c>
      <c r="G371" s="148"/>
      <c r="H371" s="147" t="s">
        <v>22</v>
      </c>
      <c r="I371" s="147"/>
      <c r="J371" s="147" t="s">
        <v>39</v>
      </c>
      <c r="K371" s="155" t="s">
        <v>38</v>
      </c>
      <c r="L371" s="147" t="s">
        <v>39</v>
      </c>
      <c r="M371" s="155" t="s">
        <v>39</v>
      </c>
      <c r="N371" s="147"/>
      <c r="O371" s="148" t="s">
        <v>2369</v>
      </c>
      <c r="P371" s="148" t="s">
        <v>2317</v>
      </c>
      <c r="Q371" s="147"/>
      <c r="R371" s="147"/>
      <c r="S371" s="147"/>
      <c r="T371" s="147"/>
      <c r="U371" s="147"/>
      <c r="V371" s="155">
        <v>68098888</v>
      </c>
      <c r="W371" s="147"/>
      <c r="X371" s="148" t="s">
        <v>2370</v>
      </c>
      <c r="Y371" s="148"/>
      <c r="Z371" s="148" t="s">
        <v>2371</v>
      </c>
      <c r="AA371" s="148" t="s">
        <v>2372</v>
      </c>
      <c r="AB371" s="147"/>
      <c r="AC371" s="147"/>
      <c r="AD371" s="147"/>
      <c r="AE371" s="147"/>
      <c r="AF371" s="147"/>
      <c r="AG371" s="147"/>
      <c r="AH371" s="147"/>
      <c r="AI371" s="147"/>
      <c r="AJ371" s="147"/>
      <c r="AK371" s="147"/>
      <c r="AL371" s="147"/>
      <c r="AM371" s="147"/>
      <c r="AN371" s="147"/>
      <c r="AO371" s="147"/>
      <c r="AP371" s="147"/>
      <c r="AQ371" s="147"/>
      <c r="AR371" s="147"/>
      <c r="AS371" s="147"/>
      <c r="AT371" s="147"/>
      <c r="AU371" s="147"/>
      <c r="AV371" s="147"/>
      <c r="AW371" s="147"/>
      <c r="AX371" s="147"/>
      <c r="AY371" s="233" t="s">
        <v>2366</v>
      </c>
      <c r="AZ371" s="147" t="s">
        <v>2373</v>
      </c>
      <c r="BA371" s="147">
        <v>5</v>
      </c>
    </row>
    <row r="372" spans="1:53" ht="24.75" customHeight="1">
      <c r="A372" s="145"/>
      <c r="B372" s="147" t="s">
        <v>2</v>
      </c>
      <c r="C372" s="147"/>
      <c r="D372" s="147"/>
      <c r="E372" s="147"/>
      <c r="F372" s="148" t="s">
        <v>2374</v>
      </c>
      <c r="G372" s="148"/>
      <c r="H372" s="147" t="s">
        <v>22</v>
      </c>
      <c r="I372" s="147"/>
      <c r="J372" s="147" t="s">
        <v>39</v>
      </c>
      <c r="K372" s="155" t="s">
        <v>38</v>
      </c>
      <c r="L372" s="147" t="s">
        <v>39</v>
      </c>
      <c r="M372" s="155" t="s">
        <v>39</v>
      </c>
      <c r="N372" s="147"/>
      <c r="O372" s="148" t="s">
        <v>2375</v>
      </c>
      <c r="P372" s="148" t="s">
        <v>2376</v>
      </c>
      <c r="Q372" s="147"/>
      <c r="R372" s="147"/>
      <c r="S372" s="147"/>
      <c r="T372" s="147"/>
      <c r="U372" s="147"/>
      <c r="V372" s="155">
        <v>83669081</v>
      </c>
      <c r="W372" s="147"/>
      <c r="X372" s="148"/>
      <c r="Y372" s="148"/>
      <c r="Z372" s="148" t="s">
        <v>2377</v>
      </c>
      <c r="AA372" s="148"/>
      <c r="AB372" s="147"/>
      <c r="AC372" s="147"/>
      <c r="AD372" s="147"/>
      <c r="AE372" s="147"/>
      <c r="AF372" s="147"/>
      <c r="AG372" s="147"/>
      <c r="AH372" s="147"/>
      <c r="AI372" s="147"/>
      <c r="AJ372" s="147"/>
      <c r="AK372" s="147"/>
      <c r="AL372" s="147"/>
      <c r="AM372" s="147"/>
      <c r="AN372" s="147"/>
      <c r="AO372" s="147"/>
      <c r="AP372" s="147"/>
      <c r="AQ372" s="147"/>
      <c r="AR372" s="147"/>
      <c r="AS372" s="147"/>
      <c r="AT372" s="147"/>
      <c r="AU372" s="147"/>
      <c r="AV372" s="147"/>
      <c r="AW372" s="147"/>
      <c r="AX372" s="147"/>
      <c r="AY372" s="233" t="s">
        <v>2378</v>
      </c>
      <c r="AZ372" s="147" t="s">
        <v>2379</v>
      </c>
      <c r="BA372" s="147"/>
    </row>
    <row r="373" spans="1:53" ht="24.75" customHeight="1">
      <c r="A373" s="145"/>
      <c r="B373" s="147" t="s">
        <v>2</v>
      </c>
      <c r="C373" s="147"/>
      <c r="D373" s="147"/>
      <c r="E373" s="147"/>
      <c r="F373" s="148" t="s">
        <v>2380</v>
      </c>
      <c r="G373" s="148"/>
      <c r="H373" s="147" t="s">
        <v>22</v>
      </c>
      <c r="I373" s="147"/>
      <c r="J373" s="147" t="s">
        <v>39</v>
      </c>
      <c r="K373" s="155" t="s">
        <v>38</v>
      </c>
      <c r="L373" s="147" t="s">
        <v>39</v>
      </c>
      <c r="M373" s="155" t="s">
        <v>39</v>
      </c>
      <c r="N373" s="147"/>
      <c r="O373" s="148" t="s">
        <v>2381</v>
      </c>
      <c r="P373" s="148" t="s">
        <v>2376</v>
      </c>
      <c r="Q373" s="147"/>
      <c r="R373" s="147"/>
      <c r="S373" s="147"/>
      <c r="T373" s="147"/>
      <c r="U373" s="147"/>
      <c r="V373" s="155">
        <v>82887176</v>
      </c>
      <c r="W373" s="147"/>
      <c r="X373" s="148" t="s">
        <v>2382</v>
      </c>
      <c r="Y373" s="148"/>
      <c r="Z373" s="148" t="s">
        <v>2383</v>
      </c>
      <c r="AA373" s="148" t="s">
        <v>2384</v>
      </c>
      <c r="AB373" s="147"/>
      <c r="AC373" s="147"/>
      <c r="AD373" s="147"/>
      <c r="AE373" s="147"/>
      <c r="AF373" s="147"/>
      <c r="AG373" s="147"/>
      <c r="AH373" s="147"/>
      <c r="AI373" s="147"/>
      <c r="AJ373" s="147"/>
      <c r="AK373" s="147"/>
      <c r="AL373" s="147"/>
      <c r="AM373" s="147"/>
      <c r="AN373" s="147"/>
      <c r="AO373" s="147"/>
      <c r="AP373" s="147"/>
      <c r="AQ373" s="147"/>
      <c r="AR373" s="147"/>
      <c r="AS373" s="147"/>
      <c r="AT373" s="147"/>
      <c r="AU373" s="147"/>
      <c r="AV373" s="147"/>
      <c r="AW373" s="147"/>
      <c r="AX373" s="147"/>
      <c r="AY373" s="233" t="s">
        <v>2378</v>
      </c>
      <c r="AZ373" s="147" t="s">
        <v>2385</v>
      </c>
      <c r="BA373" s="147"/>
    </row>
    <row r="374" spans="1:53" ht="24.75" customHeight="1">
      <c r="A374" s="145"/>
      <c r="B374" s="147" t="s">
        <v>2</v>
      </c>
      <c r="C374" s="147"/>
      <c r="D374" s="147"/>
      <c r="E374" s="147"/>
      <c r="F374" s="148" t="s">
        <v>2386</v>
      </c>
      <c r="G374" s="148"/>
      <c r="H374" s="147" t="s">
        <v>22</v>
      </c>
      <c r="I374" s="147"/>
      <c r="J374" s="147" t="s">
        <v>1074</v>
      </c>
      <c r="K374" s="155" t="s">
        <v>38</v>
      </c>
      <c r="L374" s="147" t="s">
        <v>1074</v>
      </c>
      <c r="M374" s="155" t="s">
        <v>2387</v>
      </c>
      <c r="N374" s="147"/>
      <c r="O374" s="148"/>
      <c r="P374" s="148"/>
      <c r="Q374" s="147"/>
      <c r="R374" s="147"/>
      <c r="S374" s="147"/>
      <c r="T374" s="147"/>
      <c r="U374" s="147"/>
      <c r="V374" s="155" t="s">
        <v>2388</v>
      </c>
      <c r="W374" s="147"/>
      <c r="X374" s="148" t="s">
        <v>2389</v>
      </c>
      <c r="Y374" s="148"/>
      <c r="Z374" s="148" t="s">
        <v>2390</v>
      </c>
      <c r="AA374" s="148" t="s">
        <v>2391</v>
      </c>
      <c r="AB374" s="147"/>
      <c r="AC374" s="147"/>
      <c r="AD374" s="147"/>
      <c r="AE374" s="147"/>
      <c r="AF374" s="147"/>
      <c r="AG374" s="147"/>
      <c r="AH374" s="147"/>
      <c r="AI374" s="147"/>
      <c r="AJ374" s="147"/>
      <c r="AK374" s="147"/>
      <c r="AL374" s="147"/>
      <c r="AM374" s="147"/>
      <c r="AN374" s="147"/>
      <c r="AO374" s="147"/>
      <c r="AP374" s="147"/>
      <c r="AQ374" s="147"/>
      <c r="AR374" s="147"/>
      <c r="AS374" s="147"/>
      <c r="AT374" s="147"/>
      <c r="AU374" s="147"/>
      <c r="AV374" s="147"/>
      <c r="AW374" s="147"/>
      <c r="AX374" s="147"/>
      <c r="AY374" s="233" t="s">
        <v>2248</v>
      </c>
      <c r="AZ374" s="147" t="s">
        <v>2392</v>
      </c>
      <c r="BA374" s="147">
        <v>5</v>
      </c>
    </row>
    <row r="375" spans="1:53" ht="24.75" customHeight="1">
      <c r="A375" s="145"/>
      <c r="B375" s="147" t="s">
        <v>2</v>
      </c>
      <c r="C375" s="147"/>
      <c r="D375" s="147"/>
      <c r="E375" s="147"/>
      <c r="F375" s="148" t="s">
        <v>2393</v>
      </c>
      <c r="G375" s="148"/>
      <c r="H375" s="147" t="s">
        <v>22</v>
      </c>
      <c r="I375" s="147"/>
      <c r="J375" s="147" t="s">
        <v>1074</v>
      </c>
      <c r="K375" s="155" t="s">
        <v>38</v>
      </c>
      <c r="L375" s="147" t="s">
        <v>1074</v>
      </c>
      <c r="M375" s="155" t="s">
        <v>2387</v>
      </c>
      <c r="N375" s="147"/>
      <c r="O375" s="148"/>
      <c r="P375" s="148"/>
      <c r="Q375" s="147"/>
      <c r="R375" s="147"/>
      <c r="S375" s="147"/>
      <c r="T375" s="147"/>
      <c r="U375" s="147"/>
      <c r="V375" s="155" t="s">
        <v>2394</v>
      </c>
      <c r="W375" s="147"/>
      <c r="X375" s="148" t="s">
        <v>2395</v>
      </c>
      <c r="Y375" s="148"/>
      <c r="Z375" s="148" t="s">
        <v>2396</v>
      </c>
      <c r="AA375" s="148" t="s">
        <v>2397</v>
      </c>
      <c r="AB375" s="147"/>
      <c r="AC375" s="147"/>
      <c r="AD375" s="147"/>
      <c r="AE375" s="147"/>
      <c r="AF375" s="147"/>
      <c r="AG375" s="147"/>
      <c r="AH375" s="147"/>
      <c r="AI375" s="147"/>
      <c r="AJ375" s="147"/>
      <c r="AK375" s="147"/>
      <c r="AL375" s="147"/>
      <c r="AM375" s="147"/>
      <c r="AN375" s="147"/>
      <c r="AO375" s="147"/>
      <c r="AP375" s="147"/>
      <c r="AQ375" s="147"/>
      <c r="AR375" s="147"/>
      <c r="AS375" s="147"/>
      <c r="AT375" s="147"/>
      <c r="AU375" s="147"/>
      <c r="AV375" s="147"/>
      <c r="AW375" s="147"/>
      <c r="AX375" s="147"/>
      <c r="AY375" s="233" t="s">
        <v>2248</v>
      </c>
      <c r="AZ375" s="147" t="s">
        <v>2398</v>
      </c>
      <c r="BA375" s="147">
        <v>3</v>
      </c>
    </row>
    <row r="376" spans="1:53" ht="24.75" customHeight="1">
      <c r="A376" s="145"/>
      <c r="B376" s="147" t="s">
        <v>2</v>
      </c>
      <c r="C376" s="147"/>
      <c r="D376" s="147"/>
      <c r="E376" s="147"/>
      <c r="F376" s="148" t="s">
        <v>2399</v>
      </c>
      <c r="G376" s="148"/>
      <c r="H376" s="147" t="s">
        <v>22</v>
      </c>
      <c r="I376" s="147"/>
      <c r="J376" s="147" t="s">
        <v>1074</v>
      </c>
      <c r="K376" s="155" t="s">
        <v>38</v>
      </c>
      <c r="L376" s="147" t="s">
        <v>1074</v>
      </c>
      <c r="M376" s="155" t="s">
        <v>2400</v>
      </c>
      <c r="N376" s="147"/>
      <c r="O376" s="148"/>
      <c r="P376" s="148"/>
      <c r="Q376" s="147"/>
      <c r="R376" s="147"/>
      <c r="S376" s="147"/>
      <c r="T376" s="147"/>
      <c r="U376" s="147"/>
      <c r="V376" s="155" t="s">
        <v>2401</v>
      </c>
      <c r="W376" s="147"/>
      <c r="X376" s="148" t="s">
        <v>2402</v>
      </c>
      <c r="Y376" s="148"/>
      <c r="Z376" s="148" t="s">
        <v>2403</v>
      </c>
      <c r="AA376" s="148" t="s">
        <v>2404</v>
      </c>
      <c r="AB376" s="147"/>
      <c r="AC376" s="147"/>
      <c r="AD376" s="147"/>
      <c r="AE376" s="147"/>
      <c r="AF376" s="147"/>
      <c r="AG376" s="147"/>
      <c r="AH376" s="147"/>
      <c r="AI376" s="147"/>
      <c r="AJ376" s="147"/>
      <c r="AK376" s="147"/>
      <c r="AL376" s="147"/>
      <c r="AM376" s="147"/>
      <c r="AN376" s="147"/>
      <c r="AO376" s="147"/>
      <c r="AP376" s="147"/>
      <c r="AQ376" s="147"/>
      <c r="AR376" s="147"/>
      <c r="AS376" s="147"/>
      <c r="AT376" s="147"/>
      <c r="AU376" s="147"/>
      <c r="AV376" s="147"/>
      <c r="AW376" s="147"/>
      <c r="AX376" s="147"/>
      <c r="AY376" s="233" t="s">
        <v>2248</v>
      </c>
      <c r="AZ376" s="147" t="s">
        <v>2254</v>
      </c>
      <c r="BA376" s="147">
        <v>5</v>
      </c>
    </row>
    <row r="377" spans="1:53" ht="24.75" customHeight="1">
      <c r="A377" s="145"/>
      <c r="B377" s="147" t="s">
        <v>2</v>
      </c>
      <c r="C377" s="147"/>
      <c r="D377" s="147"/>
      <c r="E377" s="147"/>
      <c r="F377" s="148" t="s">
        <v>2405</v>
      </c>
      <c r="G377" s="148"/>
      <c r="H377" s="147" t="s">
        <v>22</v>
      </c>
      <c r="I377" s="147"/>
      <c r="J377" s="147" t="s">
        <v>1074</v>
      </c>
      <c r="K377" s="155" t="s">
        <v>38</v>
      </c>
      <c r="L377" s="147" t="s">
        <v>1074</v>
      </c>
      <c r="M377" s="155" t="s">
        <v>2406</v>
      </c>
      <c r="N377" s="147"/>
      <c r="O377" s="148"/>
      <c r="P377" s="148"/>
      <c r="Q377" s="147"/>
      <c r="R377" s="147"/>
      <c r="S377" s="147"/>
      <c r="T377" s="147"/>
      <c r="U377" s="147"/>
      <c r="V377" s="155" t="s">
        <v>2407</v>
      </c>
      <c r="W377" s="147"/>
      <c r="X377" s="148" t="s">
        <v>2408</v>
      </c>
      <c r="Y377" s="148"/>
      <c r="Z377" s="148" t="s">
        <v>2409</v>
      </c>
      <c r="AA377" s="148" t="s">
        <v>2410</v>
      </c>
      <c r="AB377" s="147"/>
      <c r="AC377" s="147"/>
      <c r="AD377" s="147"/>
      <c r="AE377" s="147"/>
      <c r="AF377" s="147"/>
      <c r="AG377" s="147"/>
      <c r="AH377" s="147"/>
      <c r="AI377" s="147"/>
      <c r="AJ377" s="147"/>
      <c r="AK377" s="147"/>
      <c r="AL377" s="147"/>
      <c r="AM377" s="147"/>
      <c r="AN377" s="147"/>
      <c r="AO377" s="147"/>
      <c r="AP377" s="147"/>
      <c r="AQ377" s="147"/>
      <c r="AR377" s="147"/>
      <c r="AS377" s="147"/>
      <c r="AT377" s="147"/>
      <c r="AU377" s="147"/>
      <c r="AV377" s="147"/>
      <c r="AW377" s="147"/>
      <c r="AX377" s="147"/>
      <c r="AY377" s="233" t="s">
        <v>2248</v>
      </c>
      <c r="AZ377" s="147" t="s">
        <v>2258</v>
      </c>
      <c r="BA377" s="147">
        <v>5</v>
      </c>
    </row>
    <row r="378" spans="1:53" ht="24.75" customHeight="1">
      <c r="A378" s="145"/>
      <c r="B378" s="147" t="s">
        <v>2110</v>
      </c>
      <c r="C378" s="147"/>
      <c r="D378" s="147"/>
      <c r="E378" s="147"/>
      <c r="F378" s="148" t="s">
        <v>2411</v>
      </c>
      <c r="G378" s="148"/>
      <c r="H378" s="147" t="s">
        <v>22</v>
      </c>
      <c r="I378" s="147"/>
      <c r="J378" s="147" t="s">
        <v>1074</v>
      </c>
      <c r="K378" s="155" t="s">
        <v>38</v>
      </c>
      <c r="L378" s="147" t="s">
        <v>1074</v>
      </c>
      <c r="M378" s="155" t="s">
        <v>2412</v>
      </c>
      <c r="N378" s="147"/>
      <c r="O378" s="148" t="s">
        <v>2413</v>
      </c>
      <c r="P378" s="148" t="s">
        <v>2324</v>
      </c>
      <c r="Q378" s="147"/>
      <c r="R378" s="147"/>
      <c r="S378" s="147"/>
      <c r="T378" s="147"/>
      <c r="U378" s="147"/>
      <c r="V378" s="155" t="s">
        <v>2414</v>
      </c>
      <c r="W378" s="147"/>
      <c r="X378" s="148" t="s">
        <v>2415</v>
      </c>
      <c r="Y378" s="148"/>
      <c r="Z378" s="148" t="s">
        <v>2416</v>
      </c>
      <c r="AA378" s="148" t="s">
        <v>2417</v>
      </c>
      <c r="AB378" s="147"/>
      <c r="AC378" s="147"/>
      <c r="AD378" s="147"/>
      <c r="AE378" s="147"/>
      <c r="AF378" s="147"/>
      <c r="AG378" s="147"/>
      <c r="AH378" s="147"/>
      <c r="AI378" s="147"/>
      <c r="AJ378" s="147"/>
      <c r="AK378" s="147"/>
      <c r="AL378" s="147"/>
      <c r="AM378" s="147"/>
      <c r="AN378" s="147"/>
      <c r="AO378" s="147"/>
      <c r="AP378" s="147"/>
      <c r="AQ378" s="147"/>
      <c r="AR378" s="147"/>
      <c r="AS378" s="147"/>
      <c r="AT378" s="147"/>
      <c r="AU378" s="147"/>
      <c r="AV378" s="147"/>
      <c r="AW378" s="147"/>
      <c r="AX378" s="147"/>
      <c r="AY378" s="233" t="s">
        <v>2418</v>
      </c>
      <c r="AZ378" s="147" t="s">
        <v>2263</v>
      </c>
      <c r="BA378" s="147">
        <v>5</v>
      </c>
    </row>
    <row r="379" spans="1:53" ht="24.75" customHeight="1">
      <c r="A379" s="145"/>
      <c r="B379" s="147" t="s">
        <v>2</v>
      </c>
      <c r="C379" s="147"/>
      <c r="D379" s="147"/>
      <c r="E379" s="147"/>
      <c r="F379" s="148" t="s">
        <v>2419</v>
      </c>
      <c r="G379" s="148"/>
      <c r="H379" s="147" t="s">
        <v>22</v>
      </c>
      <c r="I379" s="147"/>
      <c r="J379" s="147" t="s">
        <v>1074</v>
      </c>
      <c r="K379" s="155" t="s">
        <v>38</v>
      </c>
      <c r="L379" s="147" t="s">
        <v>1074</v>
      </c>
      <c r="M379" s="155" t="s">
        <v>2420</v>
      </c>
      <c r="N379" s="147"/>
      <c r="O379" s="148"/>
      <c r="P379" s="148"/>
      <c r="Q379" s="147"/>
      <c r="R379" s="147"/>
      <c r="S379" s="147"/>
      <c r="T379" s="147"/>
      <c r="U379" s="147"/>
      <c r="V379" s="155" t="s">
        <v>2421</v>
      </c>
      <c r="W379" s="147"/>
      <c r="X379" s="148" t="s">
        <v>2422</v>
      </c>
      <c r="Y379" s="148"/>
      <c r="Z379" s="148" t="s">
        <v>2423</v>
      </c>
      <c r="AA379" s="148" t="s">
        <v>2424</v>
      </c>
      <c r="AB379" s="147"/>
      <c r="AC379" s="147"/>
      <c r="AD379" s="147"/>
      <c r="AE379" s="147"/>
      <c r="AF379" s="147"/>
      <c r="AG379" s="147"/>
      <c r="AH379" s="147"/>
      <c r="AI379" s="147"/>
      <c r="AJ379" s="147"/>
      <c r="AK379" s="147"/>
      <c r="AL379" s="147"/>
      <c r="AM379" s="147"/>
      <c r="AN379" s="147"/>
      <c r="AO379" s="147"/>
      <c r="AP379" s="147"/>
      <c r="AQ379" s="147"/>
      <c r="AR379" s="147"/>
      <c r="AS379" s="147"/>
      <c r="AT379" s="147"/>
      <c r="AU379" s="147"/>
      <c r="AV379" s="147"/>
      <c r="AW379" s="147"/>
      <c r="AX379" s="147"/>
      <c r="AY379" s="233" t="s">
        <v>2425</v>
      </c>
      <c r="AZ379" s="147"/>
      <c r="BA379" s="147">
        <v>4</v>
      </c>
    </row>
    <row r="380" spans="1:53" ht="24.75" customHeight="1">
      <c r="A380" s="145"/>
      <c r="B380" s="147" t="s">
        <v>2</v>
      </c>
      <c r="C380" s="147"/>
      <c r="D380" s="147"/>
      <c r="E380" s="147"/>
      <c r="F380" s="148" t="s">
        <v>2426</v>
      </c>
      <c r="G380" s="148"/>
      <c r="H380" s="147" t="s">
        <v>22</v>
      </c>
      <c r="I380" s="147"/>
      <c r="J380" s="147" t="s">
        <v>1074</v>
      </c>
      <c r="K380" s="155" t="s">
        <v>38</v>
      </c>
      <c r="L380" s="147" t="s">
        <v>1074</v>
      </c>
      <c r="M380" s="155" t="s">
        <v>2427</v>
      </c>
      <c r="N380" s="147"/>
      <c r="O380" s="148"/>
      <c r="P380" s="148"/>
      <c r="Q380" s="147"/>
      <c r="R380" s="147"/>
      <c r="S380" s="147"/>
      <c r="T380" s="147"/>
      <c r="U380" s="147"/>
      <c r="V380" s="155" t="s">
        <v>2428</v>
      </c>
      <c r="W380" s="147"/>
      <c r="X380" s="148" t="s">
        <v>2429</v>
      </c>
      <c r="Y380" s="148"/>
      <c r="Z380" s="148" t="s">
        <v>2430</v>
      </c>
      <c r="AA380" s="148" t="s">
        <v>2431</v>
      </c>
      <c r="AB380" s="147"/>
      <c r="AC380" s="147"/>
      <c r="AD380" s="147"/>
      <c r="AE380" s="147"/>
      <c r="AF380" s="147"/>
      <c r="AG380" s="147"/>
      <c r="AH380" s="147"/>
      <c r="AI380" s="147"/>
      <c r="AJ380" s="147"/>
      <c r="AK380" s="147"/>
      <c r="AL380" s="147"/>
      <c r="AM380" s="147"/>
      <c r="AN380" s="147"/>
      <c r="AO380" s="147"/>
      <c r="AP380" s="147"/>
      <c r="AQ380" s="147"/>
      <c r="AR380" s="147"/>
      <c r="AS380" s="147"/>
      <c r="AT380" s="147"/>
      <c r="AU380" s="147"/>
      <c r="AV380" s="147"/>
      <c r="AW380" s="147"/>
      <c r="AX380" s="147"/>
      <c r="AY380" s="233" t="s">
        <v>2425</v>
      </c>
      <c r="AZ380" s="147" t="s">
        <v>2432</v>
      </c>
      <c r="BA380" s="147">
        <v>5</v>
      </c>
    </row>
    <row r="381" spans="1:53" ht="24.75" customHeight="1">
      <c r="A381" s="145"/>
      <c r="B381" s="147" t="s">
        <v>2</v>
      </c>
      <c r="C381" s="147"/>
      <c r="D381" s="147"/>
      <c r="E381" s="147"/>
      <c r="F381" s="148" t="s">
        <v>2433</v>
      </c>
      <c r="G381" s="148"/>
      <c r="H381" s="147" t="s">
        <v>22</v>
      </c>
      <c r="I381" s="147"/>
      <c r="J381" s="147" t="s">
        <v>1074</v>
      </c>
      <c r="K381" s="155" t="s">
        <v>38</v>
      </c>
      <c r="L381" s="147" t="s">
        <v>1074</v>
      </c>
      <c r="M381" s="155" t="s">
        <v>2434</v>
      </c>
      <c r="N381" s="147"/>
      <c r="O381" s="148"/>
      <c r="P381" s="148"/>
      <c r="Q381" s="147"/>
      <c r="R381" s="147"/>
      <c r="S381" s="147"/>
      <c r="T381" s="147"/>
      <c r="U381" s="147"/>
      <c r="V381" s="155" t="s">
        <v>2435</v>
      </c>
      <c r="W381" s="147"/>
      <c r="X381" s="148" t="s">
        <v>2436</v>
      </c>
      <c r="Y381" s="148"/>
      <c r="Z381" s="148" t="s">
        <v>2437</v>
      </c>
      <c r="AA381" s="148" t="s">
        <v>2438</v>
      </c>
      <c r="AB381" s="147"/>
      <c r="AC381" s="147"/>
      <c r="AD381" s="147"/>
      <c r="AE381" s="147"/>
      <c r="AF381" s="147"/>
      <c r="AG381" s="147"/>
      <c r="AH381" s="147"/>
      <c r="AI381" s="147"/>
      <c r="AJ381" s="147"/>
      <c r="AK381" s="147"/>
      <c r="AL381" s="147"/>
      <c r="AM381" s="147"/>
      <c r="AN381" s="147"/>
      <c r="AO381" s="147"/>
      <c r="AP381" s="147"/>
      <c r="AQ381" s="147"/>
      <c r="AR381" s="147"/>
      <c r="AS381" s="147"/>
      <c r="AT381" s="147"/>
      <c r="AU381" s="147"/>
      <c r="AV381" s="147"/>
      <c r="AW381" s="147"/>
      <c r="AX381" s="147"/>
      <c r="AY381" s="233" t="s">
        <v>2345</v>
      </c>
      <c r="AZ381" s="147" t="s">
        <v>2268</v>
      </c>
      <c r="BA381" s="147">
        <v>5</v>
      </c>
    </row>
    <row r="382" spans="1:53" ht="24.75" customHeight="1">
      <c r="A382" s="145"/>
      <c r="B382" s="147" t="s">
        <v>2</v>
      </c>
      <c r="C382" s="147"/>
      <c r="D382" s="147"/>
      <c r="E382" s="147"/>
      <c r="F382" s="148" t="s">
        <v>2439</v>
      </c>
      <c r="G382" s="148"/>
      <c r="H382" s="147" t="s">
        <v>22</v>
      </c>
      <c r="I382" s="147"/>
      <c r="J382" s="147" t="s">
        <v>1074</v>
      </c>
      <c r="K382" s="155" t="s">
        <v>38</v>
      </c>
      <c r="L382" s="147" t="s">
        <v>1074</v>
      </c>
      <c r="M382" s="155" t="s">
        <v>2440</v>
      </c>
      <c r="N382" s="147"/>
      <c r="O382" s="148"/>
      <c r="P382" s="148"/>
      <c r="Q382" s="147"/>
      <c r="R382" s="147"/>
      <c r="S382" s="147"/>
      <c r="T382" s="147"/>
      <c r="U382" s="147"/>
      <c r="V382" s="155" t="s">
        <v>2441</v>
      </c>
      <c r="W382" s="147"/>
      <c r="X382" s="148" t="s">
        <v>2442</v>
      </c>
      <c r="Y382" s="148"/>
      <c r="Z382" s="148" t="s">
        <v>2443</v>
      </c>
      <c r="AA382" s="148" t="s">
        <v>2444</v>
      </c>
      <c r="AB382" s="147"/>
      <c r="AC382" s="147"/>
      <c r="AD382" s="147"/>
      <c r="AE382" s="147"/>
      <c r="AF382" s="147"/>
      <c r="AG382" s="147"/>
      <c r="AH382" s="147"/>
      <c r="AI382" s="147"/>
      <c r="AJ382" s="147"/>
      <c r="AK382" s="147"/>
      <c r="AL382" s="147"/>
      <c r="AM382" s="147"/>
      <c r="AN382" s="147"/>
      <c r="AO382" s="147"/>
      <c r="AP382" s="147"/>
      <c r="AQ382" s="147"/>
      <c r="AR382" s="147"/>
      <c r="AS382" s="147"/>
      <c r="AT382" s="147"/>
      <c r="AU382" s="147"/>
      <c r="AV382" s="147"/>
      <c r="AW382" s="147"/>
      <c r="AX382" s="147"/>
      <c r="AY382" s="233" t="s">
        <v>2345</v>
      </c>
      <c r="AZ382" s="147" t="s">
        <v>2274</v>
      </c>
      <c r="BA382" s="147">
        <v>5</v>
      </c>
    </row>
    <row r="383" spans="1:53" ht="24.75" customHeight="1">
      <c r="A383" s="145"/>
      <c r="B383" s="147" t="s">
        <v>2</v>
      </c>
      <c r="C383" s="147"/>
      <c r="D383" s="147"/>
      <c r="E383" s="147"/>
      <c r="F383" s="148" t="s">
        <v>2445</v>
      </c>
      <c r="G383" s="148"/>
      <c r="H383" s="147" t="s">
        <v>22</v>
      </c>
      <c r="I383" s="147"/>
      <c r="J383" s="147" t="s">
        <v>1074</v>
      </c>
      <c r="K383" s="155" t="s">
        <v>38</v>
      </c>
      <c r="L383" s="147" t="s">
        <v>1074</v>
      </c>
      <c r="M383" s="155" t="s">
        <v>2446</v>
      </c>
      <c r="N383" s="147"/>
      <c r="O383" s="148"/>
      <c r="P383" s="148"/>
      <c r="Q383" s="147"/>
      <c r="R383" s="147"/>
      <c r="S383" s="147"/>
      <c r="T383" s="147"/>
      <c r="U383" s="147"/>
      <c r="V383" s="155" t="s">
        <v>2447</v>
      </c>
      <c r="W383" s="147"/>
      <c r="X383" s="148" t="s">
        <v>2448</v>
      </c>
      <c r="Y383" s="148"/>
      <c r="Z383" s="148" t="s">
        <v>2449</v>
      </c>
      <c r="AA383" s="148" t="s">
        <v>2450</v>
      </c>
      <c r="AB383" s="147"/>
      <c r="AC383" s="147"/>
      <c r="AD383" s="147"/>
      <c r="AE383" s="147"/>
      <c r="AF383" s="147"/>
      <c r="AG383" s="147"/>
      <c r="AH383" s="147"/>
      <c r="AI383" s="147"/>
      <c r="AJ383" s="147"/>
      <c r="AK383" s="147"/>
      <c r="AL383" s="147"/>
      <c r="AM383" s="147"/>
      <c r="AN383" s="147"/>
      <c r="AO383" s="147"/>
      <c r="AP383" s="147"/>
      <c r="AQ383" s="147"/>
      <c r="AR383" s="147"/>
      <c r="AS383" s="147"/>
      <c r="AT383" s="147"/>
      <c r="AU383" s="147"/>
      <c r="AV383" s="147"/>
      <c r="AW383" s="147"/>
      <c r="AX383" s="147"/>
      <c r="AY383" s="233" t="s">
        <v>2345</v>
      </c>
      <c r="AZ383" s="147" t="s">
        <v>2279</v>
      </c>
      <c r="BA383" s="147">
        <v>3</v>
      </c>
    </row>
    <row r="384" spans="1:53" ht="24.75" customHeight="1">
      <c r="A384" s="145"/>
      <c r="B384" s="147" t="s">
        <v>2</v>
      </c>
      <c r="C384" s="147"/>
      <c r="D384" s="147"/>
      <c r="E384" s="147"/>
      <c r="F384" s="148" t="s">
        <v>2451</v>
      </c>
      <c r="G384" s="148"/>
      <c r="H384" s="147" t="s">
        <v>22</v>
      </c>
      <c r="I384" s="147"/>
      <c r="J384" s="147" t="s">
        <v>1074</v>
      </c>
      <c r="K384" s="155" t="s">
        <v>38</v>
      </c>
      <c r="L384" s="147" t="s">
        <v>1074</v>
      </c>
      <c r="M384" s="155" t="s">
        <v>2440</v>
      </c>
      <c r="N384" s="147"/>
      <c r="O384" s="148"/>
      <c r="P384" s="148"/>
      <c r="Q384" s="147"/>
      <c r="R384" s="147"/>
      <c r="S384" s="147"/>
      <c r="T384" s="147"/>
      <c r="U384" s="147"/>
      <c r="V384" s="155" t="s">
        <v>2452</v>
      </c>
      <c r="W384" s="147"/>
      <c r="X384" s="148" t="s">
        <v>2453</v>
      </c>
      <c r="Y384" s="148"/>
      <c r="Z384" s="148" t="s">
        <v>2454</v>
      </c>
      <c r="AA384" s="148" t="s">
        <v>2455</v>
      </c>
      <c r="AB384" s="147"/>
      <c r="AC384" s="147"/>
      <c r="AD384" s="147"/>
      <c r="AE384" s="147"/>
      <c r="AF384" s="147"/>
      <c r="AG384" s="147"/>
      <c r="AH384" s="147"/>
      <c r="AI384" s="147"/>
      <c r="AJ384" s="147"/>
      <c r="AK384" s="147"/>
      <c r="AL384" s="147"/>
      <c r="AM384" s="147"/>
      <c r="AN384" s="147"/>
      <c r="AO384" s="147"/>
      <c r="AP384" s="147"/>
      <c r="AQ384" s="147"/>
      <c r="AR384" s="147"/>
      <c r="AS384" s="147"/>
      <c r="AT384" s="147"/>
      <c r="AU384" s="147"/>
      <c r="AV384" s="147"/>
      <c r="AW384" s="147"/>
      <c r="AX384" s="147"/>
      <c r="AY384" s="233" t="s">
        <v>2345</v>
      </c>
      <c r="AZ384" s="147" t="s">
        <v>2284</v>
      </c>
      <c r="BA384" s="147">
        <v>5</v>
      </c>
    </row>
    <row r="385" spans="6:51" ht="24.75" customHeight="1">
      <c r="F385" s="4"/>
      <c r="G385" s="4"/>
      <c r="O385" s="4"/>
      <c r="P385" s="4"/>
      <c r="X385" s="4"/>
      <c r="Y385" s="4"/>
      <c r="Z385" s="4"/>
      <c r="AY385" s="4"/>
    </row>
    <row r="386" spans="6:51" ht="24.75" customHeight="1">
      <c r="F386" s="4"/>
      <c r="G386" s="4"/>
      <c r="O386" s="4"/>
      <c r="P386" s="4"/>
      <c r="X386" s="4"/>
      <c r="Y386" s="4"/>
      <c r="Z386" s="4"/>
      <c r="AY386" s="4"/>
    </row>
    <row r="387" spans="6:51" ht="24.75" customHeight="1">
      <c r="F387" s="4"/>
      <c r="G387" s="4"/>
      <c r="O387" s="4"/>
      <c r="P387" s="4"/>
      <c r="X387" s="4"/>
      <c r="Y387" s="4"/>
      <c r="Z387" s="4"/>
      <c r="AY387" s="4"/>
    </row>
    <row r="388" spans="6:51" ht="24.75" customHeight="1">
      <c r="F388" s="4"/>
      <c r="G388" s="4"/>
      <c r="O388" s="4"/>
      <c r="P388" s="4"/>
      <c r="X388" s="4"/>
      <c r="Y388" s="4"/>
      <c r="Z388" s="4"/>
      <c r="AY388" s="4"/>
    </row>
    <row r="389" spans="6:51" ht="24.75" customHeight="1">
      <c r="F389" s="4"/>
      <c r="G389" s="4"/>
      <c r="O389" s="4"/>
      <c r="P389" s="4"/>
      <c r="X389" s="4"/>
      <c r="Y389" s="4"/>
      <c r="Z389" s="4"/>
      <c r="AY389" s="4"/>
    </row>
    <row r="390" spans="6:51" ht="24.75" customHeight="1">
      <c r="F390" s="4"/>
      <c r="G390" s="4"/>
      <c r="O390" s="4"/>
      <c r="P390" s="4"/>
      <c r="X390" s="4"/>
      <c r="Y390" s="4"/>
      <c r="Z390" s="4"/>
      <c r="AY390" s="4"/>
    </row>
    <row r="391" spans="6:51" ht="24.75" customHeight="1">
      <c r="F391" s="4"/>
      <c r="G391" s="4"/>
      <c r="O391" s="4"/>
      <c r="P391" s="4"/>
      <c r="X391" s="4"/>
      <c r="Y391" s="4"/>
      <c r="Z391" s="4"/>
      <c r="AY391" s="4"/>
    </row>
    <row r="392" spans="6:51" ht="24.75" customHeight="1">
      <c r="F392" s="4"/>
      <c r="G392" s="4"/>
      <c r="O392" s="4"/>
      <c r="P392" s="4"/>
      <c r="X392" s="4"/>
      <c r="Y392" s="4"/>
      <c r="Z392" s="4"/>
      <c r="AY392" s="4"/>
    </row>
    <row r="393" spans="6:51" ht="24.75" customHeight="1">
      <c r="F393" s="4"/>
      <c r="G393" s="4"/>
      <c r="O393" s="4"/>
      <c r="P393" s="4"/>
      <c r="X393" s="4"/>
      <c r="Y393" s="4"/>
      <c r="Z393" s="4"/>
      <c r="AY393" s="4"/>
    </row>
    <row r="394" spans="6:51" ht="24.75" customHeight="1">
      <c r="F394" s="4"/>
      <c r="G394" s="4"/>
      <c r="O394" s="4"/>
      <c r="P394" s="4"/>
      <c r="X394" s="4"/>
      <c r="Y394" s="4"/>
      <c r="Z394" s="4"/>
      <c r="AY394" s="4"/>
    </row>
    <row r="395" spans="6:51" ht="24.75" customHeight="1">
      <c r="F395" s="4"/>
      <c r="G395" s="4"/>
      <c r="O395" s="4"/>
      <c r="P395" s="4"/>
      <c r="X395" s="4"/>
      <c r="Y395" s="4"/>
      <c r="Z395" s="4"/>
      <c r="AY395" s="4"/>
    </row>
    <row r="396" spans="6:51" ht="24.75" customHeight="1">
      <c r="F396" s="4"/>
      <c r="G396" s="4"/>
      <c r="O396" s="4"/>
      <c r="P396" s="4"/>
      <c r="X396" s="4"/>
      <c r="Y396" s="4"/>
      <c r="Z396" s="4"/>
      <c r="AY396" s="4"/>
    </row>
    <row r="397" spans="6:51" ht="24.75" customHeight="1">
      <c r="F397" s="4"/>
      <c r="G397" s="4"/>
      <c r="O397" s="4"/>
      <c r="P397" s="4"/>
      <c r="X397" s="4"/>
      <c r="Y397" s="4"/>
      <c r="Z397" s="4"/>
      <c r="AY397" s="4"/>
    </row>
    <row r="398" spans="6:51" ht="24.75" customHeight="1">
      <c r="F398" s="4"/>
      <c r="G398" s="4"/>
      <c r="O398" s="4"/>
      <c r="P398" s="4"/>
      <c r="X398" s="4"/>
      <c r="Y398" s="4"/>
      <c r="Z398" s="4"/>
      <c r="AY398" s="4"/>
    </row>
    <row r="399" spans="6:51" ht="24.75" customHeight="1">
      <c r="F399" s="4"/>
      <c r="G399" s="4"/>
      <c r="O399" s="4"/>
      <c r="P399" s="4"/>
      <c r="X399" s="4"/>
      <c r="Y399" s="4"/>
      <c r="Z399" s="4"/>
      <c r="AY399" s="4"/>
    </row>
    <row r="400" spans="6:51" ht="24.75" customHeight="1">
      <c r="F400" s="4"/>
      <c r="G400" s="4"/>
      <c r="O400" s="4"/>
      <c r="P400" s="4"/>
      <c r="X400" s="4"/>
      <c r="Y400" s="4"/>
      <c r="Z400" s="4"/>
      <c r="AY400" s="4"/>
    </row>
    <row r="401" spans="6:51" ht="24.75" customHeight="1">
      <c r="F401" s="4"/>
      <c r="G401" s="4"/>
      <c r="O401" s="4"/>
      <c r="P401" s="4"/>
      <c r="X401" s="4"/>
      <c r="Y401" s="4"/>
      <c r="Z401" s="4"/>
      <c r="AY401" s="4"/>
    </row>
    <row r="402" spans="6:51" ht="24.75" customHeight="1">
      <c r="F402" s="4"/>
      <c r="G402" s="4"/>
      <c r="O402" s="4"/>
      <c r="P402" s="4"/>
      <c r="X402" s="4"/>
      <c r="Y402" s="4"/>
      <c r="Z402" s="4"/>
      <c r="AY402" s="4"/>
    </row>
    <row r="403" spans="6:51" ht="24.75" customHeight="1">
      <c r="F403" s="4"/>
      <c r="G403" s="4"/>
      <c r="O403" s="4"/>
      <c r="P403" s="4"/>
      <c r="X403" s="4"/>
      <c r="Y403" s="4"/>
      <c r="Z403" s="4"/>
      <c r="AY403" s="4"/>
    </row>
    <row r="404" spans="6:51" ht="24.75" customHeight="1">
      <c r="F404" s="4"/>
      <c r="G404" s="4"/>
      <c r="O404" s="4"/>
      <c r="P404" s="4"/>
      <c r="X404" s="4"/>
      <c r="Y404" s="4"/>
      <c r="Z404" s="4"/>
      <c r="AY404" s="4"/>
    </row>
    <row r="405" spans="6:51" ht="24.75" customHeight="1">
      <c r="F405" s="4"/>
      <c r="G405" s="4"/>
      <c r="O405" s="4"/>
      <c r="P405" s="4"/>
      <c r="X405" s="4"/>
      <c r="Y405" s="4"/>
      <c r="Z405" s="4"/>
      <c r="AY405" s="4"/>
    </row>
    <row r="406" spans="6:51" ht="24.75" customHeight="1">
      <c r="F406" s="4"/>
      <c r="G406" s="4"/>
      <c r="O406" s="4"/>
      <c r="P406" s="4"/>
      <c r="X406" s="4"/>
      <c r="Y406" s="4"/>
      <c r="Z406" s="4"/>
      <c r="AY406" s="4"/>
    </row>
    <row r="407" spans="6:51" ht="24.75" customHeight="1">
      <c r="F407" s="4"/>
      <c r="G407" s="4"/>
      <c r="O407" s="4"/>
      <c r="P407" s="4"/>
      <c r="X407" s="4"/>
      <c r="Y407" s="4"/>
      <c r="Z407" s="4"/>
      <c r="AY407" s="4"/>
    </row>
    <row r="408" spans="6:51" ht="24.75" customHeight="1">
      <c r="F408" s="4"/>
      <c r="G408" s="4"/>
      <c r="O408" s="4"/>
      <c r="P408" s="4"/>
      <c r="X408" s="4"/>
      <c r="Y408" s="4"/>
      <c r="Z408" s="4"/>
      <c r="AY408" s="4"/>
    </row>
    <row r="409" spans="6:51" ht="24.75" customHeight="1">
      <c r="F409" s="4"/>
      <c r="G409" s="4"/>
      <c r="O409" s="4"/>
      <c r="P409" s="4"/>
      <c r="X409" s="4"/>
      <c r="Y409" s="4"/>
      <c r="Z409" s="4"/>
      <c r="AY409" s="4"/>
    </row>
    <row r="410" spans="6:51" ht="24.75" customHeight="1">
      <c r="F410" s="4"/>
      <c r="G410" s="4"/>
      <c r="O410" s="4"/>
      <c r="P410" s="4"/>
      <c r="X410" s="4"/>
      <c r="Y410" s="4"/>
      <c r="Z410" s="4"/>
      <c r="AY410" s="4"/>
    </row>
    <row r="411" spans="6:51" ht="24.75" customHeight="1">
      <c r="F411" s="4"/>
      <c r="G411" s="4"/>
      <c r="O411" s="4"/>
      <c r="P411" s="4"/>
      <c r="X411" s="4"/>
      <c r="Y411" s="4"/>
      <c r="Z411" s="4"/>
      <c r="AY411" s="4"/>
    </row>
    <row r="412" spans="6:51" ht="24.75" customHeight="1">
      <c r="F412" s="4"/>
      <c r="G412" s="4"/>
      <c r="O412" s="4"/>
      <c r="P412" s="4"/>
      <c r="X412" s="4"/>
      <c r="Y412" s="4"/>
      <c r="Z412" s="4"/>
      <c r="AY412" s="4"/>
    </row>
    <row r="413" spans="6:51" ht="24.75" customHeight="1">
      <c r="F413" s="4"/>
      <c r="G413" s="4"/>
      <c r="O413" s="4"/>
      <c r="P413" s="4"/>
      <c r="X413" s="4"/>
      <c r="Y413" s="4"/>
      <c r="Z413" s="4"/>
      <c r="AY413" s="4"/>
    </row>
    <row r="414" spans="6:51" ht="24.75" customHeight="1">
      <c r="F414" s="4"/>
      <c r="G414" s="4"/>
      <c r="O414" s="4"/>
      <c r="P414" s="4"/>
      <c r="X414" s="4"/>
      <c r="Y414" s="4"/>
      <c r="Z414" s="4"/>
      <c r="AY414" s="4"/>
    </row>
    <row r="415" spans="6:51" ht="24.75" customHeight="1">
      <c r="F415" s="4"/>
      <c r="G415" s="4"/>
      <c r="O415" s="4"/>
      <c r="P415" s="4"/>
      <c r="X415" s="4"/>
      <c r="Y415" s="4"/>
      <c r="Z415" s="4"/>
      <c r="AY415" s="4"/>
    </row>
    <row r="416" spans="6:51" ht="24.75" customHeight="1">
      <c r="F416" s="4"/>
      <c r="G416" s="4"/>
      <c r="O416" s="4"/>
      <c r="P416" s="4"/>
      <c r="X416" s="4"/>
      <c r="Y416" s="4"/>
      <c r="Z416" s="4"/>
      <c r="AY416" s="4"/>
    </row>
    <row r="417" spans="6:51" ht="24.75" customHeight="1">
      <c r="F417" s="4"/>
      <c r="G417" s="4"/>
      <c r="O417" s="4"/>
      <c r="P417" s="4"/>
      <c r="X417" s="4"/>
      <c r="Y417" s="4"/>
      <c r="Z417" s="4"/>
      <c r="AY417" s="4"/>
    </row>
    <row r="418" spans="6:51" ht="24.75" customHeight="1">
      <c r="F418" s="4"/>
      <c r="G418" s="4"/>
      <c r="O418" s="4"/>
      <c r="P418" s="4"/>
      <c r="X418" s="4"/>
      <c r="Y418" s="4"/>
      <c r="Z418" s="4"/>
      <c r="AY418" s="4"/>
    </row>
    <row r="419" spans="6:51" ht="24.75" customHeight="1">
      <c r="F419" s="4"/>
      <c r="G419" s="4"/>
      <c r="O419" s="4"/>
      <c r="P419" s="4"/>
      <c r="X419" s="4"/>
      <c r="Y419" s="4"/>
      <c r="Z419" s="4"/>
      <c r="AY419" s="4"/>
    </row>
    <row r="420" spans="6:51" ht="24.75" customHeight="1">
      <c r="F420" s="4"/>
      <c r="G420" s="4"/>
      <c r="O420" s="4"/>
      <c r="P420" s="4"/>
      <c r="X420" s="4"/>
      <c r="Y420" s="4"/>
      <c r="Z420" s="4"/>
      <c r="AY420" s="4"/>
    </row>
    <row r="421" spans="6:51" ht="24.75" customHeight="1">
      <c r="F421" s="4"/>
      <c r="G421" s="4"/>
      <c r="O421" s="4"/>
      <c r="P421" s="4"/>
      <c r="X421" s="4"/>
      <c r="Y421" s="4"/>
      <c r="Z421" s="4"/>
      <c r="AY421" s="4"/>
    </row>
    <row r="422" spans="6:51" ht="24.75" customHeight="1">
      <c r="F422" s="4"/>
      <c r="G422" s="4"/>
      <c r="O422" s="4"/>
      <c r="P422" s="4"/>
      <c r="X422" s="4"/>
      <c r="Y422" s="4"/>
      <c r="Z422" s="4"/>
      <c r="AY422" s="4"/>
    </row>
    <row r="423" spans="6:51" ht="24.75" customHeight="1">
      <c r="F423" s="4"/>
      <c r="G423" s="4"/>
      <c r="O423" s="4"/>
      <c r="P423" s="4"/>
      <c r="X423" s="4"/>
      <c r="Y423" s="4"/>
      <c r="Z423" s="4"/>
      <c r="AY423" s="4"/>
    </row>
    <row r="424" spans="6:51" ht="24.75" customHeight="1">
      <c r="F424" s="4"/>
      <c r="G424" s="4"/>
      <c r="O424" s="4"/>
      <c r="P424" s="4"/>
      <c r="X424" s="4"/>
      <c r="Y424" s="4"/>
      <c r="Z424" s="4"/>
      <c r="AY424" s="4"/>
    </row>
    <row r="425" spans="6:51" ht="24.75" customHeight="1">
      <c r="F425" s="4"/>
      <c r="G425" s="4"/>
      <c r="O425" s="4"/>
      <c r="P425" s="4"/>
      <c r="X425" s="4"/>
      <c r="Y425" s="4"/>
      <c r="Z425" s="4"/>
      <c r="AY425" s="4"/>
    </row>
    <row r="426" spans="6:51" ht="24.75" customHeight="1">
      <c r="F426" s="4"/>
      <c r="G426" s="4"/>
      <c r="O426" s="4"/>
      <c r="P426" s="4"/>
      <c r="X426" s="4"/>
      <c r="Y426" s="4"/>
      <c r="Z426" s="4"/>
      <c r="AY426" s="4"/>
    </row>
    <row r="427" spans="6:51" ht="24.75" customHeight="1">
      <c r="F427" s="4"/>
      <c r="G427" s="4"/>
      <c r="O427" s="4"/>
      <c r="P427" s="4"/>
      <c r="X427" s="4"/>
      <c r="Y427" s="4"/>
      <c r="Z427" s="4"/>
      <c r="AY427" s="4"/>
    </row>
    <row r="428" spans="6:51" ht="24.75" customHeight="1">
      <c r="F428" s="4"/>
      <c r="G428" s="4"/>
      <c r="O428" s="4"/>
      <c r="P428" s="4"/>
      <c r="X428" s="4"/>
      <c r="Y428" s="4"/>
      <c r="Z428" s="4"/>
      <c r="AY428" s="4"/>
    </row>
    <row r="429" spans="6:51" ht="24.75" customHeight="1">
      <c r="F429" s="4"/>
      <c r="G429" s="4"/>
      <c r="O429" s="4"/>
      <c r="P429" s="4"/>
      <c r="X429" s="4"/>
      <c r="Y429" s="4"/>
      <c r="Z429" s="4"/>
      <c r="AY429" s="4"/>
    </row>
    <row r="430" spans="6:51" ht="24.75" customHeight="1">
      <c r="F430" s="4"/>
      <c r="G430" s="4"/>
      <c r="O430" s="4"/>
      <c r="P430" s="4"/>
      <c r="X430" s="4"/>
      <c r="Y430" s="4"/>
      <c r="Z430" s="4"/>
      <c r="AY430" s="4"/>
    </row>
    <row r="431" spans="6:51" ht="24.75" customHeight="1">
      <c r="F431" s="4"/>
      <c r="G431" s="4"/>
      <c r="O431" s="4"/>
      <c r="P431" s="4"/>
      <c r="X431" s="4"/>
      <c r="Y431" s="4"/>
      <c r="Z431" s="4"/>
      <c r="AY431" s="4"/>
    </row>
    <row r="432" spans="6:51" ht="24.75" customHeight="1">
      <c r="F432" s="4"/>
      <c r="G432" s="4"/>
      <c r="O432" s="4"/>
      <c r="P432" s="4"/>
      <c r="X432" s="4"/>
      <c r="Y432" s="4"/>
      <c r="Z432" s="4"/>
      <c r="AY432" s="4"/>
    </row>
    <row r="433" spans="6:51" ht="24.75" customHeight="1">
      <c r="F433" s="4"/>
      <c r="G433" s="4"/>
      <c r="O433" s="4"/>
      <c r="P433" s="4"/>
      <c r="X433" s="4"/>
      <c r="Y433" s="4"/>
      <c r="Z433" s="4"/>
      <c r="AY433" s="4"/>
    </row>
    <row r="434" spans="6:51" ht="24.75" customHeight="1">
      <c r="F434" s="4"/>
      <c r="G434" s="4"/>
      <c r="O434" s="4"/>
      <c r="P434" s="4"/>
      <c r="X434" s="4"/>
      <c r="Y434" s="4"/>
      <c r="Z434" s="4"/>
      <c r="AY434" s="4"/>
    </row>
    <row r="435" spans="6:51" ht="24.75" customHeight="1">
      <c r="F435" s="4"/>
      <c r="G435" s="4"/>
      <c r="O435" s="4"/>
      <c r="P435" s="4"/>
      <c r="X435" s="4"/>
      <c r="Y435" s="4"/>
      <c r="Z435" s="4"/>
      <c r="AY435" s="4"/>
    </row>
    <row r="436" spans="6:51" ht="24.75" customHeight="1">
      <c r="F436" s="4"/>
      <c r="G436" s="4"/>
      <c r="O436" s="4"/>
      <c r="P436" s="4"/>
      <c r="X436" s="4"/>
      <c r="Y436" s="4"/>
      <c r="Z436" s="4"/>
      <c r="AY436" s="4"/>
    </row>
    <row r="437" spans="6:51" ht="24.75" customHeight="1">
      <c r="F437" s="4"/>
      <c r="G437" s="4"/>
      <c r="O437" s="4"/>
      <c r="P437" s="4"/>
      <c r="X437" s="4"/>
      <c r="Y437" s="4"/>
      <c r="Z437" s="4"/>
      <c r="AY437" s="4"/>
    </row>
    <row r="438" spans="6:51" ht="24.75" customHeight="1">
      <c r="F438" s="4"/>
      <c r="G438" s="4"/>
      <c r="O438" s="4"/>
      <c r="P438" s="4"/>
      <c r="X438" s="4"/>
      <c r="Y438" s="4"/>
      <c r="Z438" s="4"/>
      <c r="AY438" s="4"/>
    </row>
    <row r="439" spans="6:51" ht="24.75" customHeight="1">
      <c r="F439" s="4"/>
      <c r="G439" s="4"/>
      <c r="O439" s="4"/>
      <c r="P439" s="4"/>
      <c r="X439" s="4"/>
      <c r="Y439" s="4"/>
      <c r="Z439" s="4"/>
      <c r="AY439" s="4"/>
    </row>
    <row r="440" spans="6:51" ht="24.75" customHeight="1">
      <c r="F440" s="4"/>
      <c r="G440" s="4"/>
      <c r="O440" s="4"/>
      <c r="P440" s="4"/>
      <c r="X440" s="4"/>
      <c r="Y440" s="4"/>
      <c r="Z440" s="4"/>
      <c r="AY440" s="4"/>
    </row>
    <row r="441" spans="6:51" ht="24.75" customHeight="1">
      <c r="F441" s="4"/>
      <c r="G441" s="4"/>
      <c r="O441" s="4"/>
      <c r="P441" s="4"/>
      <c r="X441" s="4"/>
      <c r="Y441" s="4"/>
      <c r="Z441" s="4"/>
      <c r="AY441" s="4"/>
    </row>
    <row r="442" spans="6:51" ht="24.75" customHeight="1">
      <c r="F442" s="4"/>
      <c r="G442" s="4"/>
      <c r="O442" s="4"/>
      <c r="P442" s="4"/>
      <c r="X442" s="4"/>
      <c r="Y442" s="4"/>
      <c r="Z442" s="4"/>
      <c r="AY442" s="4"/>
    </row>
    <row r="443" spans="6:51" ht="24.75" customHeight="1">
      <c r="F443" s="4"/>
      <c r="G443" s="4"/>
      <c r="O443" s="4"/>
      <c r="P443" s="4"/>
      <c r="X443" s="4"/>
      <c r="Y443" s="4"/>
      <c r="Z443" s="4"/>
      <c r="AY443" s="4"/>
    </row>
    <row r="444" spans="6:51" ht="24.75" customHeight="1">
      <c r="F444" s="4"/>
      <c r="G444" s="4"/>
      <c r="O444" s="4"/>
      <c r="P444" s="4"/>
      <c r="X444" s="4"/>
      <c r="Y444" s="4"/>
      <c r="Z444" s="4"/>
      <c r="AY444" s="4"/>
    </row>
    <row r="445" spans="6:51" ht="24.75" customHeight="1">
      <c r="F445" s="4"/>
      <c r="G445" s="4"/>
      <c r="O445" s="4"/>
      <c r="P445" s="4"/>
      <c r="X445" s="4"/>
      <c r="Y445" s="4"/>
      <c r="Z445" s="4"/>
      <c r="AY445" s="4"/>
    </row>
    <row r="446" spans="6:51" ht="24.75" customHeight="1">
      <c r="F446" s="4"/>
      <c r="G446" s="4"/>
      <c r="O446" s="4"/>
      <c r="P446" s="4"/>
      <c r="X446" s="4"/>
      <c r="Y446" s="4"/>
      <c r="Z446" s="4"/>
      <c r="AY446" s="4"/>
    </row>
    <row r="447" spans="6:51" ht="24.75" customHeight="1">
      <c r="F447" s="4"/>
      <c r="G447" s="4"/>
      <c r="O447" s="4"/>
      <c r="P447" s="4"/>
      <c r="X447" s="4"/>
      <c r="Y447" s="4"/>
      <c r="Z447" s="4"/>
      <c r="AY447" s="4"/>
    </row>
    <row r="448" spans="6:51" ht="24.75" customHeight="1">
      <c r="F448" s="4"/>
      <c r="G448" s="4"/>
      <c r="O448" s="4"/>
      <c r="P448" s="4"/>
      <c r="X448" s="4"/>
      <c r="Y448" s="4"/>
      <c r="Z448" s="4"/>
      <c r="AY448" s="4"/>
    </row>
    <row r="449" spans="6:51" ht="24.75" customHeight="1">
      <c r="F449" s="4"/>
      <c r="G449" s="4"/>
      <c r="O449" s="4"/>
      <c r="P449" s="4"/>
      <c r="X449" s="4"/>
      <c r="Y449" s="4"/>
      <c r="Z449" s="4"/>
      <c r="AY449" s="4"/>
    </row>
    <row r="450" spans="6:51" ht="24.75" customHeight="1">
      <c r="F450" s="4"/>
      <c r="G450" s="4"/>
      <c r="O450" s="4"/>
      <c r="P450" s="4"/>
      <c r="X450" s="4"/>
      <c r="Y450" s="4"/>
      <c r="Z450" s="4"/>
      <c r="AY450" s="4"/>
    </row>
    <row r="451" spans="6:51" ht="24.75" customHeight="1">
      <c r="F451" s="4"/>
      <c r="G451" s="4"/>
      <c r="O451" s="4"/>
      <c r="P451" s="4"/>
      <c r="X451" s="4"/>
      <c r="Y451" s="4"/>
      <c r="Z451" s="4"/>
      <c r="AY451" s="4"/>
    </row>
    <row r="452" spans="6:51" ht="24.75" customHeight="1">
      <c r="F452" s="4"/>
      <c r="G452" s="4"/>
      <c r="O452" s="4"/>
      <c r="P452" s="4"/>
      <c r="X452" s="4"/>
      <c r="Y452" s="4"/>
      <c r="Z452" s="4"/>
      <c r="AY452" s="4"/>
    </row>
    <row r="453" spans="6:51" ht="24.75" customHeight="1">
      <c r="F453" s="4"/>
      <c r="G453" s="4"/>
      <c r="O453" s="4"/>
      <c r="P453" s="4"/>
      <c r="X453" s="4"/>
      <c r="Y453" s="4"/>
      <c r="Z453" s="4"/>
      <c r="AY453" s="4"/>
    </row>
    <row r="454" spans="6:51" ht="24.75" customHeight="1">
      <c r="F454" s="4"/>
      <c r="G454" s="4"/>
      <c r="O454" s="4"/>
      <c r="P454" s="4"/>
      <c r="X454" s="4"/>
      <c r="Y454" s="4"/>
      <c r="Z454" s="4"/>
      <c r="AY454" s="4"/>
    </row>
    <row r="455" spans="6:51" ht="24.75" customHeight="1">
      <c r="F455" s="4"/>
      <c r="G455" s="4"/>
      <c r="O455" s="4"/>
      <c r="P455" s="4"/>
      <c r="X455" s="4"/>
      <c r="Y455" s="4"/>
      <c r="Z455" s="4"/>
      <c r="AY455" s="4"/>
    </row>
    <row r="456" spans="6:51" ht="24.75" customHeight="1">
      <c r="F456" s="4"/>
      <c r="G456" s="4"/>
      <c r="O456" s="4"/>
      <c r="P456" s="4"/>
      <c r="X456" s="4"/>
      <c r="Y456" s="4"/>
      <c r="Z456" s="4"/>
      <c r="AY456" s="4"/>
    </row>
    <row r="457" spans="6:51" ht="24.75" customHeight="1">
      <c r="F457" s="4"/>
      <c r="G457" s="4"/>
      <c r="O457" s="4"/>
      <c r="P457" s="4"/>
      <c r="X457" s="4"/>
      <c r="Y457" s="4"/>
      <c r="Z457" s="4"/>
      <c r="AY457" s="4"/>
    </row>
  </sheetData>
  <autoFilter ref="A2:BA384" xr:uid="{5EBD2986-9C8D-4EFF-8A90-608CB03349F4}"/>
  <mergeCells count="3">
    <mergeCell ref="AB1:AN1"/>
    <mergeCell ref="AO1:AX1"/>
    <mergeCell ref="AY1:BA1"/>
  </mergeCells>
  <phoneticPr fontId="3" type="noConversion"/>
  <conditionalFormatting sqref="B3:B457">
    <cfRule type="expression" dxfId="537" priority="251">
      <formula>$B3="New"</formula>
    </cfRule>
    <cfRule type="expression" dxfId="536" priority="252">
      <formula>$B3="NDA"</formula>
    </cfRule>
    <cfRule type="expression" dxfId="535" priority="253">
      <formula>$B3="Contract"</formula>
    </cfRule>
    <cfRule type="expression" dxfId="534" priority="254">
      <formula>$B3="Certificate"</formula>
    </cfRule>
    <cfRule type="expression" dxfId="533" priority="255">
      <formula>$B3="Pending LIVE"</formula>
    </cfRule>
    <cfRule type="expression" dxfId="532" priority="256">
      <formula>$B3="Active"</formula>
    </cfRule>
    <cfRule type="expression" dxfId="531" priority="257">
      <formula>$B3="On Hold"</formula>
    </cfRule>
    <cfRule type="expression" dxfId="530" priority="258">
      <formula>$B3="Pipeline"</formula>
    </cfRule>
  </conditionalFormatting>
  <conditionalFormatting sqref="F3:F205">
    <cfRule type="duplicateValues" dxfId="529" priority="250"/>
  </conditionalFormatting>
  <conditionalFormatting sqref="F277:F280">
    <cfRule type="duplicateValues" dxfId="528" priority="3"/>
  </conditionalFormatting>
  <conditionalFormatting sqref="F281:F304 F251:F274 F306:F1048576 F1:F249">
    <cfRule type="duplicateValues" dxfId="527" priority="70"/>
  </conditionalFormatting>
  <conditionalFormatting sqref="G32">
    <cfRule type="duplicateValues" dxfId="526" priority="41"/>
    <cfRule type="duplicateValues" dxfId="525" priority="42"/>
  </conditionalFormatting>
  <conditionalFormatting sqref="G38">
    <cfRule type="duplicateValues" dxfId="524" priority="45"/>
    <cfRule type="duplicateValues" dxfId="523" priority="46"/>
  </conditionalFormatting>
  <conditionalFormatting sqref="G43">
    <cfRule type="duplicateValues" dxfId="522" priority="43"/>
    <cfRule type="duplicateValues" dxfId="521" priority="44"/>
  </conditionalFormatting>
  <conditionalFormatting sqref="G65">
    <cfRule type="duplicateValues" dxfId="520" priority="71"/>
  </conditionalFormatting>
  <conditionalFormatting sqref="G66">
    <cfRule type="duplicateValues" dxfId="519" priority="63"/>
    <cfRule type="duplicateValues" dxfId="518" priority="64"/>
  </conditionalFormatting>
  <conditionalFormatting sqref="G90">
    <cfRule type="duplicateValues" dxfId="517" priority="61"/>
    <cfRule type="duplicateValues" dxfId="516" priority="62"/>
  </conditionalFormatting>
  <conditionalFormatting sqref="G91">
    <cfRule type="duplicateValues" dxfId="515" priority="59"/>
    <cfRule type="duplicateValues" dxfId="514" priority="60"/>
  </conditionalFormatting>
  <conditionalFormatting sqref="G93">
    <cfRule type="duplicateValues" dxfId="513" priority="57"/>
    <cfRule type="duplicateValues" dxfId="512" priority="58"/>
  </conditionalFormatting>
  <conditionalFormatting sqref="G94">
    <cfRule type="duplicateValues" dxfId="511" priority="55"/>
    <cfRule type="duplicateValues" dxfId="510" priority="56"/>
  </conditionalFormatting>
  <conditionalFormatting sqref="G106">
    <cfRule type="duplicateValues" dxfId="509" priority="4"/>
    <cfRule type="duplicateValues" dxfId="508" priority="5"/>
  </conditionalFormatting>
  <conditionalFormatting sqref="G126:G129">
    <cfRule type="duplicateValues" dxfId="507" priority="13"/>
    <cfRule type="duplicateValues" dxfId="506" priority="14"/>
  </conditionalFormatting>
  <conditionalFormatting sqref="G131">
    <cfRule type="duplicateValues" dxfId="505" priority="11"/>
    <cfRule type="duplicateValues" dxfId="504" priority="12"/>
  </conditionalFormatting>
  <conditionalFormatting sqref="G132">
    <cfRule type="duplicateValues" dxfId="503" priority="9"/>
    <cfRule type="duplicateValues" dxfId="502" priority="10"/>
  </conditionalFormatting>
  <conditionalFormatting sqref="G133">
    <cfRule type="duplicateValues" dxfId="501" priority="7"/>
    <cfRule type="duplicateValues" dxfId="500" priority="8"/>
  </conditionalFormatting>
  <conditionalFormatting sqref="G140">
    <cfRule type="duplicateValues" dxfId="499" priority="47"/>
    <cfRule type="duplicateValues" dxfId="498" priority="48"/>
  </conditionalFormatting>
  <conditionalFormatting sqref="G163">
    <cfRule type="duplicateValues" dxfId="497" priority="39"/>
    <cfRule type="duplicateValues" dxfId="496" priority="40"/>
  </conditionalFormatting>
  <conditionalFormatting sqref="G165">
    <cfRule type="duplicateValues" dxfId="495" priority="37"/>
    <cfRule type="duplicateValues" dxfId="494" priority="38"/>
  </conditionalFormatting>
  <conditionalFormatting sqref="G166">
    <cfRule type="duplicateValues" dxfId="493" priority="35"/>
    <cfRule type="duplicateValues" dxfId="492" priority="36"/>
  </conditionalFormatting>
  <conditionalFormatting sqref="G167">
    <cfRule type="duplicateValues" dxfId="491" priority="33"/>
    <cfRule type="duplicateValues" dxfId="490" priority="34"/>
  </conditionalFormatting>
  <conditionalFormatting sqref="G175">
    <cfRule type="duplicateValues" dxfId="489" priority="49"/>
    <cfRule type="duplicateValues" dxfId="488" priority="50"/>
  </conditionalFormatting>
  <conditionalFormatting sqref="G188">
    <cfRule type="duplicateValues" dxfId="487" priority="53"/>
    <cfRule type="duplicateValues" dxfId="486" priority="54"/>
  </conditionalFormatting>
  <conditionalFormatting sqref="G189">
    <cfRule type="duplicateValues" dxfId="485" priority="51"/>
    <cfRule type="duplicateValues" dxfId="484" priority="52"/>
  </conditionalFormatting>
  <conditionalFormatting sqref="G215">
    <cfRule type="duplicateValues" dxfId="483" priority="6"/>
  </conditionalFormatting>
  <conditionalFormatting sqref="G243">
    <cfRule type="duplicateValues" dxfId="482" priority="65"/>
  </conditionalFormatting>
  <conditionalFormatting sqref="G244">
    <cfRule type="duplicateValues" dxfId="481" priority="69"/>
  </conditionalFormatting>
  <conditionalFormatting sqref="G246">
    <cfRule type="duplicateValues" dxfId="480" priority="68"/>
  </conditionalFormatting>
  <conditionalFormatting sqref="G247">
    <cfRule type="duplicateValues" dxfId="479" priority="67"/>
  </conditionalFormatting>
  <conditionalFormatting sqref="G248">
    <cfRule type="duplicateValues" dxfId="478" priority="66"/>
  </conditionalFormatting>
  <conditionalFormatting sqref="G269">
    <cfRule type="duplicateValues" dxfId="477" priority="1"/>
  </conditionalFormatting>
  <conditionalFormatting sqref="G273">
    <cfRule type="duplicateValues" dxfId="476" priority="22"/>
  </conditionalFormatting>
  <conditionalFormatting sqref="G274">
    <cfRule type="duplicateValues" dxfId="475" priority="21"/>
  </conditionalFormatting>
  <conditionalFormatting sqref="G277:G280">
    <cfRule type="duplicateValues" dxfId="474" priority="2"/>
  </conditionalFormatting>
  <conditionalFormatting sqref="G281">
    <cfRule type="duplicateValues" dxfId="473" priority="20"/>
  </conditionalFormatting>
  <conditionalFormatting sqref="G301">
    <cfRule type="duplicateValues" dxfId="472" priority="19"/>
  </conditionalFormatting>
  <conditionalFormatting sqref="G302">
    <cfRule type="duplicateValues" dxfId="471" priority="18"/>
  </conditionalFormatting>
  <conditionalFormatting sqref="G303">
    <cfRule type="duplicateValues" dxfId="470" priority="17"/>
  </conditionalFormatting>
  <conditionalFormatting sqref="G304">
    <cfRule type="duplicateValues" dxfId="469" priority="16"/>
  </conditionalFormatting>
  <conditionalFormatting sqref="G313">
    <cfRule type="duplicateValues" dxfId="468" priority="15"/>
  </conditionalFormatting>
  <conditionalFormatting sqref="AO15">
    <cfRule type="duplicateValues" dxfId="467" priority="31"/>
    <cfRule type="duplicateValues" dxfId="466" priority="32"/>
  </conditionalFormatting>
  <conditionalFormatting sqref="AO16">
    <cfRule type="duplicateValues" dxfId="465" priority="29"/>
    <cfRule type="duplicateValues" dxfId="464" priority="30"/>
  </conditionalFormatting>
  <conditionalFormatting sqref="AO17">
    <cfRule type="duplicateValues" dxfId="463" priority="27"/>
    <cfRule type="duplicateValues" dxfId="462" priority="28"/>
  </conditionalFormatting>
  <conditionalFormatting sqref="AO18">
    <cfRule type="duplicateValues" dxfId="461" priority="25"/>
    <cfRule type="duplicateValues" dxfId="460" priority="26"/>
  </conditionalFormatting>
  <conditionalFormatting sqref="AO31">
    <cfRule type="duplicateValues" dxfId="459" priority="23"/>
    <cfRule type="duplicateValues" dxfId="458" priority="24"/>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W82"/>
  <sheetViews>
    <sheetView tabSelected="1" workbookViewId="0">
      <pane xSplit="3" ySplit="3" topLeftCell="D47" activePane="bottomRight" state="frozen"/>
      <selection pane="bottomRight" activeCell="E59" sqref="E59"/>
      <selection pane="bottomLeft"/>
      <selection pane="topRight"/>
    </sheetView>
  </sheetViews>
  <sheetFormatPr defaultRowHeight="16.5"/>
  <cols>
    <col min="1" max="1" width="5.625" customWidth="1"/>
    <col min="2" max="2" width="13" customWidth="1"/>
    <col min="3" max="3" width="25" customWidth="1"/>
    <col min="4" max="4" width="35" customWidth="1"/>
    <col min="5" max="5" width="12.375" customWidth="1"/>
    <col min="6" max="6" width="16" customWidth="1"/>
    <col min="7" max="7" width="17.375" customWidth="1"/>
    <col min="8" max="8" width="9.375" customWidth="1"/>
    <col min="9" max="9" width="10.625" customWidth="1"/>
    <col min="10" max="10" width="15.375" customWidth="1"/>
    <col min="11" max="12" width="10.375" customWidth="1"/>
    <col min="13" max="13" width="20" customWidth="1"/>
    <col min="14" max="14" width="8" customWidth="1"/>
    <col min="15" max="15" width="13.625" customWidth="1"/>
    <col min="16" max="17" width="25" customWidth="1"/>
    <col min="18" max="18" width="12.625" customWidth="1"/>
    <col min="19" max="19" width="8.625" customWidth="1"/>
    <col min="20" max="20" width="13" customWidth="1"/>
    <col min="21" max="33" width="12.375" customWidth="1"/>
    <col min="34" max="34" width="13.375" customWidth="1"/>
    <col min="35" max="35" width="30" customWidth="1"/>
    <col min="36" max="36" width="20" customWidth="1"/>
    <col min="37" max="37" width="26.625" customWidth="1"/>
    <col min="39" max="39" width="30" customWidth="1"/>
    <col min="40" max="40" width="9" customWidth="1"/>
  </cols>
  <sheetData>
    <row r="1" spans="1:49" ht="27.75" customHeight="1">
      <c r="A1" s="430" t="s">
        <v>2456</v>
      </c>
      <c r="B1" s="430"/>
      <c r="C1" s="430"/>
      <c r="D1" s="430"/>
      <c r="E1" s="430"/>
      <c r="F1" s="430"/>
      <c r="G1" s="430"/>
      <c r="H1" s="430"/>
      <c r="I1" s="430"/>
      <c r="J1" s="430"/>
      <c r="K1" s="430"/>
      <c r="L1" s="430"/>
      <c r="M1" s="430"/>
      <c r="N1" s="430"/>
      <c r="O1" s="430"/>
      <c r="P1" s="430"/>
      <c r="Q1" s="430"/>
      <c r="R1" s="430"/>
      <c r="S1" s="430"/>
      <c r="T1" s="430"/>
      <c r="U1" s="430"/>
      <c r="V1" s="430"/>
      <c r="W1" s="430"/>
      <c r="X1" s="430"/>
      <c r="Y1" s="430"/>
      <c r="Z1" s="430"/>
      <c r="AA1" s="430"/>
      <c r="AB1" s="430"/>
      <c r="AC1" s="430"/>
      <c r="AD1" s="430"/>
      <c r="AE1" s="430"/>
      <c r="AF1" s="430"/>
      <c r="AG1" s="430"/>
      <c r="AH1" s="430"/>
      <c r="AI1" s="430"/>
      <c r="AJ1" s="430"/>
    </row>
    <row r="2" spans="1:49">
      <c r="A2" s="431" t="s">
        <v>2457</v>
      </c>
      <c r="B2" s="431"/>
      <c r="C2" s="431"/>
      <c r="D2" s="431"/>
      <c r="E2" s="431"/>
      <c r="F2" s="431"/>
      <c r="G2" s="431"/>
      <c r="H2" s="431"/>
      <c r="I2" s="431"/>
      <c r="J2" s="431"/>
      <c r="K2" s="431"/>
      <c r="L2" s="431"/>
      <c r="M2" s="431"/>
      <c r="N2" s="432" t="s">
        <v>2458</v>
      </c>
      <c r="O2" s="432"/>
      <c r="P2" s="432"/>
      <c r="Q2" s="432"/>
      <c r="R2" s="432"/>
      <c r="S2" s="432"/>
      <c r="T2" s="432"/>
      <c r="U2" s="433" t="s">
        <v>2459</v>
      </c>
      <c r="V2" s="433"/>
      <c r="W2" s="433"/>
      <c r="X2" s="433"/>
      <c r="Y2" s="433"/>
      <c r="Z2" s="433"/>
      <c r="AA2" s="433"/>
      <c r="AB2" s="433"/>
      <c r="AC2" s="433"/>
      <c r="AD2" s="433"/>
      <c r="AE2" s="433"/>
      <c r="AF2" s="433"/>
      <c r="AG2" s="434" t="s">
        <v>2460</v>
      </c>
      <c r="AH2" s="434"/>
      <c r="AI2" s="434"/>
      <c r="AJ2" s="434"/>
      <c r="AK2" s="434"/>
      <c r="AL2" t="s">
        <v>2461</v>
      </c>
    </row>
    <row r="3" spans="1:49" ht="57.75" customHeight="1">
      <c r="A3" s="415" t="s">
        <v>2462</v>
      </c>
      <c r="B3" s="415" t="s">
        <v>61</v>
      </c>
      <c r="C3" s="415" t="s">
        <v>2463</v>
      </c>
      <c r="D3" s="415" t="s">
        <v>2464</v>
      </c>
      <c r="E3" s="415" t="s">
        <v>2465</v>
      </c>
      <c r="F3" s="415" t="s">
        <v>2466</v>
      </c>
      <c r="G3" s="415" t="s">
        <v>2467</v>
      </c>
      <c r="H3" s="415" t="s">
        <v>2468</v>
      </c>
      <c r="I3" s="415" t="s">
        <v>2469</v>
      </c>
      <c r="J3" s="415" t="s">
        <v>0</v>
      </c>
      <c r="K3" s="415" t="s">
        <v>2470</v>
      </c>
      <c r="L3" s="416" t="s">
        <v>2471</v>
      </c>
      <c r="M3" s="417" t="s">
        <v>2472</v>
      </c>
      <c r="N3" s="418" t="s">
        <v>287</v>
      </c>
      <c r="O3" s="419" t="s">
        <v>2473</v>
      </c>
      <c r="P3" s="419" t="s">
        <v>2474</v>
      </c>
      <c r="Q3" s="419" t="s">
        <v>2475</v>
      </c>
      <c r="R3" s="419" t="s">
        <v>2476</v>
      </c>
      <c r="S3" s="420" t="s">
        <v>2477</v>
      </c>
      <c r="T3" s="421" t="s">
        <v>2478</v>
      </c>
      <c r="U3" s="422" t="s">
        <v>2479</v>
      </c>
      <c r="V3" s="423" t="s">
        <v>2480</v>
      </c>
      <c r="W3" s="423" t="s">
        <v>2481</v>
      </c>
      <c r="X3" s="423" t="s">
        <v>2482</v>
      </c>
      <c r="Y3" s="423" t="s">
        <v>2483</v>
      </c>
      <c r="Z3" s="423" t="s">
        <v>2484</v>
      </c>
      <c r="AA3" s="423" t="s">
        <v>2485</v>
      </c>
      <c r="AB3" s="423" t="s">
        <v>2486</v>
      </c>
      <c r="AC3" s="423" t="s">
        <v>2487</v>
      </c>
      <c r="AD3" s="423" t="s">
        <v>2488</v>
      </c>
      <c r="AE3" s="424" t="s">
        <v>2489</v>
      </c>
      <c r="AF3" s="425" t="s">
        <v>2490</v>
      </c>
      <c r="AG3" s="426" t="s">
        <v>2491</v>
      </c>
      <c r="AH3" s="427" t="s">
        <v>2492</v>
      </c>
      <c r="AI3" s="427" t="s">
        <v>2493</v>
      </c>
      <c r="AJ3" s="428" t="s">
        <v>239</v>
      </c>
      <c r="AK3" s="429" t="s">
        <v>2494</v>
      </c>
      <c r="AL3" s="394">
        <v>0.1</v>
      </c>
      <c r="AM3" s="394">
        <v>0.2</v>
      </c>
      <c r="AN3" s="394">
        <v>0.3</v>
      </c>
      <c r="AO3" s="394">
        <v>0.4</v>
      </c>
      <c r="AP3" s="394">
        <v>0.45</v>
      </c>
      <c r="AQ3" s="394">
        <v>0.5</v>
      </c>
      <c r="AR3" s="394">
        <v>0.6</v>
      </c>
      <c r="AS3" s="394">
        <v>0.7</v>
      </c>
      <c r="AT3" s="394">
        <v>0.75</v>
      </c>
      <c r="AU3" s="394">
        <v>0.8</v>
      </c>
      <c r="AV3" s="394">
        <v>0.9</v>
      </c>
      <c r="AW3" s="394">
        <v>1</v>
      </c>
    </row>
    <row r="4" spans="1:49" ht="15.75" customHeight="1">
      <c r="A4" s="395">
        <f>IF($C4="","",COUNTA($C$4:$C4))</f>
        <v>1</v>
      </c>
      <c r="B4" s="412" t="str">
        <f>IF('Dev Schedule 2025-26'!A4&lt;&gt;"",'Dev Schedule 2025-26'!A4,B3)</f>
        <v>CRS</v>
      </c>
      <c r="C4" s="412" t="str">
        <f>IF('Dev Schedule 2025-26'!B4="","",'Dev Schedule 2025-26'!B4)</f>
        <v>HANHWA Hotel &amp; Resort</v>
      </c>
      <c r="D4" s="396" t="str">
        <f>IF($C4="","",IF(ISNUMBER(SEARCH("Channel API",$B4)),"→ OMH API 제공 (고객사가 OMH API 호출)","← 고객사 API 연동 (OMH가 고객사 API 호출)"))</f>
        <v>← 고객사 API 연동 (OMH가 고객사 API 호출)</v>
      </c>
      <c r="E4" s="413"/>
      <c r="F4" s="412" t="str">
        <f>IF('Dev Schedule 2025-26'!G4="","",'Dev Schedule 2025-26'!G4)</f>
        <v>🔴 Full (100%)</v>
      </c>
      <c r="G4" s="412" t="str">
        <f>IF('Dev Schedule 2025-26'!E4="","",'Dev Schedule 2025-26'!E4)</f>
        <v>OHMY</v>
      </c>
      <c r="H4" s="412" t="str">
        <f>IF('Dev Schedule 2025-26'!C4="","",'Dev Schedule 2025-26'!C4)</f>
        <v>SLA</v>
      </c>
      <c r="I4" s="412" t="str">
        <f>IF('Dev Schedule 2025-26'!D4="","",'Dev Schedule 2025-26'!D4)</f>
        <v>Sophia</v>
      </c>
      <c r="J4" s="412" t="str">
        <f>IF('Dev Schedule 2025-26'!H4="","",'Dev Schedule 2025-26'!H4)</f>
        <v>Contact</v>
      </c>
      <c r="K4" s="412" t="str">
        <f>IF('Dev Schedule 2025-26'!I4="","",'Dev Schedule 2025-26'!I4)</f>
        <v>Jul-26</v>
      </c>
      <c r="L4" s="414" t="str">
        <f>IF('Dev Schedule 2025-26'!J4="","",'Dev Schedule 2025-26'!J4)</f>
        <v>Sep-26</v>
      </c>
      <c r="M4" s="400"/>
      <c r="N4" s="399" cm="1">
        <f t="array" ref="N4">IF($C4="","",IFERROR(SUMPRODUCT(MAX(($U4:$AF4&lt;&gt;"")*$AL$3:$AW$3)),0))</f>
        <v>0</v>
      </c>
      <c r="O4" s="411" t="str">
        <f>IF($N4="","",REPT("█",ROUND($N4*10,0))&amp;REPT("░",10-ROUND($N4*10,0)))</f>
        <v>░░░░░░░░░░</v>
      </c>
      <c r="P4" s="396" t="str">
        <f>IF($C4="","",IF($N4=0,"미추적 (날짜 기록 없음)",INDEX($U$3:$AF$3,MATCH($N4,$AL$3:$AW$3,0))))</f>
        <v>미추적 (날짜 기록 없음)</v>
      </c>
      <c r="Q4" s="396" t="str" cm="1">
        <f t="array" ref="Q4">IF($C4="","",IF($N4&gt;=1,"— 완료",INDEX($U$3:$AF$3,IF($N4=0,1,MATCH($N4,$AL$3:$AW$3,0)+1))))</f>
        <v>① 미팅/1st Contact (10%)</v>
      </c>
      <c r="R4" s="406" t="str">
        <f>IF(COUNT($U4:$AF4)=0,"",MAX($U4:$AF4))</f>
        <v/>
      </c>
      <c r="S4" s="401" t="str">
        <f ca="1">IF($R4="","",TODAY()-$R4)</f>
        <v/>
      </c>
      <c r="T4" s="403" t="str">
        <f>IF($C4="","",IF($N4&gt;=1,"Live",IF($R4="","기록 없음",IF($S4&gt;90,"90일+ 정지",IF($S4&gt;60,"60일+ 정지",IF($S4&gt;30,"30일+ 정지","진행 중"))))))</f>
        <v>기록 없음</v>
      </c>
      <c r="U4" s="402"/>
      <c r="V4" s="398"/>
      <c r="W4" s="398"/>
      <c r="X4" s="398"/>
      <c r="Y4" s="398"/>
      <c r="Z4" s="398"/>
      <c r="AA4" s="398"/>
      <c r="AB4" s="398"/>
      <c r="AC4" s="398"/>
      <c r="AD4" s="398"/>
      <c r="AE4" s="404"/>
      <c r="AF4" s="405"/>
      <c r="AG4" s="402"/>
      <c r="AH4" s="397"/>
      <c r="AI4" s="397"/>
      <c r="AJ4" s="407"/>
      <c r="AK4" s="408" t="str">
        <f>IF($C4="","",IF(AND($J4="Live",$N4&lt;1),"Status=Live / 날짜 미완료",IF(AND($J4="Contact",$N4&gt;=0.3),"Status=Contact / 계약 이후 날짜 존재",IF(AND(OR($J4="In Development",$J4="Testing"),$N4&lt;0.45),"개발중 / 착수 날짜 없음","OK"))))</f>
        <v>OK</v>
      </c>
    </row>
    <row r="5" spans="1:49" ht="15.75" customHeight="1">
      <c r="A5" s="395">
        <f>IF($C5="","",COUNTA($C$4:$C5))</f>
        <v>2</v>
      </c>
      <c r="B5" s="412" t="str">
        <f>IF('Dev Schedule 2025-26'!A5&lt;&gt;"",'Dev Schedule 2025-26'!A5,B4)</f>
        <v>CRS</v>
      </c>
      <c r="C5" s="412" t="str">
        <f>IF('Dev Schedule 2025-26'!B5="","",'Dev Schedule 2025-26'!B5)</f>
        <v>Vin Group</v>
      </c>
      <c r="D5" s="396" t="str">
        <f t="shared" ref="D5:D68" si="0">IF($C5="","",IF(ISNUMBER(SEARCH("Channel API",$B5)),"→ OMH API 제공 (고객사가 OMH API 호출)","← 고객사 API 연동 (OMH가 고객사 API 호출)"))</f>
        <v>← 고객사 API 연동 (OMH가 고객사 API 호출)</v>
      </c>
      <c r="E5" s="413"/>
      <c r="F5" s="412" t="str">
        <f>IF('Dev Schedule 2025-26'!G5="","",'Dev Schedule 2025-26'!G5)</f>
        <v>🔴 Full (100%)</v>
      </c>
      <c r="G5" s="412" t="str">
        <f>IF('Dev Schedule 2025-26'!E5="","",'Dev Schedule 2025-26'!E5)</f>
        <v>OHMY</v>
      </c>
      <c r="H5" s="412" t="str">
        <f>IF('Dev Schedule 2025-26'!C5="","",'Dev Schedule 2025-26'!C5)</f>
        <v>SLA</v>
      </c>
      <c r="I5" s="412" t="str">
        <f>IF('Dev Schedule 2025-26'!D5="","",'Dev Schedule 2025-26'!D5)</f>
        <v>Sophia</v>
      </c>
      <c r="J5" s="412" t="str">
        <f>IF('Dev Schedule 2025-26'!H5="","",'Dev Schedule 2025-26'!H5)</f>
        <v>Contact</v>
      </c>
      <c r="K5" s="412" t="str">
        <f>IF('Dev Schedule 2025-26'!I5="","",'Dev Schedule 2025-26'!I5)</f>
        <v/>
      </c>
      <c r="L5" s="414" t="str">
        <f>IF('Dev Schedule 2025-26'!J5="","",'Dev Schedule 2025-26'!J5)</f>
        <v/>
      </c>
      <c r="M5" s="400"/>
      <c r="N5" s="399" cm="1">
        <f t="array" ref="N5">IF($C5="","",IFERROR(SUMPRODUCT(MAX(($U5:$AF5&lt;&gt;"")*$AL$3:$AW$3)),0))</f>
        <v>0</v>
      </c>
      <c r="O5" s="411" t="str">
        <f t="shared" ref="O5:O68" si="1">IF($N5="","",REPT("█",ROUND($N5*10,0))&amp;REPT("░",10-ROUND($N5*10,0)))</f>
        <v>░░░░░░░░░░</v>
      </c>
      <c r="P5" s="396" t="str">
        <f t="shared" ref="P5:P68" si="2">IF($C5="","",IF($N5=0,"미추적 (날짜 기록 없음)",INDEX($U$3:$AF$3,MATCH($N5,$AL$3:$AW$3,0))))</f>
        <v>미추적 (날짜 기록 없음)</v>
      </c>
      <c r="Q5" s="396" t="str" cm="1">
        <f t="array" ref="Q5">IF($C5="","",IF($N5&gt;=1,"— 완료",INDEX($U$3:$AF$3,IF($N5=0,1,MATCH($N5,$AL$3:$AW$3,0)+1))))</f>
        <v>① 미팅/1st Contact (10%)</v>
      </c>
      <c r="R5" s="406" t="str">
        <f t="shared" ref="R5:R68" si="3">IF(COUNT($U5:$AF5)=0,"",MAX($U5:$AF5))</f>
        <v/>
      </c>
      <c r="S5" s="401" t="str">
        <f t="shared" ref="S5:S68" ca="1" si="4">IF($R5="","",TODAY()-$R5)</f>
        <v/>
      </c>
      <c r="T5" s="403" t="str">
        <f t="shared" ref="T5:T68" si="5">IF($C5="","",IF($N5&gt;=1,"Live",IF($R5="","기록 없음",IF($S5&gt;90,"90일+ 정지",IF($S5&gt;60,"60일+ 정지",IF($S5&gt;30,"30일+ 정지","진행 중"))))))</f>
        <v>기록 없음</v>
      </c>
      <c r="U5" s="402"/>
      <c r="V5" s="398"/>
      <c r="W5" s="398"/>
      <c r="X5" s="398"/>
      <c r="Y5" s="398"/>
      <c r="Z5" s="398"/>
      <c r="AA5" s="398"/>
      <c r="AB5" s="398"/>
      <c r="AC5" s="398"/>
      <c r="AD5" s="398"/>
      <c r="AE5" s="404"/>
      <c r="AF5" s="405"/>
      <c r="AG5" s="402"/>
      <c r="AH5" s="397"/>
      <c r="AI5" s="397"/>
      <c r="AJ5" s="407"/>
      <c r="AK5" s="408" t="str">
        <f t="shared" ref="AK5:AK68" si="6">IF($C5="","",IF(AND($J5="Live",$N5&lt;1),"Status=Live / 날짜 미완료",IF(AND($J5="Contact",$N5&gt;=0.3),"Status=Contact / 계약 이후 날짜 존재",IF(AND(OR($J5="In Development",$J5="Testing"),$N5&lt;0.45),"개발중 / 착수 날짜 없음","OK"))))</f>
        <v>OK</v>
      </c>
      <c r="AM5" s="436" t="s">
        <v>2495</v>
      </c>
      <c r="AN5" s="436"/>
    </row>
    <row r="6" spans="1:49" ht="15.75" customHeight="1">
      <c r="A6" s="395">
        <f>IF($C6="","",COUNTA($C$4:$C6))</f>
        <v>3</v>
      </c>
      <c r="B6" s="412" t="str">
        <f>IF('Dev Schedule 2025-26'!A6&lt;&gt;"",'Dev Schedule 2025-26'!A6,B5)</f>
        <v>Switching
System</v>
      </c>
      <c r="C6" s="412" t="str">
        <f>IF('Dev Schedule 2025-26'!B6="","",'Dev Schedule 2025-26'!B6)</f>
        <v>Shiji</v>
      </c>
      <c r="D6" s="396" t="str">
        <f t="shared" si="0"/>
        <v>← 고객사 API 연동 (OMH가 고객사 API 호출)</v>
      </c>
      <c r="E6" s="413"/>
      <c r="F6" s="412" t="str">
        <f>IF('Dev Schedule 2025-26'!G6="","",'Dev Schedule 2025-26'!G6)</f>
        <v>🟡 Half (50%)</v>
      </c>
      <c r="G6" s="412" t="str">
        <f>IF('Dev Schedule 2025-26'!E6="","",'Dev Schedule 2025-26'!E6)</f>
        <v>Shiji or OHMY</v>
      </c>
      <c r="H6" s="412" t="str">
        <f>IF('Dev Schedule 2025-26'!C6="","",'Dev Schedule 2025-26'!C6)</f>
        <v>SLA</v>
      </c>
      <c r="I6" s="412" t="str">
        <f>IF('Dev Schedule 2025-26'!D6="","",'Dev Schedule 2025-26'!D6)</f>
        <v>Sophia</v>
      </c>
      <c r="J6" s="412" t="str">
        <f>IF('Dev Schedule 2025-26'!H6="","",'Dev Schedule 2025-26'!H6)</f>
        <v>In Development</v>
      </c>
      <c r="K6" s="412" t="str">
        <f>IF('Dev Schedule 2025-26'!I6="","",'Dev Schedule 2025-26'!I6)</f>
        <v>Mar-26</v>
      </c>
      <c r="L6" s="414" t="str">
        <f>IF('Dev Schedule 2025-26'!J6="","",'Dev Schedule 2025-26'!J6)</f>
        <v>Aug-31</v>
      </c>
      <c r="M6" s="400" t="s">
        <v>1059</v>
      </c>
      <c r="N6" s="399" cm="1">
        <f t="array" ref="N6">IF($C6="","",IFERROR(SUMPRODUCT(MAX(($U6:$AF6&lt;&gt;"")*$AL$3:$AW$3)),0))</f>
        <v>0</v>
      </c>
      <c r="O6" s="411" t="str">
        <f t="shared" si="1"/>
        <v>░░░░░░░░░░</v>
      </c>
      <c r="P6" s="396" t="str">
        <f t="shared" si="2"/>
        <v>미추적 (날짜 기록 없음)</v>
      </c>
      <c r="Q6" s="396" t="str" cm="1">
        <f t="array" ref="Q6">IF($C6="","",IF($N6&gt;=1,"— 완료",INDEX($U$3:$AF$3,IF($N6=0,1,MATCH($N6,$AL$3:$AW$3,0)+1))))</f>
        <v>① 미팅/1st Contact (10%)</v>
      </c>
      <c r="R6" s="406" t="str">
        <f t="shared" si="3"/>
        <v/>
      </c>
      <c r="S6" s="401" t="str">
        <f t="shared" ca="1" si="4"/>
        <v/>
      </c>
      <c r="T6" s="403" t="str">
        <f t="shared" si="5"/>
        <v>기록 없음</v>
      </c>
      <c r="U6" s="402"/>
      <c r="V6" s="398"/>
      <c r="W6" s="398"/>
      <c r="X6" s="398"/>
      <c r="Y6" s="398"/>
      <c r="Z6" s="398"/>
      <c r="AA6" s="398"/>
      <c r="AB6" s="398"/>
      <c r="AC6" s="398"/>
      <c r="AD6" s="398"/>
      <c r="AE6" s="404"/>
      <c r="AF6" s="405"/>
      <c r="AG6" s="402"/>
      <c r="AH6" s="397"/>
      <c r="AI6" s="397"/>
      <c r="AJ6" s="407"/>
      <c r="AK6" s="408" t="str">
        <f t="shared" si="6"/>
        <v>개발중 / 착수 날짜 없음</v>
      </c>
      <c r="AM6" s="409" t="s">
        <v>2496</v>
      </c>
      <c r="AN6" s="410">
        <f>COUNTA($C$4:$C$82)</f>
        <v>79</v>
      </c>
    </row>
    <row r="7" spans="1:49" ht="15.75" customHeight="1">
      <c r="A7" s="395">
        <f>IF($C7="","",COUNTA($C$4:$C7))</f>
        <v>4</v>
      </c>
      <c r="B7" s="412" t="str">
        <f>IF('Dev Schedule 2025-26'!A7&lt;&gt;"",'Dev Schedule 2025-26'!A7,B6)</f>
        <v>Switching
System</v>
      </c>
      <c r="C7" s="412" t="str">
        <f>IF('Dev Schedule 2025-26'!B7="","",'Dev Schedule 2025-26'!B7)</f>
        <v>TGX</v>
      </c>
      <c r="D7" s="396" t="str">
        <f t="shared" si="0"/>
        <v>← 고객사 API 연동 (OMH가 고객사 API 호출)</v>
      </c>
      <c r="E7" s="413"/>
      <c r="F7" s="412" t="str">
        <f>IF('Dev Schedule 2025-26'!G7="","",'Dev Schedule 2025-26'!G7)</f>
        <v>🟡 Half (50%)</v>
      </c>
      <c r="G7" s="412" t="str">
        <f>IF('Dev Schedule 2025-26'!E7="","",'Dev Schedule 2025-26'!E7)</f>
        <v>OHMY/ TGX</v>
      </c>
      <c r="H7" s="412" t="str">
        <f>IF('Dev Schedule 2025-26'!C7="","",'Dev Schedule 2025-26'!C7)</f>
        <v>SLA</v>
      </c>
      <c r="I7" s="412" t="str">
        <f>IF('Dev Schedule 2025-26'!D7="","",'Dev Schedule 2025-26'!D7)</f>
        <v>Sophia</v>
      </c>
      <c r="J7" s="412" t="str">
        <f>IF('Dev Schedule 2025-26'!H7="","",'Dev Schedule 2025-26'!H7)</f>
        <v>NDA/Contract</v>
      </c>
      <c r="K7" s="412" t="str">
        <f>IF('Dev Schedule 2025-26'!I7="","",'Dev Schedule 2025-26'!I7)</f>
        <v>Jul-26</v>
      </c>
      <c r="L7" s="414" t="str">
        <f>IF('Dev Schedule 2025-26'!J7="","",'Dev Schedule 2025-26'!J7)</f>
        <v>Oct-15</v>
      </c>
      <c r="M7" s="400"/>
      <c r="N7" s="399" cm="1">
        <f t="array" ref="N7">IF($C7="","",IFERROR(SUMPRODUCT(MAX(($U7:$AF7&lt;&gt;"")*$AL$3:$AW$3)),0))</f>
        <v>0</v>
      </c>
      <c r="O7" s="411" t="str">
        <f t="shared" si="1"/>
        <v>░░░░░░░░░░</v>
      </c>
      <c r="P7" s="396" t="str">
        <f t="shared" si="2"/>
        <v>미추적 (날짜 기록 없음)</v>
      </c>
      <c r="Q7" s="396" t="str" cm="1">
        <f t="array" ref="Q7">IF($C7="","",IF($N7&gt;=1,"— 완료",INDEX($U$3:$AF$3,IF($N7=0,1,MATCH($N7,$AL$3:$AW$3,0)+1))))</f>
        <v>① 미팅/1st Contact (10%)</v>
      </c>
      <c r="R7" s="406" t="str">
        <f t="shared" si="3"/>
        <v/>
      </c>
      <c r="S7" s="401" t="str">
        <f t="shared" ca="1" si="4"/>
        <v/>
      </c>
      <c r="T7" s="403" t="str">
        <f t="shared" si="5"/>
        <v>기록 없음</v>
      </c>
      <c r="U7" s="402"/>
      <c r="V7" s="398"/>
      <c r="W7" s="398"/>
      <c r="X7" s="398"/>
      <c r="Y7" s="398"/>
      <c r="Z7" s="398"/>
      <c r="AA7" s="398"/>
      <c r="AB7" s="398"/>
      <c r="AC7" s="398"/>
      <c r="AD7" s="398"/>
      <c r="AE7" s="404"/>
      <c r="AF7" s="405"/>
      <c r="AG7" s="402"/>
      <c r="AH7" s="397"/>
      <c r="AI7" s="397"/>
      <c r="AJ7" s="407"/>
      <c r="AK7" s="408" t="str">
        <f t="shared" si="6"/>
        <v>OK</v>
      </c>
      <c r="AM7" s="409" t="s">
        <v>2497</v>
      </c>
      <c r="AN7" s="410">
        <f>COUNTIF($N$4:$N$82,"&gt;0")</f>
        <v>31</v>
      </c>
    </row>
    <row r="8" spans="1:49" ht="15.75" customHeight="1">
      <c r="A8" s="395">
        <f>IF($C8="","",COUNTA($C$4:$C8))</f>
        <v>5</v>
      </c>
      <c r="B8" s="412" t="str">
        <f>IF('Dev Schedule 2025-26'!A8&lt;&gt;"",'Dev Schedule 2025-26'!A8,B7)</f>
        <v>Switching
System</v>
      </c>
      <c r="C8" s="412" t="str">
        <f>IF('Dev Schedule 2025-26'!B8="","",'Dev Schedule 2025-26'!B8)</f>
        <v>Juniper</v>
      </c>
      <c r="D8" s="396" t="str">
        <f t="shared" si="0"/>
        <v>← 고객사 API 연동 (OMH가 고객사 API 호출)</v>
      </c>
      <c r="E8" s="413"/>
      <c r="F8" s="412" t="str">
        <f>IF('Dev Schedule 2025-26'!G8="","",'Dev Schedule 2025-26'!G8)</f>
        <v>🟢 Minimal (5-10%)</v>
      </c>
      <c r="G8" s="412" t="str">
        <f>IF('Dev Schedule 2025-26'!E8="","",'Dev Schedule 2025-26'!E8)</f>
        <v>Juniper</v>
      </c>
      <c r="H8" s="412" t="str">
        <f>IF('Dev Schedule 2025-26'!C8="","",'Dev Schedule 2025-26'!C8)</f>
        <v>SLA</v>
      </c>
      <c r="I8" s="412" t="str">
        <f>IF('Dev Schedule 2025-26'!D8="","",'Dev Schedule 2025-26'!D8)</f>
        <v>Sophia</v>
      </c>
      <c r="J8" s="412" t="str">
        <f>IF('Dev Schedule 2025-26'!H8="","",'Dev Schedule 2025-26'!H8)</f>
        <v>Contact</v>
      </c>
      <c r="K8" s="412" t="str">
        <f>IF('Dev Schedule 2025-26'!I8="","",'Dev Schedule 2025-26'!I8)</f>
        <v>Oct-26</v>
      </c>
      <c r="L8" s="414" t="str">
        <f>IF('Dev Schedule 2025-26'!J8="","",'Dev Schedule 2025-26'!J8)</f>
        <v>Nov-26</v>
      </c>
      <c r="M8" s="400"/>
      <c r="N8" s="399" cm="1">
        <f t="array" ref="N8">IF($C8="","",IFERROR(SUMPRODUCT(MAX(($U8:$AF8&lt;&gt;"")*$AL$3:$AW$3)),0))</f>
        <v>0</v>
      </c>
      <c r="O8" s="411" t="str">
        <f t="shared" si="1"/>
        <v>░░░░░░░░░░</v>
      </c>
      <c r="P8" s="396" t="str">
        <f t="shared" si="2"/>
        <v>미추적 (날짜 기록 없음)</v>
      </c>
      <c r="Q8" s="396" t="str" cm="1">
        <f t="array" ref="Q8">IF($C8="","",IF($N8&gt;=1,"— 완료",INDEX($U$3:$AF$3,IF($N8=0,1,MATCH($N8,$AL$3:$AW$3,0)+1))))</f>
        <v>① 미팅/1st Contact (10%)</v>
      </c>
      <c r="R8" s="406" t="str">
        <f t="shared" si="3"/>
        <v/>
      </c>
      <c r="S8" s="401" t="str">
        <f t="shared" ca="1" si="4"/>
        <v/>
      </c>
      <c r="T8" s="403" t="str">
        <f t="shared" si="5"/>
        <v>기록 없음</v>
      </c>
      <c r="U8" s="402"/>
      <c r="V8" s="398"/>
      <c r="W8" s="398"/>
      <c r="X8" s="398"/>
      <c r="Y8" s="398"/>
      <c r="Z8" s="398"/>
      <c r="AA8" s="398"/>
      <c r="AB8" s="398"/>
      <c r="AC8" s="398"/>
      <c r="AD8" s="398"/>
      <c r="AE8" s="404"/>
      <c r="AF8" s="405"/>
      <c r="AG8" s="402"/>
      <c r="AH8" s="397"/>
      <c r="AI8" s="397"/>
      <c r="AJ8" s="407"/>
      <c r="AK8" s="408" t="str">
        <f t="shared" si="6"/>
        <v>OK</v>
      </c>
      <c r="AM8" s="409" t="s">
        <v>2498</v>
      </c>
      <c r="AN8" s="410">
        <f>$AN$6-$AN$7</f>
        <v>48</v>
      </c>
    </row>
    <row r="9" spans="1:49" ht="15.75" customHeight="1">
      <c r="A9" s="395">
        <f>IF($C9="","",COUNTA($C$4:$C9))</f>
        <v>6</v>
      </c>
      <c r="B9" s="412" t="str">
        <f>IF('Dev Schedule 2025-26'!A9&lt;&gt;"",'Dev Schedule 2025-26'!A9,B8)</f>
        <v>Switching
System</v>
      </c>
      <c r="C9" s="412" t="str">
        <f>IF('Dev Schedule 2025-26'!B9="","",'Dev Schedule 2025-26'!B9)</f>
        <v>TAN</v>
      </c>
      <c r="D9" s="396" t="str">
        <f t="shared" si="0"/>
        <v>← 고객사 API 연동 (OMH가 고객사 API 호출)</v>
      </c>
      <c r="E9" s="413"/>
      <c r="F9" s="412" t="str">
        <f>IF('Dev Schedule 2025-26'!G9="","",'Dev Schedule 2025-26'!G9)</f>
        <v>🔴 Full (100%)</v>
      </c>
      <c r="G9" s="412" t="str">
        <f>IF('Dev Schedule 2025-26'!E9="","",'Dev Schedule 2025-26'!E9)</f>
        <v>OHMY</v>
      </c>
      <c r="H9" s="412" t="str">
        <f>IF('Dev Schedule 2025-26'!C9="","",'Dev Schedule 2025-26'!C9)</f>
        <v>SLA</v>
      </c>
      <c r="I9" s="412" t="str">
        <f>IF('Dev Schedule 2025-26'!D9="","",'Dev Schedule 2025-26'!D9)</f>
        <v>Sophia</v>
      </c>
      <c r="J9" s="412" t="str">
        <f>IF('Dev Schedule 2025-26'!H9="","",'Dev Schedule 2025-26'!H9)</f>
        <v>Contact</v>
      </c>
      <c r="K9" s="412" t="str">
        <f>IF('Dev Schedule 2025-26'!I9="","",'Dev Schedule 2025-26'!I9)</f>
        <v>Oct-26</v>
      </c>
      <c r="L9" s="414" t="str">
        <f>IF('Dev Schedule 2025-26'!J9="","",'Dev Schedule 2025-26'!J9)</f>
        <v>Jan-25</v>
      </c>
      <c r="M9" s="400"/>
      <c r="N9" s="399" cm="1">
        <f t="array" ref="N9">IF($C9="","",IFERROR(SUMPRODUCT(MAX(($U9:$AF9&lt;&gt;"")*$AL$3:$AW$3)),0))</f>
        <v>0</v>
      </c>
      <c r="O9" s="411" t="str">
        <f t="shared" si="1"/>
        <v>░░░░░░░░░░</v>
      </c>
      <c r="P9" s="396" t="str">
        <f t="shared" si="2"/>
        <v>미추적 (날짜 기록 없음)</v>
      </c>
      <c r="Q9" s="396" t="str" cm="1">
        <f t="array" ref="Q9">IF($C9="","",IF($N9&gt;=1,"— 완료",INDEX($U$3:$AF$3,IF($N9=0,1,MATCH($N9,$AL$3:$AW$3,0)+1))))</f>
        <v>① 미팅/1st Contact (10%)</v>
      </c>
      <c r="R9" s="406" t="str">
        <f t="shared" si="3"/>
        <v/>
      </c>
      <c r="S9" s="401" t="str">
        <f t="shared" ca="1" si="4"/>
        <v/>
      </c>
      <c r="T9" s="403" t="str">
        <f t="shared" si="5"/>
        <v>기록 없음</v>
      </c>
      <c r="U9" s="402"/>
      <c r="V9" s="398"/>
      <c r="W9" s="398"/>
      <c r="X9" s="398"/>
      <c r="Y9" s="398"/>
      <c r="Z9" s="398"/>
      <c r="AA9" s="398"/>
      <c r="AB9" s="398"/>
      <c r="AC9" s="398"/>
      <c r="AD9" s="398"/>
      <c r="AE9" s="404"/>
      <c r="AF9" s="405"/>
      <c r="AG9" s="402"/>
      <c r="AH9" s="397"/>
      <c r="AI9" s="397"/>
      <c r="AJ9" s="407"/>
      <c r="AK9" s="408" t="str">
        <f t="shared" si="6"/>
        <v>OK</v>
      </c>
      <c r="AM9" s="409" t="s">
        <v>2499</v>
      </c>
      <c r="AN9" s="410">
        <f>COUNTIFS($C$4:$C$82,"&lt;&gt;",$M$4:$M$82,"")</f>
        <v>27</v>
      </c>
    </row>
    <row r="10" spans="1:49" ht="15.75" customHeight="1">
      <c r="A10" s="395">
        <f>IF($C10="","",COUNTA($C$4:$C10))</f>
        <v>7</v>
      </c>
      <c r="B10" s="412" t="str">
        <f>IF('Dev Schedule 2025-26'!A10&lt;&gt;"",'Dev Schedule 2025-26'!A10,B9)</f>
        <v>Switching
System</v>
      </c>
      <c r="C10" s="412" t="str">
        <f>IF('Dev Schedule 2025-26'!B10="","",'Dev Schedule 2025-26'!B10)</f>
        <v>Derbysoft</v>
      </c>
      <c r="D10" s="396" t="str">
        <f t="shared" si="0"/>
        <v>← 고객사 API 연동 (OMH가 고객사 API 호출)</v>
      </c>
      <c r="E10" s="413"/>
      <c r="F10" s="412" t="str">
        <f>IF('Dev Schedule 2025-26'!G10="","",'Dev Schedule 2025-26'!G10)</f>
        <v>🔴 Full (100%)</v>
      </c>
      <c r="G10" s="412" t="str">
        <f>IF('Dev Schedule 2025-26'!E10="","",'Dev Schedule 2025-26'!E10)</f>
        <v>OHMY</v>
      </c>
      <c r="H10" s="412" t="str">
        <f>IF('Dev Schedule 2025-26'!C10="","",'Dev Schedule 2025-26'!C10)</f>
        <v>SLA</v>
      </c>
      <c r="I10" s="412" t="str">
        <f>IF('Dev Schedule 2025-26'!D10="","",'Dev Schedule 2025-26'!D10)</f>
        <v>Sophia</v>
      </c>
      <c r="J10" s="412" t="str">
        <f>IF('Dev Schedule 2025-26'!H10="","",'Dev Schedule 2025-26'!H10)</f>
        <v>Contact</v>
      </c>
      <c r="K10" s="412" t="str">
        <f>IF('Dev Schedule 2025-26'!I10="","",'Dev Schedule 2025-26'!I10)</f>
        <v>Oct-26</v>
      </c>
      <c r="L10" s="414" t="str">
        <f>IF('Dev Schedule 2025-26'!J10="","",'Dev Schedule 2025-26'!J10)</f>
        <v>Dec-26</v>
      </c>
      <c r="M10" s="400"/>
      <c r="N10" s="399" cm="1">
        <f t="array" ref="N10">IF($C10="","",IFERROR(SUMPRODUCT(MAX(($U10:$AF10&lt;&gt;"")*$AL$3:$AW$3)),0))</f>
        <v>0</v>
      </c>
      <c r="O10" s="411" t="str">
        <f t="shared" si="1"/>
        <v>░░░░░░░░░░</v>
      </c>
      <c r="P10" s="396" t="str">
        <f t="shared" si="2"/>
        <v>미추적 (날짜 기록 없음)</v>
      </c>
      <c r="Q10" s="396" t="str" cm="1">
        <f t="array" ref="Q10">IF($C10="","",IF($N10&gt;=1,"— 완료",INDEX($U$3:$AF$3,IF($N10=0,1,MATCH($N10,$AL$3:$AW$3,0)+1))))</f>
        <v>① 미팅/1st Contact (10%)</v>
      </c>
      <c r="R10" s="406" t="str">
        <f t="shared" si="3"/>
        <v/>
      </c>
      <c r="S10" s="401" t="str">
        <f t="shared" ca="1" si="4"/>
        <v/>
      </c>
      <c r="T10" s="403" t="str">
        <f t="shared" si="5"/>
        <v>기록 없음</v>
      </c>
      <c r="U10" s="402"/>
      <c r="V10" s="398"/>
      <c r="W10" s="398"/>
      <c r="X10" s="398"/>
      <c r="Y10" s="398"/>
      <c r="Z10" s="398"/>
      <c r="AA10" s="398"/>
      <c r="AB10" s="398"/>
      <c r="AC10" s="398"/>
      <c r="AD10" s="398"/>
      <c r="AE10" s="404"/>
      <c r="AF10" s="405"/>
      <c r="AG10" s="402"/>
      <c r="AH10" s="397"/>
      <c r="AI10" s="397"/>
      <c r="AJ10" s="407"/>
      <c r="AK10" s="408" t="str">
        <f t="shared" si="6"/>
        <v>OK</v>
      </c>
      <c r="AM10" s="409" t="s">
        <v>2500</v>
      </c>
      <c r="AN10" s="410">
        <f ca="1">COUNTIF($T$4:$T$82,"30일*")</f>
        <v>0</v>
      </c>
    </row>
    <row r="11" spans="1:49" ht="15.75" customHeight="1">
      <c r="A11" s="395">
        <f>IF($C11="","",COUNTA($C$4:$C11))</f>
        <v>8</v>
      </c>
      <c r="B11" s="412" t="str">
        <f>IF('Dev Schedule 2025-26'!A11&lt;&gt;"",'Dev Schedule 2025-26'!A11,B10)</f>
        <v>Switching
System</v>
      </c>
      <c r="C11" s="412" t="str">
        <f>IF('Dev Schedule 2025-26'!B11="","",'Dev Schedule 2025-26'!B11)</f>
        <v>Synxis</v>
      </c>
      <c r="D11" s="396" t="str">
        <f t="shared" si="0"/>
        <v>← 고객사 API 연동 (OMH가 고객사 API 호출)</v>
      </c>
      <c r="E11" s="413"/>
      <c r="F11" s="412" t="str">
        <f>IF('Dev Schedule 2025-26'!G11="","",'Dev Schedule 2025-26'!G11)</f>
        <v>🔴 Full (100%)</v>
      </c>
      <c r="G11" s="412" t="str">
        <f>IF('Dev Schedule 2025-26'!E11="","",'Dev Schedule 2025-26'!E11)</f>
        <v>OHMY</v>
      </c>
      <c r="H11" s="412" t="str">
        <f>IF('Dev Schedule 2025-26'!C11="","",'Dev Schedule 2025-26'!C11)</f>
        <v>SLA</v>
      </c>
      <c r="I11" s="412" t="str">
        <f>IF('Dev Schedule 2025-26'!D11="","",'Dev Schedule 2025-26'!D11)</f>
        <v>Sophia</v>
      </c>
      <c r="J11" s="412" t="str">
        <f>IF('Dev Schedule 2025-26'!H11="","",'Dev Schedule 2025-26'!H11)</f>
        <v>Contact</v>
      </c>
      <c r="K11" s="412" t="str">
        <f>IF('Dev Schedule 2025-26'!I11="","",'Dev Schedule 2025-26'!I11)</f>
        <v>Oct-26</v>
      </c>
      <c r="L11" s="414" t="str">
        <f>IF('Dev Schedule 2025-26'!J11="","",'Dev Schedule 2025-26'!J11)</f>
        <v>Dec-26</v>
      </c>
      <c r="M11" s="400"/>
      <c r="N11" s="399" cm="1">
        <f t="array" ref="N11">IF($C11="","",IFERROR(SUMPRODUCT(MAX(($U11:$AF11&lt;&gt;"")*$AL$3:$AW$3)),0))</f>
        <v>0</v>
      </c>
      <c r="O11" s="411" t="str">
        <f t="shared" si="1"/>
        <v>░░░░░░░░░░</v>
      </c>
      <c r="P11" s="396" t="str">
        <f t="shared" si="2"/>
        <v>미추적 (날짜 기록 없음)</v>
      </c>
      <c r="Q11" s="396" t="str" cm="1">
        <f t="array" ref="Q11">IF($C11="","",IF($N11&gt;=1,"— 완료",INDEX($U$3:$AF$3,IF($N11=0,1,MATCH($N11,$AL$3:$AW$3,0)+1))))</f>
        <v>① 미팅/1st Contact (10%)</v>
      </c>
      <c r="R11" s="406" t="str">
        <f t="shared" si="3"/>
        <v/>
      </c>
      <c r="S11" s="401" t="str">
        <f t="shared" ca="1" si="4"/>
        <v/>
      </c>
      <c r="T11" s="403" t="str">
        <f t="shared" si="5"/>
        <v>기록 없음</v>
      </c>
      <c r="U11" s="402"/>
      <c r="V11" s="398"/>
      <c r="W11" s="398"/>
      <c r="X11" s="398"/>
      <c r="Y11" s="398"/>
      <c r="Z11" s="398"/>
      <c r="AA11" s="398"/>
      <c r="AB11" s="398"/>
      <c r="AC11" s="398"/>
      <c r="AD11" s="398"/>
      <c r="AE11" s="404"/>
      <c r="AF11" s="405"/>
      <c r="AG11" s="402"/>
      <c r="AH11" s="397"/>
      <c r="AI11" s="397"/>
      <c r="AJ11" s="407"/>
      <c r="AK11" s="408" t="str">
        <f t="shared" si="6"/>
        <v>OK</v>
      </c>
      <c r="AM11" s="409" t="s">
        <v>2501</v>
      </c>
      <c r="AN11" s="410">
        <f ca="1">COUNTIF($T$4:$T$82,"60일*")</f>
        <v>0</v>
      </c>
    </row>
    <row r="12" spans="1:49" ht="15.75" customHeight="1">
      <c r="A12" s="395">
        <f>IF($C12="","",COUNTA($C$4:$C12))</f>
        <v>9</v>
      </c>
      <c r="B12" s="412" t="str">
        <f>IF('Dev Schedule 2025-26'!A12&lt;&gt;"",'Dev Schedule 2025-26'!A12,B11)</f>
        <v>Switching
System</v>
      </c>
      <c r="C12" s="412" t="str">
        <f>IF('Dev Schedule 2025-26'!B12="","",'Dev Schedule 2025-26'!B12)</f>
        <v>11infortec</v>
      </c>
      <c r="D12" s="396" t="str">
        <f t="shared" si="0"/>
        <v>← 고객사 API 연동 (OMH가 고객사 API 호출)</v>
      </c>
      <c r="E12" s="413"/>
      <c r="F12" s="412" t="str">
        <f>IF('Dev Schedule 2025-26'!G12="","",'Dev Schedule 2025-26'!G12)</f>
        <v>🔴 Full (100%)</v>
      </c>
      <c r="G12" s="412" t="str">
        <f>IF('Dev Schedule 2025-26'!E12="","",'Dev Schedule 2025-26'!E12)</f>
        <v>OHMY</v>
      </c>
      <c r="H12" s="412" t="str">
        <f>IF('Dev Schedule 2025-26'!C12="","",'Dev Schedule 2025-26'!C12)</f>
        <v>SLA</v>
      </c>
      <c r="I12" s="412" t="str">
        <f>IF('Dev Schedule 2025-26'!D12="","",'Dev Schedule 2025-26'!D12)</f>
        <v>Sophia</v>
      </c>
      <c r="J12" s="412" t="str">
        <f>IF('Dev Schedule 2025-26'!H12="","",'Dev Schedule 2025-26'!H12)</f>
        <v>Contact</v>
      </c>
      <c r="K12" s="412" t="str">
        <f>IF('Dev Schedule 2025-26'!I12="","",'Dev Schedule 2025-26'!I12)</f>
        <v>Oct-26</v>
      </c>
      <c r="L12" s="414" t="str">
        <f>IF('Dev Schedule 2025-26'!J12="","",'Dev Schedule 2025-26'!J12)</f>
        <v>Dec-26</v>
      </c>
      <c r="M12" s="400"/>
      <c r="N12" s="399" cm="1">
        <f t="array" ref="N12">IF($C12="","",IFERROR(SUMPRODUCT(MAX(($U12:$AF12&lt;&gt;"")*$AL$3:$AW$3)),0))</f>
        <v>0</v>
      </c>
      <c r="O12" s="411" t="str">
        <f t="shared" si="1"/>
        <v>░░░░░░░░░░</v>
      </c>
      <c r="P12" s="396" t="str">
        <f t="shared" si="2"/>
        <v>미추적 (날짜 기록 없음)</v>
      </c>
      <c r="Q12" s="396" t="str" cm="1">
        <f t="array" ref="Q12">IF($C12="","",IF($N12&gt;=1,"— 완료",INDEX($U$3:$AF$3,IF($N12=0,1,MATCH($N12,$AL$3:$AW$3,0)+1))))</f>
        <v>① 미팅/1st Contact (10%)</v>
      </c>
      <c r="R12" s="406" t="str">
        <f t="shared" si="3"/>
        <v/>
      </c>
      <c r="S12" s="401" t="str">
        <f t="shared" ca="1" si="4"/>
        <v/>
      </c>
      <c r="T12" s="403" t="str">
        <f t="shared" si="5"/>
        <v>기록 없음</v>
      </c>
      <c r="U12" s="402"/>
      <c r="V12" s="398"/>
      <c r="W12" s="398"/>
      <c r="X12" s="398"/>
      <c r="Y12" s="398"/>
      <c r="Z12" s="398"/>
      <c r="AA12" s="398"/>
      <c r="AB12" s="398"/>
      <c r="AC12" s="398"/>
      <c r="AD12" s="398"/>
      <c r="AE12" s="404"/>
      <c r="AF12" s="405"/>
      <c r="AG12" s="402"/>
      <c r="AH12" s="397"/>
      <c r="AI12" s="397"/>
      <c r="AJ12" s="407"/>
      <c r="AK12" s="408" t="str">
        <f t="shared" si="6"/>
        <v>OK</v>
      </c>
      <c r="AM12" s="409" t="s">
        <v>2502</v>
      </c>
      <c r="AN12" s="410">
        <f ca="1">COUNTIF($T$4:$T$82,"90일*")</f>
        <v>30</v>
      </c>
    </row>
    <row r="13" spans="1:49" ht="15.75" customHeight="1">
      <c r="A13" s="395">
        <f>IF($C13="","",COUNTA($C$4:$C13))</f>
        <v>10</v>
      </c>
      <c r="B13" s="412" t="str">
        <f>IF('Dev Schedule 2025-26'!A13&lt;&gt;"",'Dev Schedule 2025-26'!A13,B12)</f>
        <v>Channel API</v>
      </c>
      <c r="C13" s="412" t="str">
        <f>IF('Dev Schedule 2025-26'!B13="","",'Dev Schedule 2025-26'!B13)</f>
        <v>MG Group (Room Deal)</v>
      </c>
      <c r="D13" s="396" t="str">
        <f t="shared" si="0"/>
        <v>→ OMH API 제공 (고객사가 OMH API 호출)</v>
      </c>
      <c r="E13" s="413"/>
      <c r="F13" s="412" t="str">
        <f>IF('Dev Schedule 2025-26'!G13="","",'Dev Schedule 2025-26'!G13)</f>
        <v>🟢 Minimal (5-10%)</v>
      </c>
      <c r="G13" s="412" t="str">
        <f>IF('Dev Schedule 2025-26'!E13="","",'Dev Schedule 2025-26'!E13)</f>
        <v>MG</v>
      </c>
      <c r="H13" s="412" t="str">
        <f>IF('Dev Schedule 2025-26'!C13="","",'Dev Schedule 2025-26'!C13)</f>
        <v>GSM</v>
      </c>
      <c r="I13" s="412" t="str">
        <f>IF('Dev Schedule 2025-26'!D13="","",'Dev Schedule 2025-26'!D13)</f>
        <v>Aiden</v>
      </c>
      <c r="J13" s="412" t="str">
        <f>IF('Dev Schedule 2025-26'!H13="","",'Dev Schedule 2025-26'!H13)</f>
        <v>Live</v>
      </c>
      <c r="K13" s="412" t="str">
        <f>IF('Dev Schedule 2025-26'!I13="","",'Dev Schedule 2025-26'!I13)</f>
        <v>Oct-25</v>
      </c>
      <c r="L13" s="414" t="str">
        <f>IF('Dev Schedule 2025-26'!J13="","",'Dev Schedule 2025-26'!J13)</f>
        <v>Nov-25</v>
      </c>
      <c r="M13" s="400" t="s">
        <v>1754</v>
      </c>
      <c r="N13" s="399" cm="1">
        <f t="array" ref="N13">IF($C13="","",IFERROR(SUMPRODUCT(MAX(($U13:$AF13&lt;&gt;"")*$AL$3:$AW$3)),0))</f>
        <v>0</v>
      </c>
      <c r="O13" s="411" t="str">
        <f t="shared" si="1"/>
        <v>░░░░░░░░░░</v>
      </c>
      <c r="P13" s="396" t="str">
        <f t="shared" si="2"/>
        <v>미추적 (날짜 기록 없음)</v>
      </c>
      <c r="Q13" s="396" t="str" cm="1">
        <f t="array" ref="Q13">IF($C13="","",IF($N13&gt;=1,"— 완료",INDEX($U$3:$AF$3,IF($N13=0,1,MATCH($N13,$AL$3:$AW$3,0)+1))))</f>
        <v>① 미팅/1st Contact (10%)</v>
      </c>
      <c r="R13" s="406" t="str">
        <f t="shared" si="3"/>
        <v/>
      </c>
      <c r="S13" s="401" t="str">
        <f t="shared" ca="1" si="4"/>
        <v/>
      </c>
      <c r="T13" s="403" t="str">
        <f t="shared" si="5"/>
        <v>기록 없음</v>
      </c>
      <c r="U13" s="402"/>
      <c r="V13" s="398"/>
      <c r="W13" s="398"/>
      <c r="X13" s="398"/>
      <c r="Y13" s="398"/>
      <c r="Z13" s="398"/>
      <c r="AA13" s="398"/>
      <c r="AB13" s="398"/>
      <c r="AC13" s="398"/>
      <c r="AD13" s="398"/>
      <c r="AE13" s="404"/>
      <c r="AF13" s="405"/>
      <c r="AG13" s="402"/>
      <c r="AH13" s="397"/>
      <c r="AI13" s="397"/>
      <c r="AJ13" s="407"/>
      <c r="AK13" s="408" t="str">
        <f t="shared" si="6"/>
        <v>Status=Live / 날짜 미완료</v>
      </c>
      <c r="AM13" s="409" t="s">
        <v>2503</v>
      </c>
      <c r="AN13" s="410">
        <f>COUNTIFS($C$4:$C$82,"&lt;&gt;",$AK$4:$AK$82,"&lt;&gt;OK")</f>
        <v>15</v>
      </c>
    </row>
    <row r="14" spans="1:49" ht="15.75" customHeight="1">
      <c r="A14" s="395">
        <f>IF($C14="","",COUNTA($C$4:$C14))</f>
        <v>11</v>
      </c>
      <c r="B14" s="412" t="str">
        <f>IF('Dev Schedule 2025-26'!A14&lt;&gt;"",'Dev Schedule 2025-26'!A14,B13)</f>
        <v>Channel API</v>
      </c>
      <c r="C14" s="412" t="str">
        <f>IF('Dev Schedule 2025-26'!B14="","",'Dev Schedule 2025-26'!B14)</f>
        <v>RTX (Rakuten)</v>
      </c>
      <c r="D14" s="396" t="str">
        <f t="shared" si="0"/>
        <v>→ OMH API 제공 (고객사가 OMH API 호출)</v>
      </c>
      <c r="E14" s="413"/>
      <c r="F14" s="412" t="str">
        <f>IF('Dev Schedule 2025-26'!G14="","",'Dev Schedule 2025-26'!G14)</f>
        <v>🟢 Minimal (5-10%)</v>
      </c>
      <c r="G14" s="412" t="str">
        <f>IF('Dev Schedule 2025-26'!E14="","",'Dev Schedule 2025-26'!E14)</f>
        <v>RTX</v>
      </c>
      <c r="H14" s="412" t="str">
        <f>IF('Dev Schedule 2025-26'!C14="","",'Dev Schedule 2025-26'!C14)</f>
        <v>GSM</v>
      </c>
      <c r="I14" s="412" t="str">
        <f>IF('Dev Schedule 2025-26'!D14="","",'Dev Schedule 2025-26'!D14)</f>
        <v>Aiden</v>
      </c>
      <c r="J14" s="412" t="str">
        <f>IF('Dev Schedule 2025-26'!H14="","",'Dev Schedule 2025-26'!H14)</f>
        <v>Live</v>
      </c>
      <c r="K14" s="412" t="str">
        <f>IF('Dev Schedule 2025-26'!I14="","",'Dev Schedule 2025-26'!I14)</f>
        <v>Sep-25</v>
      </c>
      <c r="L14" s="414" t="str">
        <f>IF('Dev Schedule 2025-26'!J14="","",'Dev Schedule 2025-26'!J14)</f>
        <v>Nov-25</v>
      </c>
      <c r="M14" s="400" t="s">
        <v>640</v>
      </c>
      <c r="N14" s="399" cm="1">
        <f t="array" ref="N14">IF($C14="","",IFERROR(SUMPRODUCT(MAX(($U14:$AF14&lt;&gt;"")*$AL$3:$AW$3)),0))</f>
        <v>0</v>
      </c>
      <c r="O14" s="411" t="str">
        <f t="shared" si="1"/>
        <v>░░░░░░░░░░</v>
      </c>
      <c r="P14" s="396" t="str">
        <f t="shared" si="2"/>
        <v>미추적 (날짜 기록 없음)</v>
      </c>
      <c r="Q14" s="396" t="str" cm="1">
        <f t="array" ref="Q14">IF($C14="","",IF($N14&gt;=1,"— 완료",INDEX($U$3:$AF$3,IF($N14=0,1,MATCH($N14,$AL$3:$AW$3,0)+1))))</f>
        <v>① 미팅/1st Contact (10%)</v>
      </c>
      <c r="R14" s="406" t="str">
        <f t="shared" si="3"/>
        <v/>
      </c>
      <c r="S14" s="401" t="str">
        <f t="shared" ca="1" si="4"/>
        <v/>
      </c>
      <c r="T14" s="403" t="str">
        <f t="shared" si="5"/>
        <v>기록 없음</v>
      </c>
      <c r="U14" s="402"/>
      <c r="V14" s="398"/>
      <c r="W14" s="398"/>
      <c r="X14" s="398"/>
      <c r="Y14" s="398"/>
      <c r="Z14" s="398"/>
      <c r="AA14" s="398"/>
      <c r="AB14" s="398"/>
      <c r="AC14" s="398"/>
      <c r="AD14" s="398"/>
      <c r="AE14" s="404"/>
      <c r="AF14" s="405"/>
      <c r="AG14" s="402"/>
      <c r="AH14" s="397"/>
      <c r="AI14" s="397"/>
      <c r="AJ14" s="407"/>
      <c r="AK14" s="408" t="str">
        <f t="shared" si="6"/>
        <v>Status=Live / 날짜 미완료</v>
      </c>
      <c r="AM14" s="409" t="s">
        <v>2504</v>
      </c>
      <c r="AN14" s="410">
        <f>COUNTIF($D$4:$D$82,"*OMH API 제공*")</f>
        <v>54</v>
      </c>
    </row>
    <row r="15" spans="1:49" ht="15.75" customHeight="1">
      <c r="A15" s="395">
        <f>IF($C15="","",COUNTA($C$4:$C15))</f>
        <v>12</v>
      </c>
      <c r="B15" s="412" t="str">
        <f>IF('Dev Schedule 2025-26'!A15&lt;&gt;"",'Dev Schedule 2025-26'!A15,B14)</f>
        <v>Channel API</v>
      </c>
      <c r="C15" s="412" t="str">
        <f>IF('Dev Schedule 2025-26'!B15="","",'Dev Schedule 2025-26'!B15)</f>
        <v>SS Booking</v>
      </c>
      <c r="D15" s="396" t="str">
        <f t="shared" si="0"/>
        <v>→ OMH API 제공 (고객사가 OMH API 호출)</v>
      </c>
      <c r="E15" s="413"/>
      <c r="F15" s="412" t="str">
        <f>IF('Dev Schedule 2025-26'!G15="","",'Dev Schedule 2025-26'!G15)</f>
        <v>🟢 Minimal (5-10%)</v>
      </c>
      <c r="G15" s="412" t="str">
        <f>IF('Dev Schedule 2025-26'!E15="","",'Dev Schedule 2025-26'!E15)</f>
        <v>SS Booking</v>
      </c>
      <c r="H15" s="412" t="str">
        <f>IF('Dev Schedule 2025-26'!C15="","",'Dev Schedule 2025-26'!C15)</f>
        <v>GSM</v>
      </c>
      <c r="I15" s="412" t="str">
        <f>IF('Dev Schedule 2025-26'!D15="","",'Dev Schedule 2025-26'!D15)</f>
        <v>Grace</v>
      </c>
      <c r="J15" s="412" t="str">
        <f>IF('Dev Schedule 2025-26'!H15="","",'Dev Schedule 2025-26'!H15)</f>
        <v>Live</v>
      </c>
      <c r="K15" s="412" t="str">
        <f>IF('Dev Schedule 2025-26'!I15="","",'Dev Schedule 2025-26'!I15)</f>
        <v>Nov-25</v>
      </c>
      <c r="L15" s="414" t="str">
        <f>IF('Dev Schedule 2025-26'!J15="","",'Dev Schedule 2025-26'!J15)</f>
        <v>Dec-25</v>
      </c>
      <c r="M15" s="400" t="s">
        <v>832</v>
      </c>
      <c r="N15" s="399" cm="1">
        <f t="array" ref="N15">IF($C15="","",IFERROR(SUMPRODUCT(MAX(($U15:$AF15&lt;&gt;"")*$AL$3:$AW$3)),0))</f>
        <v>0.6</v>
      </c>
      <c r="O15" s="411" t="str">
        <f t="shared" si="1"/>
        <v>██████░░░░</v>
      </c>
      <c r="P15" s="396" t="str">
        <f t="shared" si="2"/>
        <v>⑦ Certification (60%)</v>
      </c>
      <c r="Q15" s="396" t="str" cm="1">
        <f t="array" ref="Q15">IF($C15="","",IF($N15&gt;=1,"— 완료",INDEX($U$3:$AF$3,IF($N15=0,1,MATCH($N15,$AL$3:$AW$3,0)+1))))</f>
        <v>⑧ Live Test (70%)</v>
      </c>
      <c r="R15" s="406">
        <f t="shared" si="3"/>
        <v>45985</v>
      </c>
      <c r="S15" s="401">
        <f t="shared" ca="1" si="4"/>
        <v>264</v>
      </c>
      <c r="T15" s="403" t="str">
        <f t="shared" ca="1" si="5"/>
        <v>90일+ 정지</v>
      </c>
      <c r="U15" s="402">
        <v>45907</v>
      </c>
      <c r="V15" s="398">
        <v>45940</v>
      </c>
      <c r="W15" s="398"/>
      <c r="X15" s="398"/>
      <c r="Y15" s="398"/>
      <c r="Z15" s="398">
        <v>45974</v>
      </c>
      <c r="AA15" s="398">
        <v>45985</v>
      </c>
      <c r="AB15" s="398"/>
      <c r="AC15" s="398"/>
      <c r="AD15" s="398"/>
      <c r="AE15" s="404"/>
      <c r="AF15" s="405"/>
      <c r="AG15" s="402"/>
      <c r="AH15" s="397"/>
      <c r="AI15" s="397"/>
      <c r="AJ15" s="407"/>
      <c r="AK15" s="408" t="str">
        <f t="shared" si="6"/>
        <v>Status=Live / 날짜 미완료</v>
      </c>
      <c r="AM15" s="409" t="s">
        <v>2505</v>
      </c>
      <c r="AN15" s="410">
        <f>COUNTIF($D$4:$D$82,"*고객사 API 연동*")</f>
        <v>25</v>
      </c>
    </row>
    <row r="16" spans="1:49" ht="15.75" customHeight="1">
      <c r="A16" s="395">
        <f>IF($C16="","",COUNTA($C$4:$C16))</f>
        <v>13</v>
      </c>
      <c r="B16" s="412" t="str">
        <f>IF('Dev Schedule 2025-26'!A16&lt;&gt;"",'Dev Schedule 2025-26'!A16,B15)</f>
        <v>Channel API</v>
      </c>
      <c r="C16" s="412" t="str">
        <f>IF('Dev Schedule 2025-26'!B16="","",'Dev Schedule 2025-26'!B16)</f>
        <v>Linkstay</v>
      </c>
      <c r="D16" s="396" t="str">
        <f t="shared" si="0"/>
        <v>→ OMH API 제공 (고객사가 OMH API 호출)</v>
      </c>
      <c r="E16" s="413"/>
      <c r="F16" s="412" t="str">
        <f>IF('Dev Schedule 2025-26'!G16="","",'Dev Schedule 2025-26'!G16)</f>
        <v>🟢 Minimal (5-10%)</v>
      </c>
      <c r="G16" s="412" t="str">
        <f>IF('Dev Schedule 2025-26'!E16="","",'Dev Schedule 2025-26'!E16)</f>
        <v>Linkstay</v>
      </c>
      <c r="H16" s="412" t="str">
        <f>IF('Dev Schedule 2025-26'!C16="","",'Dev Schedule 2025-26'!C16)</f>
        <v>GSM</v>
      </c>
      <c r="I16" s="412" t="str">
        <f>IF('Dev Schedule 2025-26'!D16="","",'Dev Schedule 2025-26'!D16)</f>
        <v>Grace</v>
      </c>
      <c r="J16" s="412" t="str">
        <f>IF('Dev Schedule 2025-26'!H16="","",'Dev Schedule 2025-26'!H16)</f>
        <v>Live</v>
      </c>
      <c r="K16" s="412" t="str">
        <f>IF('Dev Schedule 2025-26'!I16="","",'Dev Schedule 2025-26'!I16)</f>
        <v>Apr-26</v>
      </c>
      <c r="L16" s="414" t="str">
        <f>IF('Dev Schedule 2025-26'!J16="","",'Dev Schedule 2025-26'!J16)</f>
        <v>May-26</v>
      </c>
      <c r="M16" s="400" t="s">
        <v>983</v>
      </c>
      <c r="N16" s="399" cm="1">
        <f t="array" ref="N16">IF($C16="","",IFERROR(SUMPRODUCT(MAX(($U16:$AF16&lt;&gt;"")*$AL$3:$AW$3)),0))</f>
        <v>0.7</v>
      </c>
      <c r="O16" s="411" t="str">
        <f t="shared" si="1"/>
        <v>███████░░░</v>
      </c>
      <c r="P16" s="396" t="str">
        <f t="shared" si="2"/>
        <v>⑧ Live Test (70%)</v>
      </c>
      <c r="Q16" s="396" t="str" cm="1">
        <f t="array" ref="Q16">IF($C16="","",IF($N16&gt;=1,"— 완료",INDEX($U$3:$AF$3,IF($N16=0,1,MATCH($N16,$AL$3:$AW$3,0)+1))))</f>
        <v>⑨ 개발 완료 예정 (75%)</v>
      </c>
      <c r="R16" s="406">
        <f t="shared" si="3"/>
        <v>46149</v>
      </c>
      <c r="S16" s="401">
        <f t="shared" ca="1" si="4"/>
        <v>100</v>
      </c>
      <c r="T16" s="403" t="str">
        <f t="shared" ca="1" si="5"/>
        <v>90일+ 정지</v>
      </c>
      <c r="U16" s="402">
        <v>45834</v>
      </c>
      <c r="V16" s="398">
        <v>45926</v>
      </c>
      <c r="W16" s="398">
        <v>46031</v>
      </c>
      <c r="X16" s="398">
        <v>46031</v>
      </c>
      <c r="Y16" s="398"/>
      <c r="Z16" s="398"/>
      <c r="AA16" s="398">
        <v>46141</v>
      </c>
      <c r="AB16" s="398">
        <v>46149</v>
      </c>
      <c r="AC16" s="398"/>
      <c r="AD16" s="398"/>
      <c r="AE16" s="404"/>
      <c r="AF16" s="405"/>
      <c r="AG16" s="402"/>
      <c r="AH16" s="397"/>
      <c r="AI16" s="397"/>
      <c r="AJ16" s="407" t="s">
        <v>2506</v>
      </c>
      <c r="AK16" s="408" t="str">
        <f t="shared" si="6"/>
        <v>Status=Live / 날짜 미완료</v>
      </c>
      <c r="AM16" s="409" t="s">
        <v>2507</v>
      </c>
      <c r="AN16" s="410">
        <f>COUNTIF($E$4:$E$82,"High")</f>
        <v>0</v>
      </c>
    </row>
    <row r="17" spans="1:40" ht="15.75" customHeight="1">
      <c r="A17" s="395">
        <f>IF($C17="","",COUNTA($C$4:$C17))</f>
        <v>14</v>
      </c>
      <c r="B17" s="412" t="str">
        <f>IF('Dev Schedule 2025-26'!A17&lt;&gt;"",'Dev Schedule 2025-26'!A17,B16)</f>
        <v>Channel API</v>
      </c>
      <c r="C17" s="412" t="str">
        <f>IF('Dev Schedule 2025-26'!B17="","",'Dev Schedule 2025-26'!B17)</f>
        <v>Hotelbank</v>
      </c>
      <c r="D17" s="396" t="str">
        <f t="shared" si="0"/>
        <v>→ OMH API 제공 (고객사가 OMH API 호출)</v>
      </c>
      <c r="E17" s="413"/>
      <c r="F17" s="412" t="str">
        <f>IF('Dev Schedule 2025-26'!G17="","",'Dev Schedule 2025-26'!G17)</f>
        <v>🟢 Minimal (5-10%)</v>
      </c>
      <c r="G17" s="412" t="str">
        <f>IF('Dev Schedule 2025-26'!E17="","",'Dev Schedule 2025-26'!E17)</f>
        <v>Hotelbank</v>
      </c>
      <c r="H17" s="412" t="str">
        <f>IF('Dev Schedule 2025-26'!C17="","",'Dev Schedule 2025-26'!C17)</f>
        <v>GSM</v>
      </c>
      <c r="I17" s="412" t="str">
        <f>IF('Dev Schedule 2025-26'!D17="","",'Dev Schedule 2025-26'!D17)</f>
        <v>Grace</v>
      </c>
      <c r="J17" s="412" t="str">
        <f>IF('Dev Schedule 2025-26'!H17="","",'Dev Schedule 2025-26'!H17)</f>
        <v>Live</v>
      </c>
      <c r="K17" s="412" t="str">
        <f>IF('Dev Schedule 2025-26'!I17="","",'Dev Schedule 2025-26'!I17)</f>
        <v>Jan-26</v>
      </c>
      <c r="L17" s="414" t="str">
        <f>IF('Dev Schedule 2025-26'!J17="","",'Dev Schedule 2025-26'!J17)</f>
        <v>Feb-26</v>
      </c>
      <c r="M17" s="400" t="s">
        <v>760</v>
      </c>
      <c r="N17" s="399" cm="1">
        <f t="array" ref="N17">IF($C17="","",IFERROR(SUMPRODUCT(MAX(($U17:$AF17&lt;&gt;"")*$AL$3:$AW$3)),0))</f>
        <v>0.5</v>
      </c>
      <c r="O17" s="411" t="str">
        <f t="shared" si="1"/>
        <v>█████░░░░░</v>
      </c>
      <c r="P17" s="396" t="str">
        <f t="shared" si="2"/>
        <v>⑥ 개발 착수/SPEC·DEV Key (50%)</v>
      </c>
      <c r="Q17" s="396" t="str" cm="1">
        <f t="array" ref="Q17">IF($C17="","",IF($N17&gt;=1,"— 완료",INDEX($U$3:$AF$3,IF($N17=0,1,MATCH($N17,$AL$3:$AW$3,0)+1))))</f>
        <v>⑦ Certification (60%)</v>
      </c>
      <c r="R17" s="406">
        <f t="shared" si="3"/>
        <v>45992</v>
      </c>
      <c r="S17" s="401">
        <f t="shared" ca="1" si="4"/>
        <v>257</v>
      </c>
      <c r="T17" s="403" t="str">
        <f t="shared" ca="1" si="5"/>
        <v>90일+ 정지</v>
      </c>
      <c r="U17" s="402">
        <v>45229</v>
      </c>
      <c r="V17" s="398"/>
      <c r="W17" s="398">
        <v>45991</v>
      </c>
      <c r="X17" s="398"/>
      <c r="Y17" s="398">
        <v>45992</v>
      </c>
      <c r="Z17" s="398">
        <v>45992</v>
      </c>
      <c r="AA17" s="398"/>
      <c r="AB17" s="398"/>
      <c r="AC17" s="398"/>
      <c r="AD17" s="398"/>
      <c r="AE17" s="404"/>
      <c r="AF17" s="405"/>
      <c r="AG17" s="402"/>
      <c r="AH17" s="397"/>
      <c r="AI17" s="397"/>
      <c r="AJ17" s="407"/>
      <c r="AK17" s="408" t="str">
        <f t="shared" si="6"/>
        <v>Status=Live / 날짜 미완료</v>
      </c>
      <c r="AM17" s="409" t="s">
        <v>2508</v>
      </c>
      <c r="AN17" s="410">
        <f>COUNTIF($E$4:$E$82,"Mid")</f>
        <v>0</v>
      </c>
    </row>
    <row r="18" spans="1:40" ht="15.75" customHeight="1">
      <c r="A18" s="395">
        <f>IF($C18="","",COUNTA($C$4:$C18))</f>
        <v>15</v>
      </c>
      <c r="B18" s="412" t="str">
        <f>IF('Dev Schedule 2025-26'!A18&lt;&gt;"",'Dev Schedule 2025-26'!A18,B17)</f>
        <v>Channel API</v>
      </c>
      <c r="C18" s="412" t="str">
        <f>IF('Dev Schedule 2025-26'!B18="","",'Dev Schedule 2025-26'!B18)</f>
        <v>Huamin</v>
      </c>
      <c r="D18" s="396" t="str">
        <f t="shared" si="0"/>
        <v>→ OMH API 제공 (고객사가 OMH API 호출)</v>
      </c>
      <c r="E18" s="413"/>
      <c r="F18" s="412" t="str">
        <f>IF('Dev Schedule 2025-26'!G18="","",'Dev Schedule 2025-26'!G18)</f>
        <v>🟢 Minimal (5-10%)</v>
      </c>
      <c r="G18" s="412" t="str">
        <f>IF('Dev Schedule 2025-26'!E18="","",'Dev Schedule 2025-26'!E18)</f>
        <v>Huamin</v>
      </c>
      <c r="H18" s="412" t="str">
        <f>IF('Dev Schedule 2025-26'!C18="","",'Dev Schedule 2025-26'!C18)</f>
        <v>GSM</v>
      </c>
      <c r="I18" s="412" t="str">
        <f>IF('Dev Schedule 2025-26'!D18="","",'Dev Schedule 2025-26'!D18)</f>
        <v>Grace</v>
      </c>
      <c r="J18" s="412" t="str">
        <f>IF('Dev Schedule 2025-26'!H18="","",'Dev Schedule 2025-26'!H18)</f>
        <v>Live</v>
      </c>
      <c r="K18" s="412" t="str">
        <f>IF('Dev Schedule 2025-26'!I18="","",'Dev Schedule 2025-26'!I18)</f>
        <v>Feb-26</v>
      </c>
      <c r="L18" s="414" t="str">
        <f>IF('Dev Schedule 2025-26'!J18="","",'Dev Schedule 2025-26'!J18)</f>
        <v>Mar-26</v>
      </c>
      <c r="M18" s="400" t="s">
        <v>731</v>
      </c>
      <c r="N18" s="399" cm="1">
        <f t="array" ref="N18">IF($C18="","",IFERROR(SUMPRODUCT(MAX(($U18:$AF18&lt;&gt;"")*$AL$3:$AW$3)),0))</f>
        <v>0.5</v>
      </c>
      <c r="O18" s="411" t="str">
        <f t="shared" si="1"/>
        <v>█████░░░░░</v>
      </c>
      <c r="P18" s="396" t="str">
        <f t="shared" si="2"/>
        <v>⑥ 개발 착수/SPEC·DEV Key (50%)</v>
      </c>
      <c r="Q18" s="396" t="str" cm="1">
        <f t="array" ref="Q18">IF($C18="","",IF($N18&gt;=1,"— 완료",INDEX($U$3:$AF$3,IF($N18=0,1,MATCH($N18,$AL$3:$AW$3,0)+1))))</f>
        <v>⑦ Certification (60%)</v>
      </c>
      <c r="R18" s="406">
        <f t="shared" si="3"/>
        <v>46013</v>
      </c>
      <c r="S18" s="401">
        <f t="shared" ca="1" si="4"/>
        <v>236</v>
      </c>
      <c r="T18" s="403" t="str">
        <f t="shared" ca="1" si="5"/>
        <v>90일+ 정지</v>
      </c>
      <c r="U18" s="402">
        <v>45890</v>
      </c>
      <c r="V18" s="398">
        <v>45922</v>
      </c>
      <c r="W18" s="398"/>
      <c r="X18" s="398"/>
      <c r="Y18" s="398">
        <v>45955</v>
      </c>
      <c r="Z18" s="398">
        <v>46013</v>
      </c>
      <c r="AA18" s="398"/>
      <c r="AB18" s="398"/>
      <c r="AC18" s="398"/>
      <c r="AD18" s="398"/>
      <c r="AE18" s="404"/>
      <c r="AF18" s="405"/>
      <c r="AG18" s="402"/>
      <c r="AH18" s="397"/>
      <c r="AI18" s="397"/>
      <c r="AJ18" s="407"/>
      <c r="AK18" s="408" t="str">
        <f t="shared" si="6"/>
        <v>Status=Live / 날짜 미완료</v>
      </c>
      <c r="AM18" s="409" t="s">
        <v>2509</v>
      </c>
      <c r="AN18" s="410">
        <f>COUNTIF($E$4:$E$82,"Low")</f>
        <v>0</v>
      </c>
    </row>
    <row r="19" spans="1:40" ht="15.75" customHeight="1">
      <c r="A19" s="395">
        <f>IF($C19="","",COUNTA($C$4:$C19))</f>
        <v>16</v>
      </c>
      <c r="B19" s="412" t="str">
        <f>IF('Dev Schedule 2025-26'!A19&lt;&gt;"",'Dev Schedule 2025-26'!A19,B18)</f>
        <v>Channel API</v>
      </c>
      <c r="C19" s="412" t="str">
        <f>IF('Dev Schedule 2025-26'!B19="","",'Dev Schedule 2025-26'!B19)</f>
        <v>Bingtrip</v>
      </c>
      <c r="D19" s="396" t="str">
        <f t="shared" si="0"/>
        <v>→ OMH API 제공 (고객사가 OMH API 호출)</v>
      </c>
      <c r="E19" s="413"/>
      <c r="F19" s="412" t="str">
        <f>IF('Dev Schedule 2025-26'!G19="","",'Dev Schedule 2025-26'!G19)</f>
        <v>🟢 Minimal (5-10%)</v>
      </c>
      <c r="G19" s="412" t="str">
        <f>IF('Dev Schedule 2025-26'!E19="","",'Dev Schedule 2025-26'!E19)</f>
        <v>Bingtrip</v>
      </c>
      <c r="H19" s="412" t="str">
        <f>IF('Dev Schedule 2025-26'!C19="","",'Dev Schedule 2025-26'!C19)</f>
        <v>GSM</v>
      </c>
      <c r="I19" s="412" t="str">
        <f>IF('Dev Schedule 2025-26'!D19="","",'Dev Schedule 2025-26'!D19)</f>
        <v>Grace</v>
      </c>
      <c r="J19" s="412" t="str">
        <f>IF('Dev Schedule 2025-26'!H19="","",'Dev Schedule 2025-26'!H19)</f>
        <v>Live</v>
      </c>
      <c r="K19" s="412" t="str">
        <f>IF('Dev Schedule 2025-26'!I19="","",'Dev Schedule 2025-26'!I19)</f>
        <v>Mar-26</v>
      </c>
      <c r="L19" s="414" t="str">
        <f>IF('Dev Schedule 2025-26'!J19="","",'Dev Schedule 2025-26'!J19)</f>
        <v>Apr-26</v>
      </c>
      <c r="M19" s="400" t="s">
        <v>1481</v>
      </c>
      <c r="N19" s="399" cm="1">
        <f t="array" ref="N19">IF($C19="","",IFERROR(SUMPRODUCT(MAX(($U19:$AF19&lt;&gt;"")*$AL$3:$AW$3)),0))</f>
        <v>0.45</v>
      </c>
      <c r="O19" s="411" t="str">
        <f t="shared" si="1"/>
        <v>█████░░░░░</v>
      </c>
      <c r="P19" s="396" t="str">
        <f t="shared" si="2"/>
        <v>⑤ 개발 착수 예정 (45%)</v>
      </c>
      <c r="Q19" s="396" t="str" cm="1">
        <f t="array" ref="Q19">IF($C19="","",IF($N19&gt;=1,"— 완료",INDEX($U$3:$AF$3,IF($N19=0,1,MATCH($N19,$AL$3:$AW$3,0)+1))))</f>
        <v>⑥ 개발 착수/SPEC·DEV Key (50%)</v>
      </c>
      <c r="R19" s="406">
        <f t="shared" si="3"/>
        <v>46054</v>
      </c>
      <c r="S19" s="401">
        <f t="shared" ca="1" si="4"/>
        <v>195</v>
      </c>
      <c r="T19" s="403" t="str">
        <f t="shared" ca="1" si="5"/>
        <v>90일+ 정지</v>
      </c>
      <c r="U19" s="402">
        <v>45995</v>
      </c>
      <c r="V19" s="398">
        <v>46006</v>
      </c>
      <c r="W19" s="398"/>
      <c r="X19" s="398"/>
      <c r="Y19" s="398">
        <v>46054</v>
      </c>
      <c r="Z19" s="398"/>
      <c r="AA19" s="398"/>
      <c r="AB19" s="398"/>
      <c r="AC19" s="398"/>
      <c r="AD19" s="398"/>
      <c r="AE19" s="404"/>
      <c r="AF19" s="405"/>
      <c r="AG19" s="402"/>
      <c r="AH19" s="397"/>
      <c r="AI19" s="397"/>
      <c r="AJ19" s="407"/>
      <c r="AK19" s="408" t="str">
        <f t="shared" si="6"/>
        <v>Status=Live / 날짜 미완료</v>
      </c>
      <c r="AM19" s="409" t="s">
        <v>2510</v>
      </c>
      <c r="AN19" s="410">
        <f>COUNTIFS($C$4:$C$82,"&lt;&gt;",$E$4:$E$82,"")</f>
        <v>79</v>
      </c>
    </row>
    <row r="20" spans="1:40" ht="15.75" customHeight="1">
      <c r="A20" s="395">
        <f>IF($C20="","",COUNTA($C$4:$C20))</f>
        <v>17</v>
      </c>
      <c r="B20" s="412" t="str">
        <f>IF('Dev Schedule 2025-26'!A20&lt;&gt;"",'Dev Schedule 2025-26'!A20,B19)</f>
        <v>Channel API</v>
      </c>
      <c r="C20" s="412" t="str">
        <f>IF('Dev Schedule 2025-26'!B20="","",'Dev Schedule 2025-26'!B20)</f>
        <v>Klook</v>
      </c>
      <c r="D20" s="396" t="str">
        <f t="shared" si="0"/>
        <v>→ OMH API 제공 (고객사가 OMH API 호출)</v>
      </c>
      <c r="E20" s="413"/>
      <c r="F20" s="412" t="str">
        <f>IF('Dev Schedule 2025-26'!G20="","",'Dev Schedule 2025-26'!G20)</f>
        <v>🔴 Full (100%)</v>
      </c>
      <c r="G20" s="412" t="str">
        <f>IF('Dev Schedule 2025-26'!E20="","",'Dev Schedule 2025-26'!E20)</f>
        <v>OHMY</v>
      </c>
      <c r="H20" s="412" t="str">
        <f>IF('Dev Schedule 2025-26'!C20="","",'Dev Schedule 2025-26'!C20)</f>
        <v>GSM</v>
      </c>
      <c r="I20" s="412" t="str">
        <f>IF('Dev Schedule 2025-26'!D20="","",'Dev Schedule 2025-26'!D20)</f>
        <v>Grace</v>
      </c>
      <c r="J20" s="412" t="str">
        <f>IF('Dev Schedule 2025-26'!H20="","",'Dev Schedule 2025-26'!H20)</f>
        <v>Testing</v>
      </c>
      <c r="K20" s="412" t="str">
        <f>IF('Dev Schedule 2025-26'!I20="","",'Dev Schedule 2025-26'!I20)</f>
        <v>Nov-25</v>
      </c>
      <c r="L20" s="414" t="str">
        <f>IF('Dev Schedule 2025-26'!J20="","",'Dev Schedule 2025-26'!J20)</f>
        <v>Aug-2026</v>
      </c>
      <c r="M20" s="400" t="s">
        <v>751</v>
      </c>
      <c r="N20" s="399" cm="1">
        <f t="array" ref="N20">IF($C20="","",IFERROR(SUMPRODUCT(MAX(($U20:$AF20&lt;&gt;"")*$AL$3:$AW$3)),0))</f>
        <v>0.5</v>
      </c>
      <c r="O20" s="411" t="str">
        <f t="shared" si="1"/>
        <v>█████░░░░░</v>
      </c>
      <c r="P20" s="396" t="str">
        <f t="shared" si="2"/>
        <v>⑥ 개발 착수/SPEC·DEV Key (50%)</v>
      </c>
      <c r="Q20" s="396" t="str" cm="1">
        <f t="array" ref="Q20">IF($C20="","",IF($N20&gt;=1,"— 완료",INDEX($U$3:$AF$3,IF($N20=0,1,MATCH($N20,$AL$3:$AW$3,0)+1))))</f>
        <v>⑦ Certification (60%)</v>
      </c>
      <c r="R20" s="406">
        <f t="shared" si="3"/>
        <v>45962</v>
      </c>
      <c r="S20" s="401">
        <f t="shared" ca="1" si="4"/>
        <v>287</v>
      </c>
      <c r="T20" s="403" t="str">
        <f t="shared" ca="1" si="5"/>
        <v>90일+ 정지</v>
      </c>
      <c r="U20" s="402">
        <v>45855</v>
      </c>
      <c r="V20" s="398"/>
      <c r="W20" s="398"/>
      <c r="X20" s="398"/>
      <c r="Y20" s="398">
        <v>45962</v>
      </c>
      <c r="Z20" s="398">
        <v>45962</v>
      </c>
      <c r="AA20" s="398"/>
      <c r="AB20" s="398"/>
      <c r="AC20" s="398"/>
      <c r="AD20" s="398"/>
      <c r="AE20" s="404"/>
      <c r="AF20" s="405"/>
      <c r="AG20" s="402"/>
      <c r="AH20" s="397"/>
      <c r="AI20" s="397"/>
      <c r="AJ20" s="407"/>
      <c r="AK20" s="408" t="str">
        <f t="shared" si="6"/>
        <v>OK</v>
      </c>
    </row>
    <row r="21" spans="1:40" ht="15.75" customHeight="1">
      <c r="A21" s="395">
        <f>IF($C21="","",COUNTA($C$4:$C21))</f>
        <v>18</v>
      </c>
      <c r="B21" s="412" t="str">
        <f>IF('Dev Schedule 2025-26'!A21&lt;&gt;"",'Dev Schedule 2025-26'!A21,B20)</f>
        <v>Channel API</v>
      </c>
      <c r="C21" s="412" t="str">
        <f>IF('Dev Schedule 2025-26'!B21="","",'Dev Schedule 2025-26'!B21)</f>
        <v>GGT (Go Global)</v>
      </c>
      <c r="D21" s="396" t="str">
        <f t="shared" si="0"/>
        <v>→ OMH API 제공 (고객사가 OMH API 호출)</v>
      </c>
      <c r="E21" s="413"/>
      <c r="F21" s="412" t="str">
        <f>IF('Dev Schedule 2025-26'!G21="","",'Dev Schedule 2025-26'!G21)</f>
        <v>🔴 Full (100%)</v>
      </c>
      <c r="G21" s="412" t="str">
        <f>IF('Dev Schedule 2025-26'!E21="","",'Dev Schedule 2025-26'!E21)</f>
        <v>OHMY</v>
      </c>
      <c r="H21" s="412" t="str">
        <f>IF('Dev Schedule 2025-26'!C21="","",'Dev Schedule 2025-26'!C21)</f>
        <v>GSM</v>
      </c>
      <c r="I21" s="412" t="str">
        <f>IF('Dev Schedule 2025-26'!D21="","",'Dev Schedule 2025-26'!D21)</f>
        <v xml:space="preserve"> Aiden</v>
      </c>
      <c r="J21" s="412" t="str">
        <f>IF('Dev Schedule 2025-26'!H21="","",'Dev Schedule 2025-26'!H21)</f>
        <v>In Development</v>
      </c>
      <c r="K21" s="412" t="str">
        <f>IF('Dev Schedule 2025-26'!I21="","",'Dev Schedule 2025-26'!I21)</f>
        <v>Feb-26</v>
      </c>
      <c r="L21" s="414" t="str">
        <f>IF('Dev Schedule 2025-26'!J21="","",'Dev Schedule 2025-26'!J21)</f>
        <v>Aug-26</v>
      </c>
      <c r="M21" s="400"/>
      <c r="N21" s="399" cm="1">
        <f t="array" ref="N21">IF($C21="","",IFERROR(SUMPRODUCT(MAX(($U21:$AF21&lt;&gt;"")*$AL$3:$AW$3)),0))</f>
        <v>0</v>
      </c>
      <c r="O21" s="411" t="str">
        <f t="shared" si="1"/>
        <v>░░░░░░░░░░</v>
      </c>
      <c r="P21" s="396" t="str">
        <f t="shared" si="2"/>
        <v>미추적 (날짜 기록 없음)</v>
      </c>
      <c r="Q21" s="396" t="str" cm="1">
        <f t="array" ref="Q21">IF($C21="","",IF($N21&gt;=1,"— 완료",INDEX($U$3:$AF$3,IF($N21=0,1,MATCH($N21,$AL$3:$AW$3,0)+1))))</f>
        <v>① 미팅/1st Contact (10%)</v>
      </c>
      <c r="R21" s="406" t="str">
        <f t="shared" si="3"/>
        <v/>
      </c>
      <c r="S21" s="401" t="str">
        <f t="shared" ca="1" si="4"/>
        <v/>
      </c>
      <c r="T21" s="403" t="str">
        <f t="shared" si="5"/>
        <v>기록 없음</v>
      </c>
      <c r="U21" s="402"/>
      <c r="V21" s="398"/>
      <c r="W21" s="398"/>
      <c r="X21" s="398"/>
      <c r="Y21" s="398"/>
      <c r="Z21" s="398"/>
      <c r="AA21" s="398"/>
      <c r="AB21" s="398"/>
      <c r="AC21" s="398"/>
      <c r="AD21" s="398"/>
      <c r="AE21" s="404"/>
      <c r="AF21" s="405"/>
      <c r="AG21" s="402"/>
      <c r="AH21" s="397"/>
      <c r="AI21" s="397"/>
      <c r="AJ21" s="407"/>
      <c r="AK21" s="408" t="str">
        <f t="shared" si="6"/>
        <v>개발중 / 착수 날짜 없음</v>
      </c>
      <c r="AM21" s="437" t="s">
        <v>2511</v>
      </c>
      <c r="AN21" s="588"/>
    </row>
    <row r="22" spans="1:40" ht="15.75" customHeight="1">
      <c r="A22" s="395">
        <f>IF($C22="","",COUNTA($C$4:$C22))</f>
        <v>19</v>
      </c>
      <c r="B22" s="412" t="str">
        <f>IF('Dev Schedule 2025-26'!A22&lt;&gt;"",'Dev Schedule 2025-26'!A22,B21)</f>
        <v>Channel API</v>
      </c>
      <c r="C22" s="412" t="str">
        <f>IF('Dev Schedule 2025-26'!B22="","",'Dev Schedule 2025-26'!B22)</f>
        <v>KAKAO</v>
      </c>
      <c r="D22" s="396" t="str">
        <f t="shared" si="0"/>
        <v>→ OMH API 제공 (고객사가 OMH API 호출)</v>
      </c>
      <c r="E22" s="413"/>
      <c r="F22" s="412" t="str">
        <f>IF('Dev Schedule 2025-26'!G22="","",'Dev Schedule 2025-26'!G22)</f>
        <v>🔴 Full (100%)</v>
      </c>
      <c r="G22" s="412" t="str">
        <f>IF('Dev Schedule 2025-26'!E22="","",'Dev Schedule 2025-26'!E22)</f>
        <v>OHMY</v>
      </c>
      <c r="H22" s="412" t="str">
        <f>IF('Dev Schedule 2025-26'!C22="","",'Dev Schedule 2025-26'!C22)</f>
        <v>GSM</v>
      </c>
      <c r="I22" s="412" t="str">
        <f>IF('Dev Schedule 2025-26'!D22="","",'Dev Schedule 2025-26'!D22)</f>
        <v>Jane</v>
      </c>
      <c r="J22" s="412" t="str">
        <f>IF('Dev Schedule 2025-26'!H22="","",'Dev Schedule 2025-26'!H22)</f>
        <v>Contact</v>
      </c>
      <c r="K22" s="412" t="str">
        <f>IF('Dev Schedule 2025-26'!I22="","",'Dev Schedule 2025-26'!I22)</f>
        <v>Aug-2026</v>
      </c>
      <c r="L22" s="414" t="str">
        <f>IF('Dev Schedule 2025-26'!J22="","",'Dev Schedule 2025-26'!J22)</f>
        <v>Nov-26</v>
      </c>
      <c r="M22" s="400" t="s">
        <v>450</v>
      </c>
      <c r="N22" s="399" cm="1">
        <f t="array" ref="N22">IF($C22="","",IFERROR(SUMPRODUCT(MAX(($U22:$AF22&lt;&gt;"")*$AL$3:$AW$3)),0))</f>
        <v>0</v>
      </c>
      <c r="O22" s="411" t="str">
        <f t="shared" si="1"/>
        <v>░░░░░░░░░░</v>
      </c>
      <c r="P22" s="396" t="str">
        <f t="shared" si="2"/>
        <v>미추적 (날짜 기록 없음)</v>
      </c>
      <c r="Q22" s="396" t="str" cm="1">
        <f t="array" ref="Q22">IF($C22="","",IF($N22&gt;=1,"— 완료",INDEX($U$3:$AF$3,IF($N22=0,1,MATCH($N22,$AL$3:$AW$3,0)+1))))</f>
        <v>① 미팅/1st Contact (10%)</v>
      </c>
      <c r="R22" s="406" t="str">
        <f t="shared" si="3"/>
        <v/>
      </c>
      <c r="S22" s="401" t="str">
        <f t="shared" ca="1" si="4"/>
        <v/>
      </c>
      <c r="T22" s="403" t="str">
        <f t="shared" si="5"/>
        <v>기록 없음</v>
      </c>
      <c r="U22" s="402"/>
      <c r="V22" s="398"/>
      <c r="W22" s="398"/>
      <c r="X22" s="398"/>
      <c r="Y22" s="398"/>
      <c r="Z22" s="398"/>
      <c r="AA22" s="398"/>
      <c r="AB22" s="398"/>
      <c r="AC22" s="398"/>
      <c r="AD22" s="398"/>
      <c r="AE22" s="404"/>
      <c r="AF22" s="405"/>
      <c r="AG22" s="402"/>
      <c r="AH22" s="397"/>
      <c r="AI22" s="397"/>
      <c r="AJ22" s="407"/>
      <c r="AK22" s="408" t="str">
        <f t="shared" si="6"/>
        <v>OK</v>
      </c>
      <c r="AM22" s="435" t="s">
        <v>2512</v>
      </c>
      <c r="AN22" s="435"/>
    </row>
    <row r="23" spans="1:40" ht="15.75" customHeight="1">
      <c r="A23" s="395">
        <f>IF($C23="","",COUNTA($C$4:$C23))</f>
        <v>20</v>
      </c>
      <c r="B23" s="412" t="str">
        <f>IF('Dev Schedule 2025-26'!A23&lt;&gt;"",'Dev Schedule 2025-26'!A23,B22)</f>
        <v>Channel API</v>
      </c>
      <c r="C23" s="412" t="str">
        <f>IF('Dev Schedule 2025-26'!B23="","",'Dev Schedule 2025-26'!B23)</f>
        <v>TBO</v>
      </c>
      <c r="D23" s="396" t="str">
        <f t="shared" si="0"/>
        <v>→ OMH API 제공 (고객사가 OMH API 호출)</v>
      </c>
      <c r="E23" s="413"/>
      <c r="F23" s="412" t="str">
        <f>IF('Dev Schedule 2025-26'!G23="","",'Dev Schedule 2025-26'!G23)</f>
        <v>🔴 Full (100%)</v>
      </c>
      <c r="G23" s="412" t="str">
        <f>IF('Dev Schedule 2025-26'!E23="","",'Dev Schedule 2025-26'!E23)</f>
        <v>OHMY</v>
      </c>
      <c r="H23" s="412" t="str">
        <f>IF('Dev Schedule 2025-26'!C23="","",'Dev Schedule 2025-26'!C23)</f>
        <v>GSM</v>
      </c>
      <c r="I23" s="412" t="str">
        <f>IF('Dev Schedule 2025-26'!D23="","",'Dev Schedule 2025-26'!D23)</f>
        <v>Brian</v>
      </c>
      <c r="J23" s="412" t="str">
        <f>IF('Dev Schedule 2025-26'!H23="","",'Dev Schedule 2025-26'!H23)</f>
        <v>NDA/Contract</v>
      </c>
      <c r="K23" s="412" t="str">
        <f>IF('Dev Schedule 2025-26'!I23="","",'Dev Schedule 2025-26'!I23)</f>
        <v>Feb-26</v>
      </c>
      <c r="L23" s="414" t="str">
        <f>IF('Dev Schedule 2025-26'!J23="","",'Dev Schedule 2025-26'!J23)</f>
        <v>Jul-26</v>
      </c>
      <c r="M23" s="400" t="s">
        <v>719</v>
      </c>
      <c r="N23" s="399" cm="1">
        <f t="array" ref="N23">IF($C23="","",IFERROR(SUMPRODUCT(MAX(($U23:$AF23&lt;&gt;"")*$AL$3:$AW$3)),0))</f>
        <v>0.1</v>
      </c>
      <c r="O23" s="411" t="str">
        <f t="shared" si="1"/>
        <v>█░░░░░░░░░</v>
      </c>
      <c r="P23" s="396" t="str">
        <f t="shared" si="2"/>
        <v>① 미팅/1st Contact (10%)</v>
      </c>
      <c r="Q23" s="396" t="str" cm="1">
        <f t="array" ref="Q23">IF($C23="","",IF($N23&gt;=1,"— 완료",INDEX($U$3:$AF$3,IF($N23=0,1,MATCH($N23,$AL$3:$AW$3,0)+1))))</f>
        <v>② NDA 체결 (20%)</v>
      </c>
      <c r="R23" s="406">
        <f t="shared" si="3"/>
        <v>45897</v>
      </c>
      <c r="S23" s="401">
        <f t="shared" ca="1" si="4"/>
        <v>352</v>
      </c>
      <c r="T23" s="403" t="str">
        <f t="shared" ca="1" si="5"/>
        <v>90일+ 정지</v>
      </c>
      <c r="U23" s="402">
        <v>45897</v>
      </c>
      <c r="V23" s="398"/>
      <c r="W23" s="398"/>
      <c r="X23" s="398"/>
      <c r="Y23" s="398"/>
      <c r="Z23" s="398"/>
      <c r="AA23" s="398"/>
      <c r="AB23" s="398"/>
      <c r="AC23" s="398"/>
      <c r="AD23" s="398"/>
      <c r="AE23" s="404"/>
      <c r="AF23" s="405"/>
      <c r="AG23" s="402"/>
      <c r="AH23" s="397"/>
      <c r="AI23" s="397"/>
      <c r="AJ23" s="407"/>
      <c r="AK23" s="408" t="str">
        <f t="shared" si="6"/>
        <v>OK</v>
      </c>
      <c r="AM23" s="435" t="s">
        <v>2513</v>
      </c>
      <c r="AN23" s="435"/>
    </row>
    <row r="24" spans="1:40" ht="15.75" customHeight="1">
      <c r="A24" s="395">
        <f>IF($C24="","",COUNTA($C$4:$C24))</f>
        <v>21</v>
      </c>
      <c r="B24" s="412" t="str">
        <f>IF('Dev Schedule 2025-26'!A24&lt;&gt;"",'Dev Schedule 2025-26'!A24,B23)</f>
        <v>Channel API</v>
      </c>
      <c r="C24" s="412" t="str">
        <f>IF('Dev Schedule 2025-26'!B24="","",'Dev Schedule 2025-26'!B24)</f>
        <v>RateHawk</v>
      </c>
      <c r="D24" s="396" t="str">
        <f t="shared" si="0"/>
        <v>→ OMH API 제공 (고객사가 OMH API 호출)</v>
      </c>
      <c r="E24" s="413"/>
      <c r="F24" s="412" t="str">
        <f>IF('Dev Schedule 2025-26'!G24="","",'Dev Schedule 2025-26'!G24)</f>
        <v>🔴 Full (100%)</v>
      </c>
      <c r="G24" s="412" t="str">
        <f>IF('Dev Schedule 2025-26'!E24="","",'Dev Schedule 2025-26'!E24)</f>
        <v>OHMY</v>
      </c>
      <c r="H24" s="412" t="str">
        <f>IF('Dev Schedule 2025-26'!C24="","",'Dev Schedule 2025-26'!C24)</f>
        <v>GSM</v>
      </c>
      <c r="I24" s="412" t="str">
        <f>IF('Dev Schedule 2025-26'!D24="","",'Dev Schedule 2025-26'!D24)</f>
        <v>Bryant</v>
      </c>
      <c r="J24" s="412" t="str">
        <f>IF('Dev Schedule 2025-26'!H24="","",'Dev Schedule 2025-26'!H24)</f>
        <v>NDA/Contract</v>
      </c>
      <c r="K24" s="412" t="str">
        <f>IF('Dev Schedule 2025-26'!I24="","",'Dev Schedule 2025-26'!I24)</f>
        <v>Aug-2026</v>
      </c>
      <c r="L24" s="414" t="str">
        <f>IF('Dev Schedule 2025-26'!J24="","",'Dev Schedule 2025-26'!J24)</f>
        <v>Oct-2026</v>
      </c>
      <c r="M24" s="400" t="s">
        <v>708</v>
      </c>
      <c r="N24" s="399" cm="1">
        <f t="array" ref="N24">IF($C24="","",IFERROR(SUMPRODUCT(MAX(($U24:$AF24&lt;&gt;"")*$AL$3:$AW$3)),0))</f>
        <v>0.1</v>
      </c>
      <c r="O24" s="411" t="str">
        <f t="shared" si="1"/>
        <v>█░░░░░░░░░</v>
      </c>
      <c r="P24" s="396" t="str">
        <f t="shared" si="2"/>
        <v>① 미팅/1st Contact (10%)</v>
      </c>
      <c r="Q24" s="396" t="str" cm="1">
        <f t="array" ref="Q24">IF($C24="","",IF($N24&gt;=1,"— 완료",INDEX($U$3:$AF$3,IF($N24=0,1,MATCH($N24,$AL$3:$AW$3,0)+1))))</f>
        <v>② NDA 체결 (20%)</v>
      </c>
      <c r="R24" s="406">
        <f t="shared" si="3"/>
        <v>45924</v>
      </c>
      <c r="S24" s="401">
        <f t="shared" ca="1" si="4"/>
        <v>325</v>
      </c>
      <c r="T24" s="403" t="str">
        <f t="shared" ca="1" si="5"/>
        <v>90일+ 정지</v>
      </c>
      <c r="U24" s="402">
        <v>45924</v>
      </c>
      <c r="V24" s="398"/>
      <c r="W24" s="398"/>
      <c r="X24" s="398"/>
      <c r="Y24" s="398"/>
      <c r="Z24" s="398"/>
      <c r="AA24" s="398"/>
      <c r="AB24" s="398"/>
      <c r="AC24" s="398"/>
      <c r="AD24" s="398"/>
      <c r="AE24" s="404"/>
      <c r="AF24" s="405"/>
      <c r="AG24" s="402"/>
      <c r="AH24" s="397"/>
      <c r="AI24" s="397"/>
      <c r="AJ24" s="407"/>
      <c r="AK24" s="408" t="str">
        <f t="shared" si="6"/>
        <v>OK</v>
      </c>
      <c r="AM24" s="435" t="s">
        <v>2514</v>
      </c>
      <c r="AN24" s="435"/>
    </row>
    <row r="25" spans="1:40" ht="15.75" customHeight="1">
      <c r="A25" s="395">
        <f>IF($C25="","",COUNTA($C$4:$C25))</f>
        <v>22</v>
      </c>
      <c r="B25" s="412" t="str">
        <f>IF('Dev Schedule 2025-26'!A25&lt;&gt;"",'Dev Schedule 2025-26'!A25,B24)</f>
        <v>Channel API</v>
      </c>
      <c r="C25" s="412" t="str">
        <f>IF('Dev Schedule 2025-26'!B25="","",'Dev Schedule 2025-26'!B25)</f>
        <v>Luxury Tours</v>
      </c>
      <c r="D25" s="396" t="str">
        <f t="shared" si="0"/>
        <v>→ OMH API 제공 (고객사가 OMH API 호출)</v>
      </c>
      <c r="E25" s="413"/>
      <c r="F25" s="412" t="str">
        <f>IF('Dev Schedule 2025-26'!G25="","",'Dev Schedule 2025-26'!G25)</f>
        <v>🟢 Minimal (5-10%)</v>
      </c>
      <c r="G25" s="412" t="str">
        <f>IF('Dev Schedule 2025-26'!E25="","",'Dev Schedule 2025-26'!E25)</f>
        <v>OHMY</v>
      </c>
      <c r="H25" s="412" t="str">
        <f>IF('Dev Schedule 2025-26'!C25="","",'Dev Schedule 2025-26'!C25)</f>
        <v>GSM</v>
      </c>
      <c r="I25" s="412" t="str">
        <f>IF('Dev Schedule 2025-26'!D25="","",'Dev Schedule 2025-26'!D25)</f>
        <v>Bryant</v>
      </c>
      <c r="J25" s="412" t="str">
        <f>IF('Dev Schedule 2025-26'!H25="","",'Dev Schedule 2025-26'!H25)</f>
        <v>NDA/Contract</v>
      </c>
      <c r="K25" s="412" t="str">
        <f>IF('Dev Schedule 2025-26'!I25="","",'Dev Schedule 2025-26'!I25)</f>
        <v>Aug-2026</v>
      </c>
      <c r="L25" s="414" t="str">
        <f>IF('Dev Schedule 2025-26'!J25="","",'Dev Schedule 2025-26'!J25)</f>
        <v>Oct-2026</v>
      </c>
      <c r="M25" s="400" t="s">
        <v>2102</v>
      </c>
      <c r="N25" s="399" cm="1">
        <f t="array" ref="N25">IF($C25="","",IFERROR(SUMPRODUCT(MAX(($U25:$AF25&lt;&gt;"")*$AL$3:$AW$3)),0))</f>
        <v>0</v>
      </c>
      <c r="O25" s="411" t="str">
        <f t="shared" si="1"/>
        <v>░░░░░░░░░░</v>
      </c>
      <c r="P25" s="396" t="str">
        <f t="shared" si="2"/>
        <v>미추적 (날짜 기록 없음)</v>
      </c>
      <c r="Q25" s="396" t="str" cm="1">
        <f t="array" ref="Q25">IF($C25="","",IF($N25&gt;=1,"— 완료",INDEX($U$3:$AF$3,IF($N25=0,1,MATCH($N25,$AL$3:$AW$3,0)+1))))</f>
        <v>① 미팅/1st Contact (10%)</v>
      </c>
      <c r="R25" s="406" t="str">
        <f t="shared" si="3"/>
        <v/>
      </c>
      <c r="S25" s="401" t="str">
        <f t="shared" ca="1" si="4"/>
        <v/>
      </c>
      <c r="T25" s="403" t="str">
        <f t="shared" si="5"/>
        <v>기록 없음</v>
      </c>
      <c r="U25" s="402"/>
      <c r="V25" s="398"/>
      <c r="W25" s="398"/>
      <c r="X25" s="398"/>
      <c r="Y25" s="398"/>
      <c r="Z25" s="398"/>
      <c r="AA25" s="398"/>
      <c r="AB25" s="398"/>
      <c r="AC25" s="398"/>
      <c r="AD25" s="398"/>
      <c r="AE25" s="404"/>
      <c r="AF25" s="405"/>
      <c r="AG25" s="402"/>
      <c r="AH25" s="397"/>
      <c r="AI25" s="397"/>
      <c r="AJ25" s="407"/>
      <c r="AK25" s="408" t="str">
        <f t="shared" si="6"/>
        <v>OK</v>
      </c>
      <c r="AM25" s="435" t="s">
        <v>2515</v>
      </c>
      <c r="AN25" s="435"/>
    </row>
    <row r="26" spans="1:40" ht="15.75" customHeight="1">
      <c r="A26" s="395">
        <f>IF($C26="","",COUNTA($C$4:$C26))</f>
        <v>23</v>
      </c>
      <c r="B26" s="412" t="str">
        <f>IF('Dev Schedule 2025-26'!A26&lt;&gt;"",'Dev Schedule 2025-26'!A26,B25)</f>
        <v>Channel API</v>
      </c>
      <c r="C26" s="412" t="str">
        <f>IF('Dev Schedule 2025-26'!B26="","",'Dev Schedule 2025-26'!B26)</f>
        <v>Travelata</v>
      </c>
      <c r="D26" s="396" t="str">
        <f t="shared" si="0"/>
        <v>→ OMH API 제공 (고객사가 OMH API 호출)</v>
      </c>
      <c r="E26" s="413"/>
      <c r="F26" s="412" t="str">
        <f>IF('Dev Schedule 2025-26'!G26="","",'Dev Schedule 2025-26'!G26)</f>
        <v>🟢 Minimal (5-11%)</v>
      </c>
      <c r="G26" s="412" t="str">
        <f>IF('Dev Schedule 2025-26'!E26="","",'Dev Schedule 2025-26'!E26)</f>
        <v>Travelata</v>
      </c>
      <c r="H26" s="412" t="str">
        <f>IF('Dev Schedule 2025-26'!C26="","",'Dev Schedule 2025-26'!C26)</f>
        <v>GSM</v>
      </c>
      <c r="I26" s="412" t="str">
        <f>IF('Dev Schedule 2025-26'!D26="","",'Dev Schedule 2025-26'!D26)</f>
        <v>Bryant</v>
      </c>
      <c r="J26" s="412" t="str">
        <f>IF('Dev Schedule 2025-26'!H26="","",'Dev Schedule 2025-26'!H26)</f>
        <v>NDA/Contract</v>
      </c>
      <c r="K26" s="412" t="str">
        <f>IF('Dev Schedule 2025-26'!I26="","",'Dev Schedule 2025-26'!I26)</f>
        <v>Aug-2026</v>
      </c>
      <c r="L26" s="414" t="str">
        <f>IF('Dev Schedule 2025-26'!J26="","",'Dev Schedule 2025-26'!J26)</f>
        <v>Oct-2026</v>
      </c>
      <c r="M26" s="400" t="s">
        <v>1498</v>
      </c>
      <c r="N26" s="399" cm="1">
        <f t="array" ref="N26">IF($C26="","",IFERROR(SUMPRODUCT(MAX(($U26:$AF26&lt;&gt;"")*$AL$3:$AW$3)),0))</f>
        <v>0</v>
      </c>
      <c r="O26" s="411" t="str">
        <f t="shared" si="1"/>
        <v>░░░░░░░░░░</v>
      </c>
      <c r="P26" s="396" t="str">
        <f t="shared" si="2"/>
        <v>미추적 (날짜 기록 없음)</v>
      </c>
      <c r="Q26" s="396" t="str" cm="1">
        <f t="array" ref="Q26">IF($C26="","",IF($N26&gt;=1,"— 완료",INDEX($U$3:$AF$3,IF($N26=0,1,MATCH($N26,$AL$3:$AW$3,0)+1))))</f>
        <v>① 미팅/1st Contact (10%)</v>
      </c>
      <c r="R26" s="406" t="str">
        <f t="shared" si="3"/>
        <v/>
      </c>
      <c r="S26" s="401" t="str">
        <f t="shared" ca="1" si="4"/>
        <v/>
      </c>
      <c r="T26" s="403" t="str">
        <f t="shared" si="5"/>
        <v>기록 없음</v>
      </c>
      <c r="U26" s="402"/>
      <c r="V26" s="398"/>
      <c r="W26" s="398"/>
      <c r="X26" s="398"/>
      <c r="Y26" s="398"/>
      <c r="Z26" s="398"/>
      <c r="AA26" s="398"/>
      <c r="AB26" s="398"/>
      <c r="AC26" s="398"/>
      <c r="AD26" s="398"/>
      <c r="AE26" s="404"/>
      <c r="AF26" s="405"/>
      <c r="AG26" s="402"/>
      <c r="AH26" s="397"/>
      <c r="AI26" s="397"/>
      <c r="AJ26" s="407"/>
      <c r="AK26" s="408" t="str">
        <f t="shared" si="6"/>
        <v>OK</v>
      </c>
      <c r="AM26" s="435" t="s">
        <v>2516</v>
      </c>
      <c r="AN26" s="435"/>
    </row>
    <row r="27" spans="1:40" ht="15.75" customHeight="1">
      <c r="A27" s="395">
        <f>IF($C27="","",COUNTA($C$4:$C27))</f>
        <v>24</v>
      </c>
      <c r="B27" s="412" t="str">
        <f>IF('Dev Schedule 2025-26'!A27&lt;&gt;"",'Dev Schedule 2025-26'!A27,B26)</f>
        <v>Channel API</v>
      </c>
      <c r="C27" s="412" t="str">
        <f>IF('Dev Schedule 2025-26'!B27="","",'Dev Schedule 2025-26'!B27)</f>
        <v>Roomforless</v>
      </c>
      <c r="D27" s="396" t="str">
        <f t="shared" si="0"/>
        <v>→ OMH API 제공 (고객사가 OMH API 호출)</v>
      </c>
      <c r="E27" s="413"/>
      <c r="F27" s="412" t="str">
        <f>IF('Dev Schedule 2025-26'!G27="","",'Dev Schedule 2025-26'!G27)</f>
        <v>🟢 Minimal (5-12%)</v>
      </c>
      <c r="G27" s="412" t="str">
        <f>IF('Dev Schedule 2025-26'!E27="","",'Dev Schedule 2025-26'!E27)</f>
        <v>OHMY</v>
      </c>
      <c r="H27" s="412" t="str">
        <f>IF('Dev Schedule 2025-26'!C27="","",'Dev Schedule 2025-26'!C27)</f>
        <v>GSM</v>
      </c>
      <c r="I27" s="412" t="str">
        <f>IF('Dev Schedule 2025-26'!D27="","",'Dev Schedule 2025-26'!D27)</f>
        <v>Bryant</v>
      </c>
      <c r="J27" s="412" t="str">
        <f>IF('Dev Schedule 2025-26'!H27="","",'Dev Schedule 2025-26'!H27)</f>
        <v>NDA/Contract</v>
      </c>
      <c r="K27" s="412" t="str">
        <f>IF('Dev Schedule 2025-26'!I27="","",'Dev Schedule 2025-26'!I27)</f>
        <v>Aug-2026</v>
      </c>
      <c r="L27" s="414" t="str">
        <f>IF('Dev Schedule 2025-26'!J27="","",'Dev Schedule 2025-26'!J27)</f>
        <v>Nov-2026</v>
      </c>
      <c r="M27" s="400" t="s">
        <v>2217</v>
      </c>
      <c r="N27" s="399" cm="1">
        <f t="array" ref="N27">IF($C27="","",IFERROR(SUMPRODUCT(MAX(($U27:$AF27&lt;&gt;"")*$AL$3:$AW$3)),0))</f>
        <v>0</v>
      </c>
      <c r="O27" s="411" t="str">
        <f t="shared" si="1"/>
        <v>░░░░░░░░░░</v>
      </c>
      <c r="P27" s="396" t="str">
        <f t="shared" si="2"/>
        <v>미추적 (날짜 기록 없음)</v>
      </c>
      <c r="Q27" s="396" t="str" cm="1">
        <f t="array" ref="Q27">IF($C27="","",IF($N27&gt;=1,"— 완료",INDEX($U$3:$AF$3,IF($N27=0,1,MATCH($N27,$AL$3:$AW$3,0)+1))))</f>
        <v>① 미팅/1st Contact (10%)</v>
      </c>
      <c r="R27" s="406" t="str">
        <f t="shared" si="3"/>
        <v/>
      </c>
      <c r="S27" s="401" t="str">
        <f t="shared" ca="1" si="4"/>
        <v/>
      </c>
      <c r="T27" s="403" t="str">
        <f t="shared" si="5"/>
        <v>기록 없음</v>
      </c>
      <c r="U27" s="402"/>
      <c r="V27" s="398"/>
      <c r="W27" s="398"/>
      <c r="X27" s="398"/>
      <c r="Y27" s="398"/>
      <c r="Z27" s="398"/>
      <c r="AA27" s="398"/>
      <c r="AB27" s="398"/>
      <c r="AC27" s="398"/>
      <c r="AD27" s="398"/>
      <c r="AE27" s="404"/>
      <c r="AF27" s="405"/>
      <c r="AG27" s="402"/>
      <c r="AH27" s="397"/>
      <c r="AI27" s="397"/>
      <c r="AJ27" s="407"/>
      <c r="AK27" s="408" t="str">
        <f t="shared" si="6"/>
        <v>OK</v>
      </c>
      <c r="AM27" s="435" t="s">
        <v>2517</v>
      </c>
      <c r="AN27" s="435"/>
    </row>
    <row r="28" spans="1:40" ht="15.75" customHeight="1">
      <c r="A28" s="395">
        <f>IF($C28="","",COUNTA($C$4:$C28))</f>
        <v>25</v>
      </c>
      <c r="B28" s="412" t="str">
        <f>IF('Dev Schedule 2025-26'!A28&lt;&gt;"",'Dev Schedule 2025-26'!A28,B27)</f>
        <v>Channel API</v>
      </c>
      <c r="C28" s="412" t="str">
        <f>IF('Dev Schedule 2025-26'!B28="","",'Dev Schedule 2025-26'!B28)</f>
        <v>myGO</v>
      </c>
      <c r="D28" s="396" t="str">
        <f t="shared" si="0"/>
        <v>→ OMH API 제공 (고객사가 OMH API 호출)</v>
      </c>
      <c r="E28" s="413"/>
      <c r="F28" s="412" t="str">
        <f>IF('Dev Schedule 2025-26'!G28="","",'Dev Schedule 2025-26'!G28)</f>
        <v>🟢 Minimal (5-13%)</v>
      </c>
      <c r="G28" s="412" t="str">
        <f>IF('Dev Schedule 2025-26'!E28="","",'Dev Schedule 2025-26'!E28)</f>
        <v>OHMY</v>
      </c>
      <c r="H28" s="412" t="str">
        <f>IF('Dev Schedule 2025-26'!C28="","",'Dev Schedule 2025-26'!C28)</f>
        <v>GSM</v>
      </c>
      <c r="I28" s="412" t="str">
        <f>IF('Dev Schedule 2025-26'!D28="","",'Dev Schedule 2025-26'!D28)</f>
        <v>Bryant</v>
      </c>
      <c r="J28" s="412" t="str">
        <f>IF('Dev Schedule 2025-26'!H28="","",'Dev Schedule 2025-26'!H28)</f>
        <v>NDA/Contract</v>
      </c>
      <c r="K28" s="412" t="str">
        <f>IF('Dev Schedule 2025-26'!I28="","",'Dev Schedule 2025-26'!I28)</f>
        <v>Aug-2026</v>
      </c>
      <c r="L28" s="414" t="str">
        <f>IF('Dev Schedule 2025-26'!J28="","",'Dev Schedule 2025-26'!J28)</f>
        <v>Nov-2026</v>
      </c>
      <c r="M28" s="400" t="s">
        <v>1969</v>
      </c>
      <c r="N28" s="399" cm="1">
        <f t="array" ref="N28">IF($C28="","",IFERROR(SUMPRODUCT(MAX(($U28:$AF28&lt;&gt;"")*$AL$3:$AW$3)),0))</f>
        <v>0</v>
      </c>
      <c r="O28" s="411" t="str">
        <f t="shared" si="1"/>
        <v>░░░░░░░░░░</v>
      </c>
      <c r="P28" s="396" t="str">
        <f t="shared" si="2"/>
        <v>미추적 (날짜 기록 없음)</v>
      </c>
      <c r="Q28" s="396" t="str" cm="1">
        <f t="array" ref="Q28">IF($C28="","",IF($N28&gt;=1,"— 완료",INDEX($U$3:$AF$3,IF($N28=0,1,MATCH($N28,$AL$3:$AW$3,0)+1))))</f>
        <v>① 미팅/1st Contact (10%)</v>
      </c>
      <c r="R28" s="406" t="str">
        <f t="shared" si="3"/>
        <v/>
      </c>
      <c r="S28" s="401" t="str">
        <f t="shared" ca="1" si="4"/>
        <v/>
      </c>
      <c r="T28" s="403" t="str">
        <f t="shared" si="5"/>
        <v>기록 없음</v>
      </c>
      <c r="U28" s="402"/>
      <c r="V28" s="398"/>
      <c r="W28" s="398"/>
      <c r="X28" s="398"/>
      <c r="Y28" s="398"/>
      <c r="Z28" s="398"/>
      <c r="AA28" s="398"/>
      <c r="AB28" s="398"/>
      <c r="AC28" s="398"/>
      <c r="AD28" s="398"/>
      <c r="AE28" s="404"/>
      <c r="AF28" s="405"/>
      <c r="AG28" s="402"/>
      <c r="AH28" s="397"/>
      <c r="AI28" s="397"/>
      <c r="AJ28" s="407"/>
      <c r="AK28" s="408" t="str">
        <f t="shared" si="6"/>
        <v>OK</v>
      </c>
    </row>
    <row r="29" spans="1:40" ht="15.75" customHeight="1">
      <c r="A29" s="395">
        <f>IF($C29="","",COUNTA($C$4:$C29))</f>
        <v>26</v>
      </c>
      <c r="B29" s="412" t="str">
        <f>IF('Dev Schedule 2025-26'!A29&lt;&gt;"",'Dev Schedule 2025-26'!A29,B28)</f>
        <v>Channel API</v>
      </c>
      <c r="C29" s="412" t="str">
        <f>IF('Dev Schedule 2025-26'!B29="","",'Dev Schedule 2025-26'!B29)</f>
        <v>Bronevik</v>
      </c>
      <c r="D29" s="396" t="str">
        <f t="shared" si="0"/>
        <v>→ OMH API 제공 (고객사가 OMH API 호출)</v>
      </c>
      <c r="E29" s="413"/>
      <c r="F29" s="412" t="str">
        <f>IF('Dev Schedule 2025-26'!G29="","",'Dev Schedule 2025-26'!G29)</f>
        <v>🟢 Minimal (5-14%)</v>
      </c>
      <c r="G29" s="412" t="str">
        <f>IF('Dev Schedule 2025-26'!E29="","",'Dev Schedule 2025-26'!E29)</f>
        <v>OHMY</v>
      </c>
      <c r="H29" s="412" t="str">
        <f>IF('Dev Schedule 2025-26'!C29="","",'Dev Schedule 2025-26'!C29)</f>
        <v>GSM</v>
      </c>
      <c r="I29" s="412" t="str">
        <f>IF('Dev Schedule 2025-26'!D29="","",'Dev Schedule 2025-26'!D29)</f>
        <v>Bryant</v>
      </c>
      <c r="J29" s="412" t="str">
        <f>IF('Dev Schedule 2025-26'!H29="","",'Dev Schedule 2025-26'!H29)</f>
        <v>NDA/Contract</v>
      </c>
      <c r="K29" s="412" t="str">
        <f>IF('Dev Schedule 2025-26'!I29="","",'Dev Schedule 2025-26'!I29)</f>
        <v>Aug-2026</v>
      </c>
      <c r="L29" s="414" t="str">
        <f>IF('Dev Schedule 2025-26'!J29="","",'Dev Schedule 2025-26'!J29)</f>
        <v>Nov-2026</v>
      </c>
      <c r="M29" s="400"/>
      <c r="N29" s="399" cm="1">
        <f t="array" ref="N29">IF($C29="","",IFERROR(SUMPRODUCT(MAX(($U29:$AF29&lt;&gt;"")*$AL$3:$AW$3)),0))</f>
        <v>0</v>
      </c>
      <c r="O29" s="411" t="str">
        <f t="shared" si="1"/>
        <v>░░░░░░░░░░</v>
      </c>
      <c r="P29" s="396" t="str">
        <f t="shared" si="2"/>
        <v>미추적 (날짜 기록 없음)</v>
      </c>
      <c r="Q29" s="396" t="str" cm="1">
        <f t="array" ref="Q29">IF($C29="","",IF($N29&gt;=1,"— 완료",INDEX($U$3:$AF$3,IF($N29=0,1,MATCH($N29,$AL$3:$AW$3,0)+1))))</f>
        <v>① 미팅/1st Contact (10%)</v>
      </c>
      <c r="R29" s="406" t="str">
        <f t="shared" si="3"/>
        <v/>
      </c>
      <c r="S29" s="401" t="str">
        <f t="shared" ca="1" si="4"/>
        <v/>
      </c>
      <c r="T29" s="403" t="str">
        <f t="shared" si="5"/>
        <v>기록 없음</v>
      </c>
      <c r="U29" s="402"/>
      <c r="V29" s="398"/>
      <c r="W29" s="398"/>
      <c r="X29" s="398"/>
      <c r="Y29" s="398"/>
      <c r="Z29" s="398"/>
      <c r="AA29" s="398"/>
      <c r="AB29" s="398"/>
      <c r="AC29" s="398"/>
      <c r="AD29" s="398"/>
      <c r="AE29" s="404"/>
      <c r="AF29" s="405"/>
      <c r="AG29" s="402"/>
      <c r="AH29" s="397"/>
      <c r="AI29" s="397"/>
      <c r="AJ29" s="407"/>
      <c r="AK29" s="408" t="str">
        <f t="shared" si="6"/>
        <v>OK</v>
      </c>
    </row>
    <row r="30" spans="1:40" ht="15.75" customHeight="1">
      <c r="A30" s="395">
        <f>IF($C30="","",COUNTA($C$4:$C30))</f>
        <v>27</v>
      </c>
      <c r="B30" s="412" t="str">
        <f>IF('Dev Schedule 2025-26'!A30&lt;&gt;"",'Dev Schedule 2025-26'!A30,B29)</f>
        <v>Channel API</v>
      </c>
      <c r="C30" s="412" t="str">
        <f>IF('Dev Schedule 2025-26'!B30="","",'Dev Schedule 2025-26'!B30)</f>
        <v>Within Earth</v>
      </c>
      <c r="D30" s="396" t="str">
        <f t="shared" si="0"/>
        <v>→ OMH API 제공 (고객사가 OMH API 호출)</v>
      </c>
      <c r="E30" s="413"/>
      <c r="F30" s="412" t="str">
        <f>IF('Dev Schedule 2025-26'!G30="","",'Dev Schedule 2025-26'!G30)</f>
        <v>🟢 Minimal (5-15%)</v>
      </c>
      <c r="G30" s="412" t="str">
        <f>IF('Dev Schedule 2025-26'!E30="","",'Dev Schedule 2025-26'!E30)</f>
        <v>OHMY</v>
      </c>
      <c r="H30" s="412" t="str">
        <f>IF('Dev Schedule 2025-26'!C30="","",'Dev Schedule 2025-26'!C30)</f>
        <v>GSM</v>
      </c>
      <c r="I30" s="412" t="str">
        <f>IF('Dev Schedule 2025-26'!D30="","",'Dev Schedule 2025-26'!D30)</f>
        <v>Bryant</v>
      </c>
      <c r="J30" s="412" t="str">
        <f>IF('Dev Schedule 2025-26'!H30="","",'Dev Schedule 2025-26'!H30)</f>
        <v>NDA/Contract</v>
      </c>
      <c r="K30" s="412" t="str">
        <f>IF('Dev Schedule 2025-26'!I30="","",'Dev Schedule 2025-26'!I30)</f>
        <v>Aug-2026</v>
      </c>
      <c r="L30" s="414" t="str">
        <f>IF('Dev Schedule 2025-26'!J30="","",'Dev Schedule 2025-26'!J30)</f>
        <v>Nov-2026</v>
      </c>
      <c r="M30" s="400" t="s">
        <v>1083</v>
      </c>
      <c r="N30" s="399" cm="1">
        <f t="array" ref="N30">IF($C30="","",IFERROR(SUMPRODUCT(MAX(($U30:$AF30&lt;&gt;"")*$AL$3:$AW$3)),0))</f>
        <v>0.2</v>
      </c>
      <c r="O30" s="411" t="str">
        <f t="shared" si="1"/>
        <v>██░░░░░░░░</v>
      </c>
      <c r="P30" s="396" t="str">
        <f t="shared" si="2"/>
        <v>② NDA 체결 (20%)</v>
      </c>
      <c r="Q30" s="396" t="str" cm="1">
        <f t="array" ref="Q30">IF($C30="","",IF($N30&gt;=1,"— 완료",INDEX($U$3:$AF$3,IF($N30=0,1,MATCH($N30,$AL$3:$AW$3,0)+1))))</f>
        <v>③ 계약 체결 (30%)</v>
      </c>
      <c r="R30" s="406">
        <f t="shared" si="3"/>
        <v>45964</v>
      </c>
      <c r="S30" s="401">
        <f t="shared" ca="1" si="4"/>
        <v>285</v>
      </c>
      <c r="T30" s="403" t="str">
        <f t="shared" ca="1" si="5"/>
        <v>90일+ 정지</v>
      </c>
      <c r="U30" s="402">
        <v>45964</v>
      </c>
      <c r="V30" s="398">
        <v>45898</v>
      </c>
      <c r="W30" s="398"/>
      <c r="X30" s="398"/>
      <c r="Y30" s="398"/>
      <c r="Z30" s="398"/>
      <c r="AA30" s="398"/>
      <c r="AB30" s="398"/>
      <c r="AC30" s="398"/>
      <c r="AD30" s="398"/>
      <c r="AE30" s="404"/>
      <c r="AF30" s="405"/>
      <c r="AG30" s="402"/>
      <c r="AH30" s="397"/>
      <c r="AI30" s="397"/>
      <c r="AJ30" s="407"/>
      <c r="AK30" s="408" t="str">
        <f t="shared" si="6"/>
        <v>OK</v>
      </c>
    </row>
    <row r="31" spans="1:40" ht="15.75" customHeight="1">
      <c r="A31" s="395">
        <f>IF($C31="","",COUNTA($C$4:$C31))</f>
        <v>28</v>
      </c>
      <c r="B31" s="412" t="str">
        <f>IF('Dev Schedule 2025-26'!A31&lt;&gt;"",'Dev Schedule 2025-26'!A31,B30)</f>
        <v>Channel API</v>
      </c>
      <c r="C31" s="412" t="str">
        <f>IF('Dev Schedule 2025-26'!B31="","",'Dev Schedule 2025-26'!B31)</f>
        <v>Pax2night</v>
      </c>
      <c r="D31" s="396" t="str">
        <f t="shared" si="0"/>
        <v>→ OMH API 제공 (고객사가 OMH API 호출)</v>
      </c>
      <c r="E31" s="413"/>
      <c r="F31" s="412" t="str">
        <f>IF('Dev Schedule 2025-26'!G31="","",'Dev Schedule 2025-26'!G31)</f>
        <v>🟢 Minimal (5-16%)</v>
      </c>
      <c r="G31" s="412" t="str">
        <f>IF('Dev Schedule 2025-26'!E31="","",'Dev Schedule 2025-26'!E31)</f>
        <v>OHMY</v>
      </c>
      <c r="H31" s="412" t="str">
        <f>IF('Dev Schedule 2025-26'!C31="","",'Dev Schedule 2025-26'!C31)</f>
        <v>GSM</v>
      </c>
      <c r="I31" s="412" t="str">
        <f>IF('Dev Schedule 2025-26'!D31="","",'Dev Schedule 2025-26'!D31)</f>
        <v>Bryant</v>
      </c>
      <c r="J31" s="412" t="str">
        <f>IF('Dev Schedule 2025-26'!H31="","",'Dev Schedule 2025-26'!H31)</f>
        <v>NDA/Contract</v>
      </c>
      <c r="K31" s="412" t="str">
        <f>IF('Dev Schedule 2025-26'!I31="","",'Dev Schedule 2025-26'!I31)</f>
        <v>Aug-2026</v>
      </c>
      <c r="L31" s="414" t="str">
        <f>IF('Dev Schedule 2025-26'!J31="","",'Dev Schedule 2025-26'!J31)</f>
        <v>Nov-2026</v>
      </c>
      <c r="M31" s="400" t="s">
        <v>1050</v>
      </c>
      <c r="N31" s="399" cm="1">
        <f t="array" ref="N31">IF($C31="","",IFERROR(SUMPRODUCT(MAX(($U31:$AF31&lt;&gt;"")*$AL$3:$AW$3)),0))</f>
        <v>0.1</v>
      </c>
      <c r="O31" s="411" t="str">
        <f t="shared" si="1"/>
        <v>█░░░░░░░░░</v>
      </c>
      <c r="P31" s="396" t="str">
        <f t="shared" si="2"/>
        <v>① 미팅/1st Contact (10%)</v>
      </c>
      <c r="Q31" s="396" t="str" cm="1">
        <f t="array" ref="Q31">IF($C31="","",IF($N31&gt;=1,"— 완료",INDEX($U$3:$AF$3,IF($N31=0,1,MATCH($N31,$AL$3:$AW$3,0)+1))))</f>
        <v>② NDA 체결 (20%)</v>
      </c>
      <c r="R31" s="406">
        <f t="shared" si="3"/>
        <v>45953</v>
      </c>
      <c r="S31" s="401">
        <f t="shared" ca="1" si="4"/>
        <v>296</v>
      </c>
      <c r="T31" s="403" t="str">
        <f t="shared" ca="1" si="5"/>
        <v>90일+ 정지</v>
      </c>
      <c r="U31" s="402">
        <v>45953</v>
      </c>
      <c r="V31" s="398"/>
      <c r="W31" s="398"/>
      <c r="X31" s="398"/>
      <c r="Y31" s="398"/>
      <c r="Z31" s="398"/>
      <c r="AA31" s="398"/>
      <c r="AB31" s="398"/>
      <c r="AC31" s="398"/>
      <c r="AD31" s="398"/>
      <c r="AE31" s="404"/>
      <c r="AF31" s="405"/>
      <c r="AG31" s="402"/>
      <c r="AH31" s="397"/>
      <c r="AI31" s="397"/>
      <c r="AJ31" s="407"/>
      <c r="AK31" s="408" t="str">
        <f t="shared" si="6"/>
        <v>OK</v>
      </c>
    </row>
    <row r="32" spans="1:40" ht="15.75" customHeight="1">
      <c r="A32" s="395">
        <f>IF($C32="","",COUNTA($C$4:$C32))</f>
        <v>29</v>
      </c>
      <c r="B32" s="412" t="str">
        <f>IF('Dev Schedule 2025-26'!A32&lt;&gt;"",'Dev Schedule 2025-26'!A32,B31)</f>
        <v>Channel API</v>
      </c>
      <c r="C32" s="412" t="str">
        <f>IF('Dev Schedule 2025-26'!B32="","",'Dev Schedule 2025-26'!B32)</f>
        <v>OTTILA</v>
      </c>
      <c r="D32" s="396" t="str">
        <f t="shared" si="0"/>
        <v>→ OMH API 제공 (고객사가 OMH API 호출)</v>
      </c>
      <c r="E32" s="413"/>
      <c r="F32" s="412" t="str">
        <f>IF('Dev Schedule 2025-26'!G32="","",'Dev Schedule 2025-26'!G32)</f>
        <v>🟢 Minimal (5-17%)</v>
      </c>
      <c r="G32" s="412" t="str">
        <f>IF('Dev Schedule 2025-26'!E32="","",'Dev Schedule 2025-26'!E32)</f>
        <v>OTTILA</v>
      </c>
      <c r="H32" s="412" t="str">
        <f>IF('Dev Schedule 2025-26'!C32="","",'Dev Schedule 2025-26'!C32)</f>
        <v>GSM</v>
      </c>
      <c r="I32" s="412" t="str">
        <f>IF('Dev Schedule 2025-26'!D32="","",'Dev Schedule 2025-26'!D32)</f>
        <v>Bryant</v>
      </c>
      <c r="J32" s="412" t="str">
        <f>IF('Dev Schedule 2025-26'!H32="","",'Dev Schedule 2025-26'!H32)</f>
        <v>NDA/Contract</v>
      </c>
      <c r="K32" s="412" t="str">
        <f>IF('Dev Schedule 2025-26'!I32="","",'Dev Schedule 2025-26'!I32)</f>
        <v>Aug-2026</v>
      </c>
      <c r="L32" s="414" t="str">
        <f>IF('Dev Schedule 2025-26'!J32="","",'Dev Schedule 2025-26'!J32)</f>
        <v>Nov-2026</v>
      </c>
      <c r="M32" s="400" t="s">
        <v>912</v>
      </c>
      <c r="N32" s="399" cm="1">
        <f t="array" ref="N32">IF($C32="","",IFERROR(SUMPRODUCT(MAX(($U32:$AF32&lt;&gt;"")*$AL$3:$AW$3)),0))</f>
        <v>0.1</v>
      </c>
      <c r="O32" s="411" t="str">
        <f t="shared" si="1"/>
        <v>█░░░░░░░░░</v>
      </c>
      <c r="P32" s="396" t="str">
        <f t="shared" si="2"/>
        <v>① 미팅/1st Contact (10%)</v>
      </c>
      <c r="Q32" s="396" t="str" cm="1">
        <f t="array" ref="Q32">IF($C32="","",IF($N32&gt;=1,"— 완료",INDEX($U$3:$AF$3,IF($N32=0,1,MATCH($N32,$AL$3:$AW$3,0)+1))))</f>
        <v>② NDA 체결 (20%)</v>
      </c>
      <c r="R32" s="406">
        <f t="shared" si="3"/>
        <v>45945</v>
      </c>
      <c r="S32" s="401">
        <f t="shared" ca="1" si="4"/>
        <v>304</v>
      </c>
      <c r="T32" s="403" t="str">
        <f t="shared" ca="1" si="5"/>
        <v>90일+ 정지</v>
      </c>
      <c r="U32" s="402">
        <v>45945</v>
      </c>
      <c r="V32" s="398"/>
      <c r="W32" s="398"/>
      <c r="X32" s="398"/>
      <c r="Y32" s="398"/>
      <c r="Z32" s="398"/>
      <c r="AA32" s="398"/>
      <c r="AB32" s="398"/>
      <c r="AC32" s="398"/>
      <c r="AD32" s="398"/>
      <c r="AE32" s="404"/>
      <c r="AF32" s="405"/>
      <c r="AG32" s="402"/>
      <c r="AH32" s="397"/>
      <c r="AI32" s="397"/>
      <c r="AJ32" s="407"/>
      <c r="AK32" s="408" t="str">
        <f t="shared" si="6"/>
        <v>OK</v>
      </c>
    </row>
    <row r="33" spans="1:37" ht="15.75" customHeight="1">
      <c r="A33" s="395">
        <f>IF($C33="","",COUNTA($C$4:$C33))</f>
        <v>30</v>
      </c>
      <c r="B33" s="412" t="str">
        <f>IF('Dev Schedule 2025-26'!A33&lt;&gt;"",'Dev Schedule 2025-26'!A33,B32)</f>
        <v>Channel API</v>
      </c>
      <c r="C33" s="412" t="str">
        <f>IF('Dev Schedule 2025-26'!B33="","",'Dev Schedule 2025-26'!B33)</f>
        <v>Happy Travel</v>
      </c>
      <c r="D33" s="396" t="str">
        <f t="shared" si="0"/>
        <v>→ OMH API 제공 (고객사가 OMH API 호출)</v>
      </c>
      <c r="E33" s="413"/>
      <c r="F33" s="412" t="str">
        <f>IF('Dev Schedule 2025-26'!G33="","",'Dev Schedule 2025-26'!G33)</f>
        <v>🟢 Minimal (5-17%)</v>
      </c>
      <c r="G33" s="412" t="str">
        <f>IF('Dev Schedule 2025-26'!E33="","",'Dev Schedule 2025-26'!E33)</f>
        <v>OHMY</v>
      </c>
      <c r="H33" s="412" t="str">
        <f>IF('Dev Schedule 2025-26'!C33="","",'Dev Schedule 2025-26'!C33)</f>
        <v>GSM</v>
      </c>
      <c r="I33" s="412" t="str">
        <f>IF('Dev Schedule 2025-26'!D33="","",'Dev Schedule 2025-26'!D33)</f>
        <v>Bryant</v>
      </c>
      <c r="J33" s="412" t="str">
        <f>IF('Dev Schedule 2025-26'!H33="","",'Dev Schedule 2025-26'!H33)</f>
        <v>NDA/Contract</v>
      </c>
      <c r="K33" s="412" t="str">
        <f>IF('Dev Schedule 2025-26'!I33="","",'Dev Schedule 2025-26'!I33)</f>
        <v>Aug-2026</v>
      </c>
      <c r="L33" s="414" t="str">
        <f>IF('Dev Schedule 2025-26'!J33="","",'Dev Schedule 2025-26'!J33)</f>
        <v>Nov-2026</v>
      </c>
      <c r="M33" s="400" t="s">
        <v>1790</v>
      </c>
      <c r="N33" s="399" cm="1">
        <f t="array" ref="N33">IF($C33="","",IFERROR(SUMPRODUCT(MAX(($U33:$AF33&lt;&gt;"")*$AL$3:$AW$3)),0))</f>
        <v>0</v>
      </c>
      <c r="O33" s="411" t="str">
        <f t="shared" si="1"/>
        <v>░░░░░░░░░░</v>
      </c>
      <c r="P33" s="396" t="str">
        <f t="shared" si="2"/>
        <v>미추적 (날짜 기록 없음)</v>
      </c>
      <c r="Q33" s="396" t="str" cm="1">
        <f t="array" ref="Q33">IF($C33="","",IF($N33&gt;=1,"— 완료",INDEX($U$3:$AF$3,IF($N33=0,1,MATCH($N33,$AL$3:$AW$3,0)+1))))</f>
        <v>① 미팅/1st Contact (10%)</v>
      </c>
      <c r="R33" s="406" t="str">
        <f t="shared" si="3"/>
        <v/>
      </c>
      <c r="S33" s="401" t="str">
        <f t="shared" ca="1" si="4"/>
        <v/>
      </c>
      <c r="T33" s="403" t="str">
        <f t="shared" si="5"/>
        <v>기록 없음</v>
      </c>
      <c r="U33" s="402"/>
      <c r="V33" s="398"/>
      <c r="W33" s="398"/>
      <c r="X33" s="398"/>
      <c r="Y33" s="398"/>
      <c r="Z33" s="398"/>
      <c r="AA33" s="398"/>
      <c r="AB33" s="398"/>
      <c r="AC33" s="398"/>
      <c r="AD33" s="398"/>
      <c r="AE33" s="404"/>
      <c r="AF33" s="405"/>
      <c r="AG33" s="402"/>
      <c r="AH33" s="397"/>
      <c r="AI33" s="397"/>
      <c r="AJ33" s="407"/>
      <c r="AK33" s="408" t="str">
        <f t="shared" si="6"/>
        <v>OK</v>
      </c>
    </row>
    <row r="34" spans="1:37" ht="15.75" customHeight="1">
      <c r="A34" s="395">
        <f>IF($C34="","",COUNTA($C$4:$C34))</f>
        <v>31</v>
      </c>
      <c r="B34" s="412" t="str">
        <f>IF('Dev Schedule 2025-26'!A34&lt;&gt;"",'Dev Schedule 2025-26'!A34,B33)</f>
        <v>Channel API</v>
      </c>
      <c r="C34" s="412" t="str">
        <f>IF('Dev Schedule 2025-26'!B34="","",'Dev Schedule 2025-26'!B34)</f>
        <v>bizplay</v>
      </c>
      <c r="D34" s="396" t="str">
        <f t="shared" si="0"/>
        <v>→ OMH API 제공 (고객사가 OMH API 호출)</v>
      </c>
      <c r="E34" s="413"/>
      <c r="F34" s="412" t="str">
        <f>IF('Dev Schedule 2025-26'!G34="","",'Dev Schedule 2025-26'!G34)</f>
        <v>🟢 Minimal (5-10%)</v>
      </c>
      <c r="G34" s="412" t="str">
        <f>IF('Dev Schedule 2025-26'!E34="","",'Dev Schedule 2025-26'!E34)</f>
        <v>bizplay (traport)</v>
      </c>
      <c r="H34" s="412" t="str">
        <f>IF('Dev Schedule 2025-26'!C34="","",'Dev Schedule 2025-26'!C34)</f>
        <v>GSM</v>
      </c>
      <c r="I34" s="412" t="str">
        <f>IF('Dev Schedule 2025-26'!D34="","",'Dev Schedule 2025-26'!D34)</f>
        <v>Aiden</v>
      </c>
      <c r="J34" s="412" t="str">
        <f>IF('Dev Schedule 2025-26'!H34="","",'Dev Schedule 2025-26'!H34)</f>
        <v>Contact</v>
      </c>
      <c r="K34" s="412" t="str">
        <f>IF('Dev Schedule 2025-26'!I34="","",'Dev Schedule 2025-26'!I34)</f>
        <v>Mar-26</v>
      </c>
      <c r="L34" s="414" t="str">
        <f>IF('Dev Schedule 2025-26'!J34="","",'Dev Schedule 2025-26'!J34)</f>
        <v>Sep 2026</v>
      </c>
      <c r="M34" s="400" t="s">
        <v>507</v>
      </c>
      <c r="N34" s="399" cm="1">
        <f t="array" ref="N34">IF($C34="","",IFERROR(SUMPRODUCT(MAX(($U34:$AF34&lt;&gt;"")*$AL$3:$AW$3)),0))</f>
        <v>0</v>
      </c>
      <c r="O34" s="411" t="str">
        <f t="shared" si="1"/>
        <v>░░░░░░░░░░</v>
      </c>
      <c r="P34" s="396" t="str">
        <f t="shared" si="2"/>
        <v>미추적 (날짜 기록 없음)</v>
      </c>
      <c r="Q34" s="396" t="str" cm="1">
        <f t="array" ref="Q34">IF($C34="","",IF($N34&gt;=1,"— 완료",INDEX($U$3:$AF$3,IF($N34=0,1,MATCH($N34,$AL$3:$AW$3,0)+1))))</f>
        <v>① 미팅/1st Contact (10%)</v>
      </c>
      <c r="R34" s="406" t="str">
        <f t="shared" si="3"/>
        <v/>
      </c>
      <c r="S34" s="401" t="str">
        <f t="shared" ca="1" si="4"/>
        <v/>
      </c>
      <c r="T34" s="403" t="str">
        <f t="shared" si="5"/>
        <v>기록 없음</v>
      </c>
      <c r="U34" s="402"/>
      <c r="V34" s="398"/>
      <c r="W34" s="398"/>
      <c r="X34" s="398"/>
      <c r="Y34" s="398"/>
      <c r="Z34" s="398"/>
      <c r="AA34" s="398"/>
      <c r="AB34" s="398"/>
      <c r="AC34" s="398"/>
      <c r="AD34" s="398"/>
      <c r="AE34" s="404"/>
      <c r="AF34" s="405"/>
      <c r="AG34" s="402"/>
      <c r="AH34" s="397"/>
      <c r="AI34" s="397"/>
      <c r="AJ34" s="407"/>
      <c r="AK34" s="408" t="str">
        <f t="shared" si="6"/>
        <v>OK</v>
      </c>
    </row>
    <row r="35" spans="1:37" ht="15.75" customHeight="1">
      <c r="A35" s="395">
        <f>IF($C35="","",COUNTA($C$4:$C35))</f>
        <v>32</v>
      </c>
      <c r="B35" s="412" t="str">
        <f>IF('Dev Schedule 2025-26'!A35&lt;&gt;"",'Dev Schedule 2025-26'!A35,B34)</f>
        <v>Channel API</v>
      </c>
      <c r="C35" s="412" t="str">
        <f>IF('Dev Schedule 2025-26'!B35="","",'Dev Schedule 2025-26'!B35)</f>
        <v>HBX</v>
      </c>
      <c r="D35" s="396" t="str">
        <f t="shared" si="0"/>
        <v>→ OMH API 제공 (고객사가 OMH API 호출)</v>
      </c>
      <c r="E35" s="413"/>
      <c r="F35" s="412" t="str">
        <f>IF('Dev Schedule 2025-26'!G35="","",'Dev Schedule 2025-26'!G35)</f>
        <v>🔴 Full (100%)</v>
      </c>
      <c r="G35" s="412" t="str">
        <f>IF('Dev Schedule 2025-26'!E35="","",'Dev Schedule 2025-26'!E35)</f>
        <v>OHMY</v>
      </c>
      <c r="H35" s="412" t="str">
        <f>IF('Dev Schedule 2025-26'!C35="","",'Dev Schedule 2025-26'!C35)</f>
        <v>GSM</v>
      </c>
      <c r="I35" s="412" t="str">
        <f>IF('Dev Schedule 2025-26'!D35="","",'Dev Schedule 2025-26'!D35)</f>
        <v>Aiden</v>
      </c>
      <c r="J35" s="412" t="str">
        <f>IF('Dev Schedule 2025-26'!H35="","",'Dev Schedule 2025-26'!H35)</f>
        <v>Contact</v>
      </c>
      <c r="K35" s="412" t="str">
        <f>IF('Dev Schedule 2025-26'!I35="","",'Dev Schedule 2025-26'!I35)</f>
        <v/>
      </c>
      <c r="L35" s="414" t="str">
        <f>IF('Dev Schedule 2025-26'!J35="","",'Dev Schedule 2025-26'!J35)</f>
        <v/>
      </c>
      <c r="M35" s="400" t="s">
        <v>1064</v>
      </c>
      <c r="N35" s="399" cm="1">
        <f t="array" ref="N35">IF($C35="","",IFERROR(SUMPRODUCT(MAX(($U35:$AF35&lt;&gt;"")*$AL$3:$AW$3)),0))</f>
        <v>0</v>
      </c>
      <c r="O35" s="411" t="str">
        <f t="shared" si="1"/>
        <v>░░░░░░░░░░</v>
      </c>
      <c r="P35" s="396" t="str">
        <f t="shared" si="2"/>
        <v>미추적 (날짜 기록 없음)</v>
      </c>
      <c r="Q35" s="396" t="str" cm="1">
        <f t="array" ref="Q35">IF($C35="","",IF($N35&gt;=1,"— 완료",INDEX($U$3:$AF$3,IF($N35=0,1,MATCH($N35,$AL$3:$AW$3,0)+1))))</f>
        <v>① 미팅/1st Contact (10%)</v>
      </c>
      <c r="R35" s="406" t="str">
        <f t="shared" si="3"/>
        <v/>
      </c>
      <c r="S35" s="401" t="str">
        <f t="shared" ca="1" si="4"/>
        <v/>
      </c>
      <c r="T35" s="403" t="str">
        <f t="shared" si="5"/>
        <v>기록 없음</v>
      </c>
      <c r="U35" s="402"/>
      <c r="V35" s="398"/>
      <c r="W35" s="398"/>
      <c r="X35" s="398"/>
      <c r="Y35" s="398"/>
      <c r="Z35" s="398"/>
      <c r="AA35" s="398"/>
      <c r="AB35" s="398"/>
      <c r="AC35" s="398"/>
      <c r="AD35" s="398"/>
      <c r="AE35" s="404"/>
      <c r="AF35" s="405"/>
      <c r="AG35" s="402"/>
      <c r="AH35" s="397"/>
      <c r="AI35" s="397"/>
      <c r="AJ35" s="407"/>
      <c r="AK35" s="408" t="str">
        <f t="shared" si="6"/>
        <v>OK</v>
      </c>
    </row>
    <row r="36" spans="1:37" ht="15.75" customHeight="1">
      <c r="A36" s="395">
        <f>IF($C36="","",COUNTA($C$4:$C36))</f>
        <v>33</v>
      </c>
      <c r="B36" s="412" t="str">
        <f>IF('Dev Schedule 2025-26'!A36&lt;&gt;"",'Dev Schedule 2025-26'!A36,B35)</f>
        <v>Channel API</v>
      </c>
      <c r="C36" s="412" t="str">
        <f>IF('Dev Schedule 2025-26'!B36="","",'Dev Schedule 2025-26'!B36)</f>
        <v>Webbeds</v>
      </c>
      <c r="D36" s="396" t="str">
        <f t="shared" si="0"/>
        <v>→ OMH API 제공 (고객사가 OMH API 호출)</v>
      </c>
      <c r="E36" s="413"/>
      <c r="F36" s="412" t="str">
        <f>IF('Dev Schedule 2025-26'!G36="","",'Dev Schedule 2025-26'!G36)</f>
        <v>🔴 Full (100%)</v>
      </c>
      <c r="G36" s="412" t="str">
        <f>IF('Dev Schedule 2025-26'!E36="","",'Dev Schedule 2025-26'!E36)</f>
        <v>OHMY</v>
      </c>
      <c r="H36" s="412" t="str">
        <f>IF('Dev Schedule 2025-26'!C36="","",'Dev Schedule 2025-26'!C36)</f>
        <v>GSM</v>
      </c>
      <c r="I36" s="412" t="str">
        <f>IF('Dev Schedule 2025-26'!D36="","",'Dev Schedule 2025-26'!D36)</f>
        <v>Aiden</v>
      </c>
      <c r="J36" s="412" t="str">
        <f>IF('Dev Schedule 2025-26'!H36="","",'Dev Schedule 2025-26'!H36)</f>
        <v>Contact</v>
      </c>
      <c r="K36" s="412" t="str">
        <f>IF('Dev Schedule 2025-26'!I36="","",'Dev Schedule 2025-26'!I36)</f>
        <v/>
      </c>
      <c r="L36" s="414" t="str">
        <f>IF('Dev Schedule 2025-26'!J36="","",'Dev Schedule 2025-26'!J36)</f>
        <v/>
      </c>
      <c r="M36" s="400" t="s">
        <v>1066</v>
      </c>
      <c r="N36" s="399" cm="1">
        <f t="array" ref="N36">IF($C36="","",IFERROR(SUMPRODUCT(MAX(($U36:$AF36&lt;&gt;"")*$AL$3:$AW$3)),0))</f>
        <v>0</v>
      </c>
      <c r="O36" s="411" t="str">
        <f t="shared" si="1"/>
        <v>░░░░░░░░░░</v>
      </c>
      <c r="P36" s="396" t="str">
        <f t="shared" si="2"/>
        <v>미추적 (날짜 기록 없음)</v>
      </c>
      <c r="Q36" s="396" t="str" cm="1">
        <f t="array" ref="Q36">IF($C36="","",IF($N36&gt;=1,"— 완료",INDEX($U$3:$AF$3,IF($N36=0,1,MATCH($N36,$AL$3:$AW$3,0)+1))))</f>
        <v>① 미팅/1st Contact (10%)</v>
      </c>
      <c r="R36" s="406" t="str">
        <f t="shared" si="3"/>
        <v/>
      </c>
      <c r="S36" s="401" t="str">
        <f t="shared" ca="1" si="4"/>
        <v/>
      </c>
      <c r="T36" s="403" t="str">
        <f t="shared" si="5"/>
        <v>기록 없음</v>
      </c>
      <c r="U36" s="402"/>
      <c r="V36" s="398"/>
      <c r="W36" s="398"/>
      <c r="X36" s="398"/>
      <c r="Y36" s="398"/>
      <c r="Z36" s="398"/>
      <c r="AA36" s="398"/>
      <c r="AB36" s="398"/>
      <c r="AC36" s="398"/>
      <c r="AD36" s="398"/>
      <c r="AE36" s="404"/>
      <c r="AF36" s="405"/>
      <c r="AG36" s="402"/>
      <c r="AH36" s="397"/>
      <c r="AI36" s="397"/>
      <c r="AJ36" s="407"/>
      <c r="AK36" s="408" t="str">
        <f t="shared" si="6"/>
        <v>OK</v>
      </c>
    </row>
    <row r="37" spans="1:37" ht="15.75" customHeight="1">
      <c r="A37" s="395">
        <f>IF($C37="","",COUNTA($C$4:$C37))</f>
        <v>34</v>
      </c>
      <c r="B37" s="412" t="str">
        <f>IF('Dev Schedule 2025-26'!A37&lt;&gt;"",'Dev Schedule 2025-26'!A37,B36)</f>
        <v>Channel API</v>
      </c>
      <c r="C37" s="412" t="str">
        <f>IF('Dev Schedule 2025-26'!B37="","",'Dev Schedule 2025-26'!B37)</f>
        <v>Lion Travel</v>
      </c>
      <c r="D37" s="396" t="str">
        <f t="shared" si="0"/>
        <v>→ OMH API 제공 (고객사가 OMH API 호출)</v>
      </c>
      <c r="E37" s="413"/>
      <c r="F37" s="412" t="str">
        <f>IF('Dev Schedule 2025-26'!G37="","",'Dev Schedule 2025-26'!G37)</f>
        <v>🟢 Minimal (5-10%)</v>
      </c>
      <c r="G37" s="412" t="str">
        <f>IF('Dev Schedule 2025-26'!E37="","",'Dev Schedule 2025-26'!E37)</f>
        <v>Lion Travel</v>
      </c>
      <c r="H37" s="412" t="str">
        <f>IF('Dev Schedule 2025-26'!C37="","",'Dev Schedule 2025-26'!C37)</f>
        <v>GSM</v>
      </c>
      <c r="I37" s="412" t="str">
        <f>IF('Dev Schedule 2025-26'!D37="","",'Dev Schedule 2025-26'!D37)</f>
        <v>Grace</v>
      </c>
      <c r="J37" s="412" t="str">
        <f>IF('Dev Schedule 2025-26'!H37="","",'Dev Schedule 2025-26'!H37)</f>
        <v>NDA/Contract</v>
      </c>
      <c r="K37" s="412" t="str">
        <f>IF('Dev Schedule 2025-26'!I37="","",'Dev Schedule 2025-26'!I37)</f>
        <v/>
      </c>
      <c r="L37" s="414" t="str">
        <f>IF('Dev Schedule 2025-26'!J37="","",'Dev Schedule 2025-26'!J37)</f>
        <v/>
      </c>
      <c r="M37" s="400" t="s">
        <v>584</v>
      </c>
      <c r="N37" s="399" cm="1">
        <f t="array" ref="N37">IF($C37="","",IFERROR(SUMPRODUCT(MAX(($U37:$AF37&lt;&gt;"")*$AL$3:$AW$3)),0))</f>
        <v>0.2</v>
      </c>
      <c r="O37" s="411" t="str">
        <f t="shared" si="1"/>
        <v>██░░░░░░░░</v>
      </c>
      <c r="P37" s="396" t="str">
        <f t="shared" si="2"/>
        <v>② NDA 체결 (20%)</v>
      </c>
      <c r="Q37" s="396" t="str" cm="1">
        <f t="array" ref="Q37">IF($C37="","",IF($N37&gt;=1,"— 완료",INDEX($U$3:$AF$3,IF($N37=0,1,MATCH($N37,$AL$3:$AW$3,0)+1))))</f>
        <v>③ 계약 체결 (30%)</v>
      </c>
      <c r="R37" s="406">
        <f t="shared" si="3"/>
        <v>45912</v>
      </c>
      <c r="S37" s="401">
        <f t="shared" ca="1" si="4"/>
        <v>337</v>
      </c>
      <c r="T37" s="403" t="str">
        <f t="shared" ca="1" si="5"/>
        <v>90일+ 정지</v>
      </c>
      <c r="U37" s="402">
        <v>45877</v>
      </c>
      <c r="V37" s="398">
        <v>45912</v>
      </c>
      <c r="W37" s="398"/>
      <c r="X37" s="398"/>
      <c r="Y37" s="398"/>
      <c r="Z37" s="398"/>
      <c r="AA37" s="398"/>
      <c r="AB37" s="398"/>
      <c r="AC37" s="398"/>
      <c r="AD37" s="398"/>
      <c r="AE37" s="404"/>
      <c r="AF37" s="405"/>
      <c r="AG37" s="402"/>
      <c r="AH37" s="397"/>
      <c r="AI37" s="397"/>
      <c r="AJ37" s="407"/>
      <c r="AK37" s="408" t="str">
        <f t="shared" si="6"/>
        <v>OK</v>
      </c>
    </row>
    <row r="38" spans="1:37" ht="15.75" customHeight="1">
      <c r="A38" s="395">
        <f>IF($C38="","",COUNTA($C$4:$C38))</f>
        <v>35</v>
      </c>
      <c r="B38" s="412" t="str">
        <f>IF('Dev Schedule 2025-26'!A38&lt;&gt;"",'Dev Schedule 2025-26'!A38,B37)</f>
        <v>Channel API</v>
      </c>
      <c r="C38" s="412" t="str">
        <f>IF('Dev Schedule 2025-26'!B38="","",'Dev Schedule 2025-26'!B38)</f>
        <v>Star Travel</v>
      </c>
      <c r="D38" s="396" t="str">
        <f t="shared" si="0"/>
        <v>→ OMH API 제공 (고객사가 OMH API 호출)</v>
      </c>
      <c r="E38" s="413"/>
      <c r="F38" s="412" t="str">
        <f>IF('Dev Schedule 2025-26'!G38="","",'Dev Schedule 2025-26'!G38)</f>
        <v>🟢 Minimal (5-10%)</v>
      </c>
      <c r="G38" s="412" t="str">
        <f>IF('Dev Schedule 2025-26'!E38="","",'Dev Schedule 2025-26'!E38)</f>
        <v>Star Travel</v>
      </c>
      <c r="H38" s="412" t="str">
        <f>IF('Dev Schedule 2025-26'!C38="","",'Dev Schedule 2025-26'!C38)</f>
        <v>GSM</v>
      </c>
      <c r="I38" s="412" t="str">
        <f>IF('Dev Schedule 2025-26'!D38="","",'Dev Schedule 2025-26'!D38)</f>
        <v>Grace</v>
      </c>
      <c r="J38" s="412" t="str">
        <f>IF('Dev Schedule 2025-26'!H38="","",'Dev Schedule 2025-26'!H38)</f>
        <v>NDA/Contract</v>
      </c>
      <c r="K38" s="412" t="str">
        <f>IF('Dev Schedule 2025-26'!I38="","",'Dev Schedule 2025-26'!I38)</f>
        <v>Jul-26</v>
      </c>
      <c r="L38" s="414" t="str">
        <f>IF('Dev Schedule 2025-26'!J38="","",'Dev Schedule 2025-26'!J38)</f>
        <v>Aug-26</v>
      </c>
      <c r="M38" s="400" t="s">
        <v>624</v>
      </c>
      <c r="N38" s="399" cm="1">
        <f t="array" ref="N38">IF($C38="","",IFERROR(SUMPRODUCT(MAX(($U38:$AF38&lt;&gt;"")*$AL$3:$AW$3)),0))</f>
        <v>0.45</v>
      </c>
      <c r="O38" s="411" t="str">
        <f t="shared" si="1"/>
        <v>█████░░░░░</v>
      </c>
      <c r="P38" s="396" t="str">
        <f t="shared" si="2"/>
        <v>⑤ 개발 착수 예정 (45%)</v>
      </c>
      <c r="Q38" s="396" t="str" cm="1">
        <f t="array" ref="Q38">IF($C38="","",IF($N38&gt;=1,"— 완료",INDEX($U$3:$AF$3,IF($N38=0,1,MATCH($N38,$AL$3:$AW$3,0)+1))))</f>
        <v>⑥ 개발 착수/SPEC·DEV Key (50%)</v>
      </c>
      <c r="R38" s="406">
        <f t="shared" si="3"/>
        <v>45992</v>
      </c>
      <c r="S38" s="401">
        <f t="shared" ca="1" si="4"/>
        <v>257</v>
      </c>
      <c r="T38" s="403" t="str">
        <f t="shared" ca="1" si="5"/>
        <v>90일+ 정지</v>
      </c>
      <c r="U38" s="402">
        <v>45874</v>
      </c>
      <c r="V38" s="398"/>
      <c r="W38" s="398">
        <v>45946</v>
      </c>
      <c r="X38" s="398"/>
      <c r="Y38" s="398">
        <v>45992</v>
      </c>
      <c r="Z38" s="398"/>
      <c r="AA38" s="398"/>
      <c r="AB38" s="398"/>
      <c r="AC38" s="398"/>
      <c r="AD38" s="398"/>
      <c r="AE38" s="404"/>
      <c r="AF38" s="405"/>
      <c r="AG38" s="402"/>
      <c r="AH38" s="397"/>
      <c r="AI38" s="397"/>
      <c r="AJ38" s="407"/>
      <c r="AK38" s="408" t="str">
        <f t="shared" si="6"/>
        <v>OK</v>
      </c>
    </row>
    <row r="39" spans="1:37" ht="15.75" customHeight="1">
      <c r="A39" s="395">
        <f>IF($C39="","",COUNTA($C$4:$C39))</f>
        <v>36</v>
      </c>
      <c r="B39" s="412" t="str">
        <f>IF('Dev Schedule 2025-26'!A39&lt;&gt;"",'Dev Schedule 2025-26'!A39,B38)</f>
        <v>Channel API</v>
      </c>
      <c r="C39" s="412" t="str">
        <f>IF('Dev Schedule 2025-26'!B39="","",'Dev Schedule 2025-26'!B39)</f>
        <v>Cola Tour</v>
      </c>
      <c r="D39" s="396" t="str">
        <f t="shared" si="0"/>
        <v>→ OMH API 제공 (고객사가 OMH API 호출)</v>
      </c>
      <c r="E39" s="413"/>
      <c r="F39" s="412" t="str">
        <f>IF('Dev Schedule 2025-26'!G39="","",'Dev Schedule 2025-26'!G39)</f>
        <v>🟢 Minimal (5-10%)</v>
      </c>
      <c r="G39" s="412" t="str">
        <f>IF('Dev Schedule 2025-26'!E39="","",'Dev Schedule 2025-26'!E39)</f>
        <v>Cola</v>
      </c>
      <c r="H39" s="412" t="str">
        <f>IF('Dev Schedule 2025-26'!C39="","",'Dev Schedule 2025-26'!C39)</f>
        <v>GSM</v>
      </c>
      <c r="I39" s="412" t="str">
        <f>IF('Dev Schedule 2025-26'!D39="","",'Dev Schedule 2025-26'!D39)</f>
        <v>Grace</v>
      </c>
      <c r="J39" s="412" t="str">
        <f>IF('Dev Schedule 2025-26'!H39="","",'Dev Schedule 2025-26'!H39)</f>
        <v>In Development</v>
      </c>
      <c r="K39" s="412" t="str">
        <f>IF('Dev Schedule 2025-26'!I39="","",'Dev Schedule 2025-26'!I39)</f>
        <v>Jul-26</v>
      </c>
      <c r="L39" s="414" t="str">
        <f>IF('Dev Schedule 2025-26'!J39="","",'Dev Schedule 2025-26'!J39)</f>
        <v>Aug-26</v>
      </c>
      <c r="M39" s="400" t="s">
        <v>591</v>
      </c>
      <c r="N39" s="399" cm="1">
        <f t="array" ref="N39">IF($C39="","",IFERROR(SUMPRODUCT(MAX(($U39:$AF39&lt;&gt;"")*$AL$3:$AW$3)),0))</f>
        <v>0.1</v>
      </c>
      <c r="O39" s="411" t="str">
        <f t="shared" si="1"/>
        <v>█░░░░░░░░░</v>
      </c>
      <c r="P39" s="396" t="str">
        <f t="shared" si="2"/>
        <v>① 미팅/1st Contact (10%)</v>
      </c>
      <c r="Q39" s="396" t="str" cm="1">
        <f t="array" ref="Q39">IF($C39="","",IF($N39&gt;=1,"— 완료",INDEX($U$3:$AF$3,IF($N39=0,1,MATCH($N39,$AL$3:$AW$3,0)+1))))</f>
        <v>② NDA 체결 (20%)</v>
      </c>
      <c r="R39" s="406">
        <f t="shared" si="3"/>
        <v>45875</v>
      </c>
      <c r="S39" s="401">
        <f t="shared" ca="1" si="4"/>
        <v>374</v>
      </c>
      <c r="T39" s="403" t="str">
        <f t="shared" ca="1" si="5"/>
        <v>90일+ 정지</v>
      </c>
      <c r="U39" s="402">
        <v>45875</v>
      </c>
      <c r="V39" s="398"/>
      <c r="W39" s="398"/>
      <c r="X39" s="398"/>
      <c r="Y39" s="398"/>
      <c r="Z39" s="398"/>
      <c r="AA39" s="398"/>
      <c r="AB39" s="398"/>
      <c r="AC39" s="398"/>
      <c r="AD39" s="398"/>
      <c r="AE39" s="404"/>
      <c r="AF39" s="405"/>
      <c r="AG39" s="402"/>
      <c r="AH39" s="397"/>
      <c r="AI39" s="397"/>
      <c r="AJ39" s="407"/>
      <c r="AK39" s="408" t="str">
        <f t="shared" si="6"/>
        <v>개발중 / 착수 날짜 없음</v>
      </c>
    </row>
    <row r="40" spans="1:37" ht="15.75" customHeight="1">
      <c r="A40" s="395">
        <f>IF($C40="","",COUNTA($C$4:$C40))</f>
        <v>37</v>
      </c>
      <c r="B40" s="412" t="str">
        <f>IF('Dev Schedule 2025-26'!A40&lt;&gt;"",'Dev Schedule 2025-26'!A40,B39)</f>
        <v>Channel API</v>
      </c>
      <c r="C40" s="412" t="str">
        <f>IF('Dev Schedule 2025-26'!B40="","",'Dev Schedule 2025-26'!B40)</f>
        <v>Tungnam</v>
      </c>
      <c r="D40" s="396" t="str">
        <f t="shared" si="0"/>
        <v>→ OMH API 제공 (고객사가 OMH API 호출)</v>
      </c>
      <c r="E40" s="413"/>
      <c r="F40" s="412" t="str">
        <f>IF('Dev Schedule 2025-26'!G40="","",'Dev Schedule 2025-26'!G40)</f>
        <v>🟢 Minimal (5-10%)</v>
      </c>
      <c r="G40" s="412" t="str">
        <f>IF('Dev Schedule 2025-26'!E40="","",'Dev Schedule 2025-26'!E40)</f>
        <v>Tungnam</v>
      </c>
      <c r="H40" s="412" t="str">
        <f>IF('Dev Schedule 2025-26'!C40="","",'Dev Schedule 2025-26'!C40)</f>
        <v>GSM</v>
      </c>
      <c r="I40" s="412" t="str">
        <f>IF('Dev Schedule 2025-26'!D40="","",'Dev Schedule 2025-26'!D40)</f>
        <v>Grace</v>
      </c>
      <c r="J40" s="412" t="str">
        <f>IF('Dev Schedule 2025-26'!H40="","",'Dev Schedule 2025-26'!H40)</f>
        <v>Contact</v>
      </c>
      <c r="K40" s="412" t="str">
        <f>IF('Dev Schedule 2025-26'!I40="","",'Dev Schedule 2025-26'!I40)</f>
        <v>May-26</v>
      </c>
      <c r="L40" s="414" t="str">
        <f>IF('Dev Schedule 2025-26'!J40="","",'Dev Schedule 2025-26'!J40)</f>
        <v>Jun-26</v>
      </c>
      <c r="M40" s="400"/>
      <c r="N40" s="399" cm="1">
        <f t="array" ref="N40">IF($C40="","",IFERROR(SUMPRODUCT(MAX(($U40:$AF40&lt;&gt;"")*$AL$3:$AW$3)),0))</f>
        <v>0</v>
      </c>
      <c r="O40" s="411" t="str">
        <f t="shared" si="1"/>
        <v>░░░░░░░░░░</v>
      </c>
      <c r="P40" s="396" t="str">
        <f t="shared" si="2"/>
        <v>미추적 (날짜 기록 없음)</v>
      </c>
      <c r="Q40" s="396" t="str" cm="1">
        <f t="array" ref="Q40">IF($C40="","",IF($N40&gt;=1,"— 완료",INDEX($U$3:$AF$3,IF($N40=0,1,MATCH($N40,$AL$3:$AW$3,0)+1))))</f>
        <v>① 미팅/1st Contact (10%)</v>
      </c>
      <c r="R40" s="406" t="str">
        <f t="shared" si="3"/>
        <v/>
      </c>
      <c r="S40" s="401" t="str">
        <f t="shared" ca="1" si="4"/>
        <v/>
      </c>
      <c r="T40" s="403" t="str">
        <f t="shared" si="5"/>
        <v>기록 없음</v>
      </c>
      <c r="U40" s="402"/>
      <c r="V40" s="398"/>
      <c r="W40" s="398"/>
      <c r="X40" s="398"/>
      <c r="Y40" s="398"/>
      <c r="Z40" s="398"/>
      <c r="AA40" s="398"/>
      <c r="AB40" s="398"/>
      <c r="AC40" s="398"/>
      <c r="AD40" s="398"/>
      <c r="AE40" s="404"/>
      <c r="AF40" s="405"/>
      <c r="AG40" s="402"/>
      <c r="AH40" s="397"/>
      <c r="AI40" s="397"/>
      <c r="AJ40" s="407"/>
      <c r="AK40" s="408" t="str">
        <f t="shared" si="6"/>
        <v>OK</v>
      </c>
    </row>
    <row r="41" spans="1:37" ht="15.75" customHeight="1">
      <c r="A41" s="395">
        <f>IF($C41="","",COUNTA($C$4:$C41))</f>
        <v>38</v>
      </c>
      <c r="B41" s="412" t="str">
        <f>IF('Dev Schedule 2025-26'!A41&lt;&gt;"",'Dev Schedule 2025-26'!A41,B40)</f>
        <v>Channel API</v>
      </c>
      <c r="C41" s="412" t="str">
        <f>IF('Dev Schedule 2025-26'!B41="","",'Dev Schedule 2025-26'!B41)</f>
        <v>Uone</v>
      </c>
      <c r="D41" s="396" t="str">
        <f t="shared" si="0"/>
        <v>→ OMH API 제공 (고객사가 OMH API 호출)</v>
      </c>
      <c r="E41" s="413"/>
      <c r="F41" s="412" t="str">
        <f>IF('Dev Schedule 2025-26'!G41="","",'Dev Schedule 2025-26'!G41)</f>
        <v>🟢 Minimal (5-10%)</v>
      </c>
      <c r="G41" s="412" t="str">
        <f>IF('Dev Schedule 2025-26'!E41="","",'Dev Schedule 2025-26'!E41)</f>
        <v>Uone</v>
      </c>
      <c r="H41" s="412" t="str">
        <f>IF('Dev Schedule 2025-26'!C41="","",'Dev Schedule 2025-26'!C41)</f>
        <v>GSM</v>
      </c>
      <c r="I41" s="412" t="str">
        <f>IF('Dev Schedule 2025-26'!D41="","",'Dev Schedule 2025-26'!D41)</f>
        <v>Grace</v>
      </c>
      <c r="J41" s="412" t="str">
        <f>IF('Dev Schedule 2025-26'!H41="","",'Dev Schedule 2025-26'!H41)</f>
        <v>Contact</v>
      </c>
      <c r="K41" s="412" t="str">
        <f>IF('Dev Schedule 2025-26'!I41="","",'Dev Schedule 2025-26'!I41)</f>
        <v>Apr-26</v>
      </c>
      <c r="L41" s="414" t="str">
        <f>IF('Dev Schedule 2025-26'!J41="","",'Dev Schedule 2025-26'!J41)</f>
        <v>May-26</v>
      </c>
      <c r="M41" s="400" t="s">
        <v>1039</v>
      </c>
      <c r="N41" s="399" cm="1">
        <f t="array" ref="N41">IF($C41="","",IFERROR(SUMPRODUCT(MAX(($U41:$AF41&lt;&gt;"")*$AL$3:$AW$3)),0))</f>
        <v>0.2</v>
      </c>
      <c r="O41" s="411" t="str">
        <f t="shared" si="1"/>
        <v>██░░░░░░░░</v>
      </c>
      <c r="P41" s="396" t="str">
        <f t="shared" si="2"/>
        <v>② NDA 체결 (20%)</v>
      </c>
      <c r="Q41" s="396" t="str" cm="1">
        <f t="array" ref="Q41">IF($C41="","",IF($N41&gt;=1,"— 완료",INDEX($U$3:$AF$3,IF($N41=0,1,MATCH($N41,$AL$3:$AW$3,0)+1))))</f>
        <v>③ 계약 체결 (30%)</v>
      </c>
      <c r="R41" s="406">
        <f t="shared" si="3"/>
        <v>45908</v>
      </c>
      <c r="S41" s="401">
        <f t="shared" ca="1" si="4"/>
        <v>341</v>
      </c>
      <c r="T41" s="403" t="str">
        <f t="shared" ca="1" si="5"/>
        <v>90일+ 정지</v>
      </c>
      <c r="U41" s="402">
        <v>45176</v>
      </c>
      <c r="V41" s="398">
        <v>45908</v>
      </c>
      <c r="W41" s="398"/>
      <c r="X41" s="398"/>
      <c r="Y41" s="398"/>
      <c r="Z41" s="398"/>
      <c r="AA41" s="398"/>
      <c r="AB41" s="398"/>
      <c r="AC41" s="398"/>
      <c r="AD41" s="398"/>
      <c r="AE41" s="404"/>
      <c r="AF41" s="405"/>
      <c r="AG41" s="402"/>
      <c r="AH41" s="397"/>
      <c r="AI41" s="397"/>
      <c r="AJ41" s="407"/>
      <c r="AK41" s="408" t="str">
        <f t="shared" si="6"/>
        <v>OK</v>
      </c>
    </row>
    <row r="42" spans="1:37" ht="15.75" customHeight="1">
      <c r="A42" s="395">
        <f>IF($C42="","",COUNTA($C$4:$C42))</f>
        <v>39</v>
      </c>
      <c r="B42" s="412" t="str">
        <f>IF('Dev Schedule 2025-26'!A42&lt;&gt;"",'Dev Schedule 2025-26'!A42,B41)</f>
        <v>Channel API</v>
      </c>
      <c r="C42" s="412" t="str">
        <f>IF('Dev Schedule 2025-26'!B42="","",'Dev Schedule 2025-26'!B42)</f>
        <v>MUTOUR</v>
      </c>
      <c r="D42" s="396" t="str">
        <f t="shared" si="0"/>
        <v>→ OMH API 제공 (고객사가 OMH API 호출)</v>
      </c>
      <c r="E42" s="413"/>
      <c r="F42" s="412" t="str">
        <f>IF('Dev Schedule 2025-26'!G42="","",'Dev Schedule 2025-26'!G42)</f>
        <v>🟢 Minimal (5-10%)</v>
      </c>
      <c r="G42" s="412" t="str">
        <f>IF('Dev Schedule 2025-26'!E42="","",'Dev Schedule 2025-26'!E42)</f>
        <v>MUTOUR</v>
      </c>
      <c r="H42" s="412" t="str">
        <f>IF('Dev Schedule 2025-26'!C42="","",'Dev Schedule 2025-26'!C42)</f>
        <v>GSM</v>
      </c>
      <c r="I42" s="412" t="str">
        <f>IF('Dev Schedule 2025-26'!D42="","",'Dev Schedule 2025-26'!D42)</f>
        <v>Grace</v>
      </c>
      <c r="J42" s="412" t="str">
        <f>IF('Dev Schedule 2025-26'!H42="","",'Dev Schedule 2025-26'!H42)</f>
        <v>Contact</v>
      </c>
      <c r="K42" s="412" t="str">
        <f>IF('Dev Schedule 2025-26'!I42="","",'Dev Schedule 2025-26'!I42)</f>
        <v>May-26</v>
      </c>
      <c r="L42" s="414" t="str">
        <f>IF('Dev Schedule 2025-26'!J42="","",'Dev Schedule 2025-26'!J42)</f>
        <v>Jun-26</v>
      </c>
      <c r="M42" s="400"/>
      <c r="N42" s="399" cm="1">
        <f t="array" ref="N42">IF($C42="","",IFERROR(SUMPRODUCT(MAX(($U42:$AF42&lt;&gt;"")*$AL$3:$AW$3)),0))</f>
        <v>0</v>
      </c>
      <c r="O42" s="411" t="str">
        <f t="shared" si="1"/>
        <v>░░░░░░░░░░</v>
      </c>
      <c r="P42" s="396" t="str">
        <f t="shared" si="2"/>
        <v>미추적 (날짜 기록 없음)</v>
      </c>
      <c r="Q42" s="396" t="str" cm="1">
        <f t="array" ref="Q42">IF($C42="","",IF($N42&gt;=1,"— 완료",INDEX($U$3:$AF$3,IF($N42=0,1,MATCH($N42,$AL$3:$AW$3,0)+1))))</f>
        <v>① 미팅/1st Contact (10%)</v>
      </c>
      <c r="R42" s="406" t="str">
        <f t="shared" si="3"/>
        <v/>
      </c>
      <c r="S42" s="401" t="str">
        <f t="shared" ca="1" si="4"/>
        <v/>
      </c>
      <c r="T42" s="403" t="str">
        <f t="shared" si="5"/>
        <v>기록 없음</v>
      </c>
      <c r="U42" s="402"/>
      <c r="V42" s="398"/>
      <c r="W42" s="398"/>
      <c r="X42" s="398"/>
      <c r="Y42" s="398"/>
      <c r="Z42" s="398"/>
      <c r="AA42" s="398"/>
      <c r="AB42" s="398"/>
      <c r="AC42" s="398"/>
      <c r="AD42" s="398"/>
      <c r="AE42" s="404"/>
      <c r="AF42" s="405"/>
      <c r="AG42" s="402"/>
      <c r="AH42" s="397"/>
      <c r="AI42" s="397"/>
      <c r="AJ42" s="407"/>
      <c r="AK42" s="408" t="str">
        <f t="shared" si="6"/>
        <v>OK</v>
      </c>
    </row>
    <row r="43" spans="1:37" ht="15.75" customHeight="1">
      <c r="A43" s="395">
        <f>IF($C43="","",COUNTA($C$4:$C43))</f>
        <v>40</v>
      </c>
      <c r="B43" s="412" t="str">
        <f>IF('Dev Schedule 2025-26'!A43&lt;&gt;"",'Dev Schedule 2025-26'!A43,B42)</f>
        <v>Channel API</v>
      </c>
      <c r="C43" s="412" t="str">
        <f>IF('Dev Schedule 2025-26'!B43="","",'Dev Schedule 2025-26'!B43)</f>
        <v>Amerilink</v>
      </c>
      <c r="D43" s="396" t="str">
        <f t="shared" si="0"/>
        <v>→ OMH API 제공 (고객사가 OMH API 호출)</v>
      </c>
      <c r="E43" s="413"/>
      <c r="F43" s="412" t="str">
        <f>IF('Dev Schedule 2025-26'!G43="","",'Dev Schedule 2025-26'!G43)</f>
        <v>🟢 Minimal (5-10%)</v>
      </c>
      <c r="G43" s="412" t="str">
        <f>IF('Dev Schedule 2025-26'!E43="","",'Dev Schedule 2025-26'!E43)</f>
        <v>Amerilink</v>
      </c>
      <c r="H43" s="412" t="str">
        <f>IF('Dev Schedule 2025-26'!C43="","",'Dev Schedule 2025-26'!C43)</f>
        <v>GSM</v>
      </c>
      <c r="I43" s="412" t="str">
        <f>IF('Dev Schedule 2025-26'!D43="","",'Dev Schedule 2025-26'!D43)</f>
        <v>Grace</v>
      </c>
      <c r="J43" s="412" t="str">
        <f>IF('Dev Schedule 2025-26'!H43="","",'Dev Schedule 2025-26'!H43)</f>
        <v>Contact</v>
      </c>
      <c r="K43" s="412" t="str">
        <f>IF('Dev Schedule 2025-26'!I43="","",'Dev Schedule 2025-26'!I43)</f>
        <v>Apr-26</v>
      </c>
      <c r="L43" s="414" t="str">
        <f>IF('Dev Schedule 2025-26'!J43="","",'Dev Schedule 2025-26'!J43)</f>
        <v>May-26</v>
      </c>
      <c r="M43" s="400" t="s">
        <v>699</v>
      </c>
      <c r="N43" s="399" cm="1">
        <f t="array" ref="N43">IF($C43="","",IFERROR(SUMPRODUCT(MAX(($U43:$AF43&lt;&gt;"")*$AL$3:$AW$3)),0))</f>
        <v>0.2</v>
      </c>
      <c r="O43" s="411" t="str">
        <f t="shared" si="1"/>
        <v>██░░░░░░░░</v>
      </c>
      <c r="P43" s="396" t="str">
        <f t="shared" si="2"/>
        <v>② NDA 체결 (20%)</v>
      </c>
      <c r="Q43" s="396" t="str" cm="1">
        <f t="array" ref="Q43">IF($C43="","",IF($N43&gt;=1,"— 완료",INDEX($U$3:$AF$3,IF($N43=0,1,MATCH($N43,$AL$3:$AW$3,0)+1))))</f>
        <v>③ 계약 체결 (30%)</v>
      </c>
      <c r="R43" s="406">
        <f t="shared" si="3"/>
        <v>45957</v>
      </c>
      <c r="S43" s="401">
        <f t="shared" ca="1" si="4"/>
        <v>292</v>
      </c>
      <c r="T43" s="403" t="str">
        <f t="shared" ca="1" si="5"/>
        <v>90일+ 정지</v>
      </c>
      <c r="U43" s="402">
        <v>45907</v>
      </c>
      <c r="V43" s="398">
        <v>45957</v>
      </c>
      <c r="W43" s="398"/>
      <c r="X43" s="398"/>
      <c r="Y43" s="398"/>
      <c r="Z43" s="398"/>
      <c r="AA43" s="398"/>
      <c r="AB43" s="398"/>
      <c r="AC43" s="398"/>
      <c r="AD43" s="398"/>
      <c r="AE43" s="404"/>
      <c r="AF43" s="405"/>
      <c r="AG43" s="402"/>
      <c r="AH43" s="397"/>
      <c r="AI43" s="397"/>
      <c r="AJ43" s="407"/>
      <c r="AK43" s="408" t="str">
        <f t="shared" si="6"/>
        <v>OK</v>
      </c>
    </row>
    <row r="44" spans="1:37" ht="15.75" customHeight="1">
      <c r="A44" s="395">
        <f>IF($C44="","",COUNTA($C$4:$C44))</f>
        <v>41</v>
      </c>
      <c r="B44" s="412" t="str">
        <f>IF('Dev Schedule 2025-26'!A44&lt;&gt;"",'Dev Schedule 2025-26'!A44,B43)</f>
        <v>Channel API</v>
      </c>
      <c r="C44" s="412" t="str">
        <f>IF('Dev Schedule 2025-26'!B44="","",'Dev Schedule 2025-26'!B44)</f>
        <v>Chudu24</v>
      </c>
      <c r="D44" s="396" t="str">
        <f t="shared" si="0"/>
        <v>→ OMH API 제공 (고객사가 OMH API 호출)</v>
      </c>
      <c r="E44" s="413"/>
      <c r="F44" s="412" t="str">
        <f>IF('Dev Schedule 2025-26'!G44="","",'Dev Schedule 2025-26'!G44)</f>
        <v>🟢 Minimal (5-10%)</v>
      </c>
      <c r="G44" s="412" t="str">
        <f>IF('Dev Schedule 2025-26'!E44="","",'Dev Schedule 2025-26'!E44)</f>
        <v>Chudu24</v>
      </c>
      <c r="H44" s="412" t="str">
        <f>IF('Dev Schedule 2025-26'!C44="","",'Dev Schedule 2025-26'!C44)</f>
        <v>GSM</v>
      </c>
      <c r="I44" s="412" t="str">
        <f>IF('Dev Schedule 2025-26'!D44="","",'Dev Schedule 2025-26'!D44)</f>
        <v>Aiden</v>
      </c>
      <c r="J44" s="412" t="str">
        <f>IF('Dev Schedule 2025-26'!H44="","",'Dev Schedule 2025-26'!H44)</f>
        <v>Contact</v>
      </c>
      <c r="K44" s="412" t="str">
        <f>IF('Dev Schedule 2025-26'!I44="","",'Dev Schedule 2025-26'!I44)</f>
        <v>May-26</v>
      </c>
      <c r="L44" s="414" t="str">
        <f>IF('Dev Schedule 2025-26'!J44="","",'Dev Schedule 2025-26'!J44)</f>
        <v>Jun-26</v>
      </c>
      <c r="M44" s="400" t="s">
        <v>856</v>
      </c>
      <c r="N44" s="399" cm="1">
        <f t="array" ref="N44">IF($C44="","",IFERROR(SUMPRODUCT(MAX(($U44:$AF44&lt;&gt;"")*$AL$3:$AW$3)),0))</f>
        <v>0.3</v>
      </c>
      <c r="O44" s="411" t="str">
        <f t="shared" si="1"/>
        <v>███░░░░░░░</v>
      </c>
      <c r="P44" s="396" t="str">
        <f t="shared" si="2"/>
        <v>③ 계약 체결 (30%)</v>
      </c>
      <c r="Q44" s="396" t="str" cm="1">
        <f t="array" ref="Q44">IF($C44="","",IF($N44&gt;=1,"— 완료",INDEX($U$3:$AF$3,IF($N44=0,1,MATCH($N44,$AL$3:$AW$3,0)+1))))</f>
        <v>④ SLA 확정 (40%)</v>
      </c>
      <c r="R44" s="406">
        <f t="shared" si="3"/>
        <v>46001</v>
      </c>
      <c r="S44" s="401">
        <f t="shared" ca="1" si="4"/>
        <v>248</v>
      </c>
      <c r="T44" s="403" t="str">
        <f t="shared" ca="1" si="5"/>
        <v>90일+ 정지</v>
      </c>
      <c r="U44" s="402">
        <v>45995</v>
      </c>
      <c r="V44" s="398"/>
      <c r="W44" s="398">
        <v>46001</v>
      </c>
      <c r="X44" s="398"/>
      <c r="Y44" s="398"/>
      <c r="Z44" s="398"/>
      <c r="AA44" s="398"/>
      <c r="AB44" s="398"/>
      <c r="AC44" s="398"/>
      <c r="AD44" s="398"/>
      <c r="AE44" s="404"/>
      <c r="AF44" s="405"/>
      <c r="AG44" s="402"/>
      <c r="AH44" s="397"/>
      <c r="AI44" s="397"/>
      <c r="AJ44" s="407"/>
      <c r="AK44" s="408" t="str">
        <f t="shared" si="6"/>
        <v>Status=Contact / 계약 이후 날짜 존재</v>
      </c>
    </row>
    <row r="45" spans="1:37" ht="15.75" customHeight="1">
      <c r="A45" s="395">
        <f>IF($C45="","",COUNTA($C$4:$C45))</f>
        <v>42</v>
      </c>
      <c r="B45" s="412" t="str">
        <f>IF('Dev Schedule 2025-26'!A45&lt;&gt;"",'Dev Schedule 2025-26'!A45,B44)</f>
        <v>Channel API</v>
      </c>
      <c r="C45" s="412" t="str">
        <f>IF('Dev Schedule 2025-26'!B45="","",'Dev Schedule 2025-26'!B45)</f>
        <v>Prime Travel</v>
      </c>
      <c r="D45" s="396" t="str">
        <f t="shared" si="0"/>
        <v>→ OMH API 제공 (고객사가 OMH API 호출)</v>
      </c>
      <c r="E45" s="413"/>
      <c r="F45" s="412" t="str">
        <f>IF('Dev Schedule 2025-26'!G45="","",'Dev Schedule 2025-26'!G45)</f>
        <v>🟢 Minimal (5-10%)</v>
      </c>
      <c r="G45" s="412" t="str">
        <f>IF('Dev Schedule 2025-26'!E45="","",'Dev Schedule 2025-26'!E45)</f>
        <v>Prime Travel</v>
      </c>
      <c r="H45" s="412" t="str">
        <f>IF('Dev Schedule 2025-26'!C45="","",'Dev Schedule 2025-26'!C45)</f>
        <v>GSM</v>
      </c>
      <c r="I45" s="412" t="str">
        <f>IF('Dev Schedule 2025-26'!D45="","",'Dev Schedule 2025-26'!D45)</f>
        <v>Aiden</v>
      </c>
      <c r="J45" s="412" t="str">
        <f>IF('Dev Schedule 2025-26'!H45="","",'Dev Schedule 2025-26'!H45)</f>
        <v>Contact</v>
      </c>
      <c r="K45" s="412" t="str">
        <f>IF('Dev Schedule 2025-26'!I45="","",'Dev Schedule 2025-26'!I45)</f>
        <v>Jun-26</v>
      </c>
      <c r="L45" s="414" t="str">
        <f>IF('Dev Schedule 2025-26'!J45="","",'Dev Schedule 2025-26'!J45)</f>
        <v>Jul-26</v>
      </c>
      <c r="M45" s="400"/>
      <c r="N45" s="399" cm="1">
        <f t="array" ref="N45">IF($C45="","",IFERROR(SUMPRODUCT(MAX(($U45:$AF45&lt;&gt;"")*$AL$3:$AW$3)),0))</f>
        <v>0</v>
      </c>
      <c r="O45" s="411" t="str">
        <f t="shared" si="1"/>
        <v>░░░░░░░░░░</v>
      </c>
      <c r="P45" s="396" t="str">
        <f t="shared" si="2"/>
        <v>미추적 (날짜 기록 없음)</v>
      </c>
      <c r="Q45" s="396" t="str" cm="1">
        <f t="array" ref="Q45">IF($C45="","",IF($N45&gt;=1,"— 완료",INDEX($U$3:$AF$3,IF($N45=0,1,MATCH($N45,$AL$3:$AW$3,0)+1))))</f>
        <v>① 미팅/1st Contact (10%)</v>
      </c>
      <c r="R45" s="406" t="str">
        <f t="shared" si="3"/>
        <v/>
      </c>
      <c r="S45" s="401" t="str">
        <f t="shared" ca="1" si="4"/>
        <v/>
      </c>
      <c r="T45" s="403" t="str">
        <f t="shared" si="5"/>
        <v>기록 없음</v>
      </c>
      <c r="U45" s="402"/>
      <c r="V45" s="398"/>
      <c r="W45" s="398"/>
      <c r="X45" s="398"/>
      <c r="Y45" s="398"/>
      <c r="Z45" s="398"/>
      <c r="AA45" s="398"/>
      <c r="AB45" s="398"/>
      <c r="AC45" s="398"/>
      <c r="AD45" s="398"/>
      <c r="AE45" s="404"/>
      <c r="AF45" s="405"/>
      <c r="AG45" s="402"/>
      <c r="AH45" s="397"/>
      <c r="AI45" s="397"/>
      <c r="AJ45" s="407"/>
      <c r="AK45" s="408" t="str">
        <f t="shared" si="6"/>
        <v>OK</v>
      </c>
    </row>
    <row r="46" spans="1:37" ht="15.75" customHeight="1">
      <c r="A46" s="395">
        <f>IF($C46="","",COUNTA($C$4:$C46))</f>
        <v>43</v>
      </c>
      <c r="B46" s="412" t="str">
        <f>IF('Dev Schedule 2025-26'!A46&lt;&gt;"",'Dev Schedule 2025-26'!A46,B45)</f>
        <v>Channel API</v>
      </c>
      <c r="C46" s="412" t="str">
        <f>IF('Dev Schedule 2025-26'!B46="","",'Dev Schedule 2025-26'!B46)</f>
        <v>TIO</v>
      </c>
      <c r="D46" s="396" t="str">
        <f t="shared" si="0"/>
        <v>→ OMH API 제공 (고객사가 OMH API 호출)</v>
      </c>
      <c r="E46" s="413"/>
      <c r="F46" s="412" t="str">
        <f>IF('Dev Schedule 2025-26'!G46="","",'Dev Schedule 2025-26'!G46)</f>
        <v>🟢 Minimal (5-10%)</v>
      </c>
      <c r="G46" s="412" t="str">
        <f>IF('Dev Schedule 2025-26'!E46="","",'Dev Schedule 2025-26'!E46)</f>
        <v>TIO</v>
      </c>
      <c r="H46" s="412" t="str">
        <f>IF('Dev Schedule 2025-26'!C46="","",'Dev Schedule 2025-26'!C46)</f>
        <v>GSM</v>
      </c>
      <c r="I46" s="412" t="str">
        <f>IF('Dev Schedule 2025-26'!D46="","",'Dev Schedule 2025-26'!D46)</f>
        <v>Brian</v>
      </c>
      <c r="J46" s="412" t="str">
        <f>IF('Dev Schedule 2025-26'!H46="","",'Dev Schedule 2025-26'!H46)</f>
        <v>Contact</v>
      </c>
      <c r="K46" s="412" t="str">
        <f>IF('Dev Schedule 2025-26'!I46="","",'Dev Schedule 2025-26'!I46)</f>
        <v>Jul-26</v>
      </c>
      <c r="L46" s="414" t="str">
        <f>IF('Dev Schedule 2025-26'!J46="","",'Dev Schedule 2025-26'!J46)</f>
        <v>Aug-26</v>
      </c>
      <c r="M46" s="400"/>
      <c r="N46" s="399" cm="1">
        <f t="array" ref="N46">IF($C46="","",IFERROR(SUMPRODUCT(MAX(($U46:$AF46&lt;&gt;"")*$AL$3:$AW$3)),0))</f>
        <v>0</v>
      </c>
      <c r="O46" s="411" t="str">
        <f t="shared" si="1"/>
        <v>░░░░░░░░░░</v>
      </c>
      <c r="P46" s="396" t="str">
        <f t="shared" si="2"/>
        <v>미추적 (날짜 기록 없음)</v>
      </c>
      <c r="Q46" s="396" t="str" cm="1">
        <f t="array" ref="Q46">IF($C46="","",IF($N46&gt;=1,"— 완료",INDEX($U$3:$AF$3,IF($N46=0,1,MATCH($N46,$AL$3:$AW$3,0)+1))))</f>
        <v>① 미팅/1st Contact (10%)</v>
      </c>
      <c r="R46" s="406" t="str">
        <f t="shared" si="3"/>
        <v/>
      </c>
      <c r="S46" s="401" t="str">
        <f t="shared" ca="1" si="4"/>
        <v/>
      </c>
      <c r="T46" s="403" t="str">
        <f t="shared" si="5"/>
        <v>기록 없음</v>
      </c>
      <c r="U46" s="402"/>
      <c r="V46" s="398"/>
      <c r="W46" s="398"/>
      <c r="X46" s="398"/>
      <c r="Y46" s="398"/>
      <c r="Z46" s="398"/>
      <c r="AA46" s="398"/>
      <c r="AB46" s="398"/>
      <c r="AC46" s="398"/>
      <c r="AD46" s="398"/>
      <c r="AE46" s="404"/>
      <c r="AF46" s="405"/>
      <c r="AG46" s="402"/>
      <c r="AH46" s="397"/>
      <c r="AI46" s="397"/>
      <c r="AJ46" s="407"/>
      <c r="AK46" s="408" t="str">
        <f t="shared" si="6"/>
        <v>OK</v>
      </c>
    </row>
    <row r="47" spans="1:37" ht="15.75" customHeight="1">
      <c r="A47" s="395">
        <f>IF($C47="","",COUNTA($C$4:$C47))</f>
        <v>44</v>
      </c>
      <c r="B47" s="412" t="str">
        <f>IF('Dev Schedule 2025-26'!A47&lt;&gt;"",'Dev Schedule 2025-26'!A47,B46)</f>
        <v>Channel API</v>
      </c>
      <c r="C47" s="412" t="str">
        <f>IF('Dev Schedule 2025-26'!B47="","",'Dev Schedule 2025-26'!B47)</f>
        <v>Staylah</v>
      </c>
      <c r="D47" s="396" t="str">
        <f t="shared" si="0"/>
        <v>→ OMH API 제공 (고객사가 OMH API 호출)</v>
      </c>
      <c r="E47" s="413"/>
      <c r="F47" s="412" t="str">
        <f>IF('Dev Schedule 2025-26'!G47="","",'Dev Schedule 2025-26'!G47)</f>
        <v>🟢 Minimal (5-10%)</v>
      </c>
      <c r="G47" s="412" t="str">
        <f>IF('Dev Schedule 2025-26'!E47="","",'Dev Schedule 2025-26'!E47)</f>
        <v>Staylah</v>
      </c>
      <c r="H47" s="412" t="str">
        <f>IF('Dev Schedule 2025-26'!C47="","",'Dev Schedule 2025-26'!C47)</f>
        <v>GSM</v>
      </c>
      <c r="I47" s="412" t="str">
        <f>IF('Dev Schedule 2025-26'!D47="","",'Dev Schedule 2025-26'!D47)</f>
        <v>Bryant</v>
      </c>
      <c r="J47" s="412" t="str">
        <f>IF('Dev Schedule 2025-26'!H47="","",'Dev Schedule 2025-26'!H47)</f>
        <v>Contact</v>
      </c>
      <c r="K47" s="412" t="str">
        <f>IF('Dev Schedule 2025-26'!I47="","",'Dev Schedule 2025-26'!I47)</f>
        <v>Jul-26</v>
      </c>
      <c r="L47" s="414" t="str">
        <f>IF('Dev Schedule 2025-26'!J47="","",'Dev Schedule 2025-26'!J47)</f>
        <v>Aug-26</v>
      </c>
      <c r="M47" s="400" t="s">
        <v>1113</v>
      </c>
      <c r="N47" s="399" cm="1">
        <f t="array" ref="N47">IF($C47="","",IFERROR(SUMPRODUCT(MAX(($U47:$AF47&lt;&gt;"")*$AL$3:$AW$3)),0))</f>
        <v>0.1</v>
      </c>
      <c r="O47" s="411" t="str">
        <f t="shared" si="1"/>
        <v>█░░░░░░░░░</v>
      </c>
      <c r="P47" s="396" t="str">
        <f t="shared" si="2"/>
        <v>① 미팅/1st Contact (10%)</v>
      </c>
      <c r="Q47" s="396" t="str" cm="1">
        <f t="array" ref="Q47">IF($C47="","",IF($N47&gt;=1,"— 완료",INDEX($U$3:$AF$3,IF($N47=0,1,MATCH($N47,$AL$3:$AW$3,0)+1))))</f>
        <v>② NDA 체결 (20%)</v>
      </c>
      <c r="R47" s="406">
        <f t="shared" si="3"/>
        <v>45964</v>
      </c>
      <c r="S47" s="401">
        <f t="shared" ca="1" si="4"/>
        <v>285</v>
      </c>
      <c r="T47" s="403" t="str">
        <f t="shared" ca="1" si="5"/>
        <v>90일+ 정지</v>
      </c>
      <c r="U47" s="402">
        <v>45964</v>
      </c>
      <c r="V47" s="398"/>
      <c r="W47" s="398"/>
      <c r="X47" s="398"/>
      <c r="Y47" s="398"/>
      <c r="Z47" s="398"/>
      <c r="AA47" s="398"/>
      <c r="AB47" s="398"/>
      <c r="AC47" s="398"/>
      <c r="AD47" s="398"/>
      <c r="AE47" s="404"/>
      <c r="AF47" s="405"/>
      <c r="AG47" s="402"/>
      <c r="AH47" s="397"/>
      <c r="AI47" s="397"/>
      <c r="AJ47" s="407"/>
      <c r="AK47" s="408" t="str">
        <f t="shared" si="6"/>
        <v>OK</v>
      </c>
    </row>
    <row r="48" spans="1:37" ht="15.75" customHeight="1">
      <c r="A48" s="395">
        <f>IF($C48="","",COUNTA($C$4:$C48))</f>
        <v>45</v>
      </c>
      <c r="B48" s="412" t="str">
        <f>IF('Dev Schedule 2025-26'!A48&lt;&gt;"",'Dev Schedule 2025-26'!A48,B47)</f>
        <v>Channel API</v>
      </c>
      <c r="C48" s="412" t="str">
        <f>IF('Dev Schedule 2025-26'!B48="","",'Dev Schedule 2025-26'!B48)</f>
        <v>EZ Travel</v>
      </c>
      <c r="D48" s="396" t="str">
        <f t="shared" si="0"/>
        <v>→ OMH API 제공 (고객사가 OMH API 호출)</v>
      </c>
      <c r="E48" s="413"/>
      <c r="F48" s="412" t="str">
        <f>IF('Dev Schedule 2025-26'!G48="","",'Dev Schedule 2025-26'!G48)</f>
        <v>🟢 Minimal (5-10%)</v>
      </c>
      <c r="G48" s="412" t="str">
        <f>IF('Dev Schedule 2025-26'!E48="","",'Dev Schedule 2025-26'!E48)</f>
        <v>EZ Travel</v>
      </c>
      <c r="H48" s="412" t="str">
        <f>IF('Dev Schedule 2025-26'!C48="","",'Dev Schedule 2025-26'!C48)</f>
        <v>GSM</v>
      </c>
      <c r="I48" s="412" t="str">
        <f>IF('Dev Schedule 2025-26'!D48="","",'Dev Schedule 2025-26'!D48)</f>
        <v>Grace</v>
      </c>
      <c r="J48" s="412" t="str">
        <f>IF('Dev Schedule 2025-26'!H48="","",'Dev Schedule 2025-26'!H48)</f>
        <v>Contact</v>
      </c>
      <c r="K48" s="412" t="str">
        <f>IF('Dev Schedule 2025-26'!I48="","",'Dev Schedule 2025-26'!I48)</f>
        <v>Jul-26</v>
      </c>
      <c r="L48" s="414" t="str">
        <f>IF('Dev Schedule 2025-26'!J48="","",'Dev Schedule 2025-26'!J48)</f>
        <v>Aug-26</v>
      </c>
      <c r="M48" s="400" t="s">
        <v>618</v>
      </c>
      <c r="N48" s="399" cm="1">
        <f t="array" ref="N48">IF($C48="","",IFERROR(SUMPRODUCT(MAX(($U48:$AF48&lt;&gt;"")*$AL$3:$AW$3)),0))</f>
        <v>0.1</v>
      </c>
      <c r="O48" s="411" t="str">
        <f t="shared" si="1"/>
        <v>█░░░░░░░░░</v>
      </c>
      <c r="P48" s="396" t="str">
        <f t="shared" si="2"/>
        <v>① 미팅/1st Contact (10%)</v>
      </c>
      <c r="Q48" s="396" t="str" cm="1">
        <f t="array" ref="Q48">IF($C48="","",IF($N48&gt;=1,"— 완료",INDEX($U$3:$AF$3,IF($N48=0,1,MATCH($N48,$AL$3:$AW$3,0)+1))))</f>
        <v>② NDA 체결 (20%)</v>
      </c>
      <c r="R48" s="406">
        <f t="shared" si="3"/>
        <v>45860</v>
      </c>
      <c r="S48" s="401">
        <f t="shared" ca="1" si="4"/>
        <v>389</v>
      </c>
      <c r="T48" s="403" t="str">
        <f t="shared" ca="1" si="5"/>
        <v>90일+ 정지</v>
      </c>
      <c r="U48" s="402">
        <v>45860</v>
      </c>
      <c r="V48" s="398"/>
      <c r="W48" s="398"/>
      <c r="X48" s="398"/>
      <c r="Y48" s="398"/>
      <c r="Z48" s="398"/>
      <c r="AA48" s="398"/>
      <c r="AB48" s="398"/>
      <c r="AC48" s="398"/>
      <c r="AD48" s="398"/>
      <c r="AE48" s="404"/>
      <c r="AF48" s="405"/>
      <c r="AG48" s="402"/>
      <c r="AH48" s="397"/>
      <c r="AI48" s="397"/>
      <c r="AJ48" s="407"/>
      <c r="AK48" s="408" t="str">
        <f t="shared" si="6"/>
        <v>OK</v>
      </c>
    </row>
    <row r="49" spans="1:37" ht="15.75" customHeight="1">
      <c r="A49" s="395">
        <f>IF($C49="","",COUNTA($C$4:$C49))</f>
        <v>46</v>
      </c>
      <c r="B49" s="412" t="str">
        <f>IF('Dev Schedule 2025-26'!A49&lt;&gt;"",'Dev Schedule 2025-26'!A49,B48)</f>
        <v>Channel API</v>
      </c>
      <c r="C49" s="412" t="str">
        <f>IF('Dev Schedule 2025-26'!B49="","",'Dev Schedule 2025-26'!B49)</f>
        <v>Fangcang</v>
      </c>
      <c r="D49" s="396" t="str">
        <f t="shared" si="0"/>
        <v>→ OMH API 제공 (고객사가 OMH API 호출)</v>
      </c>
      <c r="E49" s="413"/>
      <c r="F49" s="412" t="str">
        <f>IF('Dev Schedule 2025-26'!G49="","",'Dev Schedule 2025-26'!G49)</f>
        <v>🟢 Minimal (5-10%)</v>
      </c>
      <c r="G49" s="412" t="str">
        <f>IF('Dev Schedule 2025-26'!E49="","",'Dev Schedule 2025-26'!E49)</f>
        <v>Fangcang</v>
      </c>
      <c r="H49" s="412" t="str">
        <f>IF('Dev Schedule 2025-26'!C49="","",'Dev Schedule 2025-26'!C49)</f>
        <v>GSM</v>
      </c>
      <c r="I49" s="412" t="str">
        <f>IF('Dev Schedule 2025-26'!D49="","",'Dev Schedule 2025-26'!D49)</f>
        <v>Grace</v>
      </c>
      <c r="J49" s="412" t="str">
        <f>IF('Dev Schedule 2025-26'!H49="","",'Dev Schedule 2025-26'!H49)</f>
        <v>In Development</v>
      </c>
      <c r="K49" s="412" t="str">
        <f>IF('Dev Schedule 2025-26'!I49="","",'Dev Schedule 2025-26'!I49)</f>
        <v>Jul-26</v>
      </c>
      <c r="L49" s="414" t="str">
        <f>IF('Dev Schedule 2025-26'!J49="","",'Dev Schedule 2025-26'!J49)</f>
        <v>Aug-26</v>
      </c>
      <c r="M49" s="400" t="s">
        <v>1475</v>
      </c>
      <c r="N49" s="399" cm="1">
        <f t="array" ref="N49">IF($C49="","",IFERROR(SUMPRODUCT(MAX(($U49:$AF49&lt;&gt;"")*$AL$3:$AW$3)),0))</f>
        <v>0.1</v>
      </c>
      <c r="O49" s="411" t="str">
        <f t="shared" si="1"/>
        <v>█░░░░░░░░░</v>
      </c>
      <c r="P49" s="396" t="str">
        <f t="shared" si="2"/>
        <v>① 미팅/1st Contact (10%)</v>
      </c>
      <c r="Q49" s="396" t="str" cm="1">
        <f t="array" ref="Q49">IF($C49="","",IF($N49&gt;=1,"— 완료",INDEX($U$3:$AF$3,IF($N49=0,1,MATCH($N49,$AL$3:$AW$3,0)+1))))</f>
        <v>② NDA 체결 (20%)</v>
      </c>
      <c r="R49" s="406">
        <f t="shared" si="3"/>
        <v>45986</v>
      </c>
      <c r="S49" s="401">
        <f t="shared" ca="1" si="4"/>
        <v>263</v>
      </c>
      <c r="T49" s="403" t="str">
        <f t="shared" ca="1" si="5"/>
        <v>90일+ 정지</v>
      </c>
      <c r="U49" s="402">
        <v>45986</v>
      </c>
      <c r="V49" s="398"/>
      <c r="W49" s="398"/>
      <c r="X49" s="398"/>
      <c r="Y49" s="398"/>
      <c r="Z49" s="398"/>
      <c r="AA49" s="398"/>
      <c r="AB49" s="398"/>
      <c r="AC49" s="398"/>
      <c r="AD49" s="398"/>
      <c r="AE49" s="404"/>
      <c r="AF49" s="405"/>
      <c r="AG49" s="402"/>
      <c r="AH49" s="397"/>
      <c r="AI49" s="397"/>
      <c r="AJ49" s="407"/>
      <c r="AK49" s="408" t="str">
        <f t="shared" si="6"/>
        <v>개발중 / 착수 날짜 없음</v>
      </c>
    </row>
    <row r="50" spans="1:37" ht="15.75" customHeight="1">
      <c r="A50" s="395">
        <f>IF($C50="","",COUNTA($C$4:$C50))</f>
        <v>47</v>
      </c>
      <c r="B50" s="412" t="str">
        <f>IF('Dev Schedule 2025-26'!A50&lt;&gt;"",'Dev Schedule 2025-26'!A50,B49)</f>
        <v>Channel API</v>
      </c>
      <c r="C50" s="412" t="str">
        <f>IF('Dev Schedule 2025-26'!B50="","",'Dev Schedule 2025-26'!B50)</f>
        <v>Meiya</v>
      </c>
      <c r="D50" s="396" t="str">
        <f t="shared" si="0"/>
        <v>→ OMH API 제공 (고객사가 OMH API 호출)</v>
      </c>
      <c r="E50" s="413"/>
      <c r="F50" s="412" t="str">
        <f>IF('Dev Schedule 2025-26'!G50="","",'Dev Schedule 2025-26'!G50)</f>
        <v>🟢 Minimal (5-10%)</v>
      </c>
      <c r="G50" s="412" t="str">
        <f>IF('Dev Schedule 2025-26'!E50="","",'Dev Schedule 2025-26'!E50)</f>
        <v>Meiya</v>
      </c>
      <c r="H50" s="412" t="str">
        <f>IF('Dev Schedule 2025-26'!C50="","",'Dev Schedule 2025-26'!C50)</f>
        <v>GSM</v>
      </c>
      <c r="I50" s="412" t="str">
        <f>IF('Dev Schedule 2025-26'!D50="","",'Dev Schedule 2025-26'!D50)</f>
        <v>Grace</v>
      </c>
      <c r="J50" s="412" t="str">
        <f>IF('Dev Schedule 2025-26'!H50="","",'Dev Schedule 2025-26'!H50)</f>
        <v>NDA/Contract</v>
      </c>
      <c r="K50" s="412" t="str">
        <f>IF('Dev Schedule 2025-26'!I50="","",'Dev Schedule 2025-26'!I50)</f>
        <v/>
      </c>
      <c r="L50" s="414" t="str">
        <f>IF('Dev Schedule 2025-26'!J50="","",'Dev Schedule 2025-26'!J50)</f>
        <v/>
      </c>
      <c r="M50" s="400" t="s">
        <v>1453</v>
      </c>
      <c r="N50" s="399" cm="1">
        <f t="array" ref="N50">IF($C50="","",IFERROR(SUMPRODUCT(MAX(($U50:$AF50&lt;&gt;"")*$AL$3:$AW$3)),0))</f>
        <v>0.1</v>
      </c>
      <c r="O50" s="411" t="str">
        <f t="shared" si="1"/>
        <v>█░░░░░░░░░</v>
      </c>
      <c r="P50" s="396" t="str">
        <f t="shared" si="2"/>
        <v>① 미팅/1st Contact (10%)</v>
      </c>
      <c r="Q50" s="396" t="str" cm="1">
        <f t="array" ref="Q50">IF($C50="","",IF($N50&gt;=1,"— 완료",INDEX($U$3:$AF$3,IF($N50=0,1,MATCH($N50,$AL$3:$AW$3,0)+1))))</f>
        <v>② NDA 체결 (20%)</v>
      </c>
      <c r="R50" s="406">
        <f t="shared" si="3"/>
        <v>45986</v>
      </c>
      <c r="S50" s="401">
        <f t="shared" ca="1" si="4"/>
        <v>263</v>
      </c>
      <c r="T50" s="403" t="str">
        <f t="shared" ca="1" si="5"/>
        <v>90일+ 정지</v>
      </c>
      <c r="U50" s="402">
        <v>45986</v>
      </c>
      <c r="V50" s="398"/>
      <c r="W50" s="398"/>
      <c r="X50" s="398"/>
      <c r="Y50" s="398"/>
      <c r="Z50" s="398"/>
      <c r="AA50" s="398"/>
      <c r="AB50" s="398"/>
      <c r="AC50" s="398"/>
      <c r="AD50" s="398"/>
      <c r="AE50" s="404"/>
      <c r="AF50" s="405"/>
      <c r="AG50" s="402"/>
      <c r="AH50" s="397"/>
      <c r="AI50" s="397"/>
      <c r="AJ50" s="407"/>
      <c r="AK50" s="408" t="str">
        <f t="shared" si="6"/>
        <v>OK</v>
      </c>
    </row>
    <row r="51" spans="1:37" ht="15.75" customHeight="1">
      <c r="A51" s="395">
        <f>IF($C51="","",COUNTA($C$4:$C51))</f>
        <v>48</v>
      </c>
      <c r="B51" s="412" t="str">
        <f>IF('Dev Schedule 2025-26'!A51&lt;&gt;"",'Dev Schedule 2025-26'!A51,B50)</f>
        <v>Channel API</v>
      </c>
      <c r="C51" s="412" t="str">
        <f>IF('Dev Schedule 2025-26'!B51="","",'Dev Schedule 2025-26'!B51)</f>
        <v>JL Tour</v>
      </c>
      <c r="D51" s="396" t="str">
        <f t="shared" si="0"/>
        <v>→ OMH API 제공 (고객사가 OMH API 호출)</v>
      </c>
      <c r="E51" s="413"/>
      <c r="F51" s="412" t="str">
        <f>IF('Dev Schedule 2025-26'!G51="","",'Dev Schedule 2025-26'!G51)</f>
        <v>🟢 Minimal (5-10%)</v>
      </c>
      <c r="G51" s="412" t="str">
        <f>IF('Dev Schedule 2025-26'!E51="","",'Dev Schedule 2025-26'!E51)</f>
        <v>JL Tour</v>
      </c>
      <c r="H51" s="412" t="str">
        <f>IF('Dev Schedule 2025-26'!C51="","",'Dev Schedule 2025-26'!C51)</f>
        <v>GSM</v>
      </c>
      <c r="I51" s="412" t="str">
        <f>IF('Dev Schedule 2025-26'!D51="","",'Dev Schedule 2025-26'!D51)</f>
        <v>Grace</v>
      </c>
      <c r="J51" s="412" t="str">
        <f>IF('Dev Schedule 2025-26'!H51="","",'Dev Schedule 2025-26'!H51)</f>
        <v>In Development</v>
      </c>
      <c r="K51" s="412" t="str">
        <f>IF('Dev Schedule 2025-26'!I51="","",'Dev Schedule 2025-26'!I51)</f>
        <v>Jul-26</v>
      </c>
      <c r="L51" s="414" t="str">
        <f>IF('Dev Schedule 2025-26'!J51="","",'Dev Schedule 2025-26'!J51)</f>
        <v>Aug-26</v>
      </c>
      <c r="M51" s="400" t="s">
        <v>793</v>
      </c>
      <c r="N51" s="399" cm="1">
        <f t="array" ref="N51">IF($C51="","",IFERROR(SUMPRODUCT(MAX(($U51:$AF51&lt;&gt;"")*$AL$3:$AW$3)),0))</f>
        <v>0</v>
      </c>
      <c r="O51" s="411" t="str">
        <f t="shared" si="1"/>
        <v>░░░░░░░░░░</v>
      </c>
      <c r="P51" s="396" t="str">
        <f t="shared" si="2"/>
        <v>미추적 (날짜 기록 없음)</v>
      </c>
      <c r="Q51" s="396" t="str" cm="1">
        <f t="array" ref="Q51">IF($C51="","",IF($N51&gt;=1,"— 완료",INDEX($U$3:$AF$3,IF($N51=0,1,MATCH($N51,$AL$3:$AW$3,0)+1))))</f>
        <v>① 미팅/1st Contact (10%)</v>
      </c>
      <c r="R51" s="406" t="str">
        <f t="shared" si="3"/>
        <v/>
      </c>
      <c r="S51" s="401" t="str">
        <f t="shared" ca="1" si="4"/>
        <v/>
      </c>
      <c r="T51" s="403" t="str">
        <f t="shared" si="5"/>
        <v>기록 없음</v>
      </c>
      <c r="U51" s="402"/>
      <c r="V51" s="398"/>
      <c r="W51" s="398"/>
      <c r="X51" s="398"/>
      <c r="Y51" s="398"/>
      <c r="Z51" s="398"/>
      <c r="AA51" s="398"/>
      <c r="AB51" s="398"/>
      <c r="AC51" s="398"/>
      <c r="AD51" s="398"/>
      <c r="AE51" s="404"/>
      <c r="AF51" s="405"/>
      <c r="AG51" s="402"/>
      <c r="AH51" s="397"/>
      <c r="AI51" s="397"/>
      <c r="AJ51" s="407"/>
      <c r="AK51" s="408" t="str">
        <f t="shared" si="6"/>
        <v>개발중 / 착수 날짜 없음</v>
      </c>
    </row>
    <row r="52" spans="1:37" ht="15.75" customHeight="1">
      <c r="A52" s="395">
        <f>IF($C52="","",COUNTA($C$4:$C52))</f>
        <v>49</v>
      </c>
      <c r="B52" s="412" t="str">
        <f>IF('Dev Schedule 2025-26'!A52&lt;&gt;"",'Dev Schedule 2025-26'!A52,B51)</f>
        <v>Channel API</v>
      </c>
      <c r="C52" s="412" t="str">
        <f>IF('Dev Schedule 2025-26'!B52="","",'Dev Schedule 2025-26'!B52)</f>
        <v>Leisure To You</v>
      </c>
      <c r="D52" s="396" t="str">
        <f t="shared" si="0"/>
        <v>→ OMH API 제공 (고객사가 OMH API 호출)</v>
      </c>
      <c r="E52" s="413"/>
      <c r="F52" s="412" t="str">
        <f>IF('Dev Schedule 2025-26'!G52="","",'Dev Schedule 2025-26'!G52)</f>
        <v>🟢 Minimal (5-10%)</v>
      </c>
      <c r="G52" s="412" t="str">
        <f>IF('Dev Schedule 2025-26'!E52="","",'Dev Schedule 2025-26'!E52)</f>
        <v>Leisure To You</v>
      </c>
      <c r="H52" s="412" t="str">
        <f>IF('Dev Schedule 2025-26'!C52="","",'Dev Schedule 2025-26'!C52)</f>
        <v>GSM</v>
      </c>
      <c r="I52" s="412" t="str">
        <f>IF('Dev Schedule 2025-26'!D52="","",'Dev Schedule 2025-26'!D52)</f>
        <v>??</v>
      </c>
      <c r="J52" s="412" t="str">
        <f>IF('Dev Schedule 2025-26'!H52="","",'Dev Schedule 2025-26'!H52)</f>
        <v>NDA/Contract</v>
      </c>
      <c r="K52" s="412" t="str">
        <f>IF('Dev Schedule 2025-26'!I52="","",'Dev Schedule 2025-26'!I52)</f>
        <v/>
      </c>
      <c r="L52" s="414" t="str">
        <f>IF('Dev Schedule 2025-26'!J52="","",'Dev Schedule 2025-26'!J52)</f>
        <v/>
      </c>
      <c r="M52" s="400"/>
      <c r="N52" s="399" cm="1">
        <f t="array" ref="N52">IF($C52="","",IFERROR(SUMPRODUCT(MAX(($U52:$AF52&lt;&gt;"")*$AL$3:$AW$3)),0))</f>
        <v>0</v>
      </c>
      <c r="O52" s="411" t="str">
        <f t="shared" si="1"/>
        <v>░░░░░░░░░░</v>
      </c>
      <c r="P52" s="396" t="str">
        <f t="shared" si="2"/>
        <v>미추적 (날짜 기록 없음)</v>
      </c>
      <c r="Q52" s="396" t="str" cm="1">
        <f t="array" ref="Q52">IF($C52="","",IF($N52&gt;=1,"— 완료",INDEX($U$3:$AF$3,IF($N52=0,1,MATCH($N52,$AL$3:$AW$3,0)+1))))</f>
        <v>① 미팅/1st Contact (10%)</v>
      </c>
      <c r="R52" s="406" t="str">
        <f t="shared" si="3"/>
        <v/>
      </c>
      <c r="S52" s="401" t="str">
        <f t="shared" ca="1" si="4"/>
        <v/>
      </c>
      <c r="T52" s="403" t="str">
        <f t="shared" si="5"/>
        <v>기록 없음</v>
      </c>
      <c r="U52" s="402"/>
      <c r="V52" s="398"/>
      <c r="W52" s="398"/>
      <c r="X52" s="398"/>
      <c r="Y52" s="398"/>
      <c r="Z52" s="398"/>
      <c r="AA52" s="398"/>
      <c r="AB52" s="398"/>
      <c r="AC52" s="398"/>
      <c r="AD52" s="398"/>
      <c r="AE52" s="404"/>
      <c r="AF52" s="405"/>
      <c r="AG52" s="402"/>
      <c r="AH52" s="397"/>
      <c r="AI52" s="397"/>
      <c r="AJ52" s="407"/>
      <c r="AK52" s="408" t="str">
        <f t="shared" si="6"/>
        <v>OK</v>
      </c>
    </row>
    <row r="53" spans="1:37" ht="15.75" customHeight="1">
      <c r="A53" s="395">
        <f>IF($C53="","",COUNTA($C$4:$C53))</f>
        <v>50</v>
      </c>
      <c r="B53" s="412" t="str">
        <f>IF('Dev Schedule 2025-26'!A53&lt;&gt;"",'Dev Schedule 2025-26'!A53,B52)</f>
        <v>Channel API</v>
      </c>
      <c r="C53" s="412" t="str">
        <f>IF('Dev Schedule 2025-26'!B53="","",'Dev Schedule 2025-26'!B53)</f>
        <v>Qian Tao</v>
      </c>
      <c r="D53" s="396" t="str">
        <f t="shared" si="0"/>
        <v>→ OMH API 제공 (고객사가 OMH API 호출)</v>
      </c>
      <c r="E53" s="413"/>
      <c r="F53" s="412" t="str">
        <f>IF('Dev Schedule 2025-26'!G53="","",'Dev Schedule 2025-26'!G53)</f>
        <v>🟢 Minimal (5-10%)</v>
      </c>
      <c r="G53" s="412" t="str">
        <f>IF('Dev Schedule 2025-26'!E53="","",'Dev Schedule 2025-26'!E53)</f>
        <v>Qian Tao</v>
      </c>
      <c r="H53" s="412" t="str">
        <f>IF('Dev Schedule 2025-26'!C53="","",'Dev Schedule 2025-26'!C53)</f>
        <v>GSM</v>
      </c>
      <c r="I53" s="412" t="str">
        <f>IF('Dev Schedule 2025-26'!D53="","",'Dev Schedule 2025-26'!D53)</f>
        <v>Grace</v>
      </c>
      <c r="J53" s="412" t="str">
        <f>IF('Dev Schedule 2025-26'!H53="","",'Dev Schedule 2025-26'!H53)</f>
        <v>NDA/Contract</v>
      </c>
      <c r="K53" s="412" t="str">
        <f>IF('Dev Schedule 2025-26'!I53="","",'Dev Schedule 2025-26'!I53)</f>
        <v>Oct-26</v>
      </c>
      <c r="L53" s="414" t="str">
        <f>IF('Dev Schedule 2025-26'!J53="","",'Dev Schedule 2025-26'!J53)</f>
        <v>Nov-26</v>
      </c>
      <c r="M53" s="400" t="s">
        <v>712</v>
      </c>
      <c r="N53" s="399" cm="1">
        <f t="array" ref="N53">IF($C53="","",IFERROR(SUMPRODUCT(MAX(($U53:$AF53&lt;&gt;"")*$AL$3:$AW$3)),0))</f>
        <v>0.1</v>
      </c>
      <c r="O53" s="411" t="str">
        <f t="shared" si="1"/>
        <v>█░░░░░░░░░</v>
      </c>
      <c r="P53" s="396" t="str">
        <f t="shared" si="2"/>
        <v>① 미팅/1st Contact (10%)</v>
      </c>
      <c r="Q53" s="396" t="str" cm="1">
        <f t="array" ref="Q53">IF($C53="","",IF($N53&gt;=1,"— 완료",INDEX($U$3:$AF$3,IF($N53=0,1,MATCH($N53,$AL$3:$AW$3,0)+1))))</f>
        <v>② NDA 체결 (20%)</v>
      </c>
      <c r="R53" s="406">
        <f t="shared" si="3"/>
        <v>45820</v>
      </c>
      <c r="S53" s="401">
        <f t="shared" ca="1" si="4"/>
        <v>429</v>
      </c>
      <c r="T53" s="403" t="str">
        <f t="shared" ca="1" si="5"/>
        <v>90일+ 정지</v>
      </c>
      <c r="U53" s="402">
        <v>45820</v>
      </c>
      <c r="V53" s="398"/>
      <c r="W53" s="398"/>
      <c r="X53" s="398"/>
      <c r="Y53" s="398"/>
      <c r="Z53" s="398"/>
      <c r="AA53" s="398"/>
      <c r="AB53" s="398"/>
      <c r="AC53" s="398"/>
      <c r="AD53" s="398"/>
      <c r="AE53" s="404"/>
      <c r="AF53" s="405"/>
      <c r="AG53" s="402"/>
      <c r="AH53" s="397"/>
      <c r="AI53" s="397"/>
      <c r="AJ53" s="407"/>
      <c r="AK53" s="408" t="str">
        <f t="shared" si="6"/>
        <v>OK</v>
      </c>
    </row>
    <row r="54" spans="1:37" ht="15.75" customHeight="1">
      <c r="A54" s="395">
        <f>IF($C54="","",COUNTA($C$4:$C54))</f>
        <v>51</v>
      </c>
      <c r="B54" s="412" t="str">
        <f>IF('Dev Schedule 2025-26'!A54&lt;&gt;"",'Dev Schedule 2025-26'!A54,B53)</f>
        <v>Channel API</v>
      </c>
      <c r="C54" s="412" t="str">
        <f>IF('Dev Schedule 2025-26'!B54="","",'Dev Schedule 2025-26'!B54)</f>
        <v>MakeMyTrip</v>
      </c>
      <c r="D54" s="396" t="str">
        <f t="shared" si="0"/>
        <v>→ OMH API 제공 (고객사가 OMH API 호출)</v>
      </c>
      <c r="E54" s="413"/>
      <c r="F54" s="412" t="str">
        <f>IF('Dev Schedule 2025-26'!G54="","",'Dev Schedule 2025-26'!G54)</f>
        <v>🔴 Full (100%)</v>
      </c>
      <c r="G54" s="412" t="str">
        <f>IF('Dev Schedule 2025-26'!E54="","",'Dev Schedule 2025-26'!E54)</f>
        <v>MakeMyTrip</v>
      </c>
      <c r="H54" s="412" t="str">
        <f>IF('Dev Schedule 2025-26'!C54="","",'Dev Schedule 2025-26'!C54)</f>
        <v>GSM</v>
      </c>
      <c r="I54" s="412" t="str">
        <f>IF('Dev Schedule 2025-26'!D54="","",'Dev Schedule 2025-26'!D54)</f>
        <v>Bryant</v>
      </c>
      <c r="J54" s="412" t="str">
        <f>IF('Dev Schedule 2025-26'!H54="","",'Dev Schedule 2025-26'!H54)</f>
        <v>NDA/Contract</v>
      </c>
      <c r="K54" s="412" t="str">
        <f>IF('Dev Schedule 2025-26'!I54="","",'Dev Schedule 2025-26'!I54)</f>
        <v>Aug-2026</v>
      </c>
      <c r="L54" s="414" t="str">
        <f>IF('Dev Schedule 2025-26'!J54="","",'Dev Schedule 2025-26'!J54)</f>
        <v>Dec - 2026</v>
      </c>
      <c r="M54" s="400" t="s">
        <v>681</v>
      </c>
      <c r="N54" s="399" cm="1">
        <f t="array" ref="N54">IF($C54="","",IFERROR(SUMPRODUCT(MAX(($U54:$AF54&lt;&gt;"")*$AL$3:$AW$3)),0))</f>
        <v>0.1</v>
      </c>
      <c r="O54" s="411" t="str">
        <f t="shared" si="1"/>
        <v>█░░░░░░░░░</v>
      </c>
      <c r="P54" s="396" t="str">
        <f t="shared" si="2"/>
        <v>① 미팅/1st Contact (10%)</v>
      </c>
      <c r="Q54" s="396" t="str" cm="1">
        <f t="array" ref="Q54">IF($C54="","",IF($N54&gt;=1,"— 완료",INDEX($U$3:$AF$3,IF($N54=0,1,MATCH($N54,$AL$3:$AW$3,0)+1))))</f>
        <v>② NDA 체결 (20%)</v>
      </c>
      <c r="R54" s="406">
        <f t="shared" si="3"/>
        <v>45993</v>
      </c>
      <c r="S54" s="401">
        <f t="shared" ca="1" si="4"/>
        <v>256</v>
      </c>
      <c r="T54" s="403" t="str">
        <f t="shared" ca="1" si="5"/>
        <v>90일+ 정지</v>
      </c>
      <c r="U54" s="402">
        <v>45993</v>
      </c>
      <c r="V54" s="398"/>
      <c r="W54" s="398"/>
      <c r="X54" s="398"/>
      <c r="Y54" s="398"/>
      <c r="Z54" s="398"/>
      <c r="AA54" s="398"/>
      <c r="AB54" s="398"/>
      <c r="AC54" s="398"/>
      <c r="AD54" s="398"/>
      <c r="AE54" s="404"/>
      <c r="AF54" s="405"/>
      <c r="AG54" s="402"/>
      <c r="AH54" s="397"/>
      <c r="AI54" s="397"/>
      <c r="AJ54" s="407"/>
      <c r="AK54" s="408" t="str">
        <f t="shared" si="6"/>
        <v>OK</v>
      </c>
    </row>
    <row r="55" spans="1:37" ht="15.75" customHeight="1">
      <c r="A55" s="395">
        <f>IF($C55="","",COUNTA($C$4:$C55))</f>
        <v>52</v>
      </c>
      <c r="B55" s="412" t="str">
        <f>IF('Dev Schedule 2025-26'!A55&lt;&gt;"",'Dev Schedule 2025-26'!A55,B54)</f>
        <v>Channel API</v>
      </c>
      <c r="C55" s="412" t="str">
        <f>IF('Dev Schedule 2025-26'!B55="","",'Dev Schedule 2025-26'!B55)</f>
        <v>Vietravel</v>
      </c>
      <c r="D55" s="396" t="str">
        <f t="shared" si="0"/>
        <v>→ OMH API 제공 (고객사가 OMH API 호출)</v>
      </c>
      <c r="E55" s="413"/>
      <c r="F55" s="412" t="str">
        <f>IF('Dev Schedule 2025-26'!G55="","",'Dev Schedule 2025-26'!G55)</f>
        <v>🟢 Minimal (5-10%)</v>
      </c>
      <c r="G55" s="412" t="str">
        <f>IF('Dev Schedule 2025-26'!E55="","",'Dev Schedule 2025-26'!E55)</f>
        <v>Vietravel</v>
      </c>
      <c r="H55" s="412" t="str">
        <f>IF('Dev Schedule 2025-26'!C55="","",'Dev Schedule 2025-26'!C55)</f>
        <v>GSM</v>
      </c>
      <c r="I55" s="412" t="str">
        <f>IF('Dev Schedule 2025-26'!D55="","",'Dev Schedule 2025-26'!D55)</f>
        <v>Aiden</v>
      </c>
      <c r="J55" s="412" t="str">
        <f>IF('Dev Schedule 2025-26'!H55="","",'Dev Schedule 2025-26'!H55)</f>
        <v>NDA/Contract</v>
      </c>
      <c r="K55" s="412" t="str">
        <f>IF('Dev Schedule 2025-26'!I55="","",'Dev Schedule 2025-26'!I55)</f>
        <v>Aug-26</v>
      </c>
      <c r="L55" s="414" t="str">
        <f>IF('Dev Schedule 2025-26'!J55="","",'Dev Schedule 2025-26'!J55)</f>
        <v>Dec-26</v>
      </c>
      <c r="M55" s="400" t="s">
        <v>1023</v>
      </c>
      <c r="N55" s="399" cm="1">
        <f t="array" ref="N55">IF($C55="","",IFERROR(SUMPRODUCT(MAX(($U55:$AF55&lt;&gt;"")*$AL$3:$AW$3)),0))</f>
        <v>0.1</v>
      </c>
      <c r="O55" s="411" t="str">
        <f t="shared" si="1"/>
        <v>█░░░░░░░░░</v>
      </c>
      <c r="P55" s="396" t="str">
        <f t="shared" si="2"/>
        <v>① 미팅/1st Contact (10%)</v>
      </c>
      <c r="Q55" s="396" t="str" cm="1">
        <f t="array" ref="Q55">IF($C55="","",IF($N55&gt;=1,"— 완료",INDEX($U$3:$AF$3,IF($N55=0,1,MATCH($N55,$AL$3:$AW$3,0)+1))))</f>
        <v>② NDA 체결 (20%)</v>
      </c>
      <c r="R55" s="406">
        <f t="shared" si="3"/>
        <v>45995</v>
      </c>
      <c r="S55" s="401">
        <f t="shared" ca="1" si="4"/>
        <v>254</v>
      </c>
      <c r="T55" s="403" t="str">
        <f t="shared" ca="1" si="5"/>
        <v>90일+ 정지</v>
      </c>
      <c r="U55" s="402">
        <v>45995</v>
      </c>
      <c r="V55" s="398"/>
      <c r="W55" s="398"/>
      <c r="X55" s="398"/>
      <c r="Y55" s="398"/>
      <c r="Z55" s="398"/>
      <c r="AA55" s="398"/>
      <c r="AB55" s="398"/>
      <c r="AC55" s="398"/>
      <c r="AD55" s="398"/>
      <c r="AE55" s="404"/>
      <c r="AF55" s="405"/>
      <c r="AG55" s="402"/>
      <c r="AH55" s="397"/>
      <c r="AI55" s="397"/>
      <c r="AJ55" s="407"/>
      <c r="AK55" s="408" t="str">
        <f t="shared" si="6"/>
        <v>OK</v>
      </c>
    </row>
    <row r="56" spans="1:37" ht="15.75" customHeight="1">
      <c r="A56" s="395">
        <f>IF($C56="","",COUNTA($C$4:$C56))</f>
        <v>53</v>
      </c>
      <c r="B56" s="412" t="str">
        <f>IF('Dev Schedule 2025-26'!A56&lt;&gt;"",'Dev Schedule 2025-26'!A56,B55)</f>
        <v>Channel API</v>
      </c>
      <c r="C56" s="412" t="str">
        <f>IF('Dev Schedule 2025-26'!B56="","",'Dev Schedule 2025-26'!B56)</f>
        <v>Mafengwo</v>
      </c>
      <c r="D56" s="396" t="str">
        <f t="shared" si="0"/>
        <v>→ OMH API 제공 (고객사가 OMH API 호출)</v>
      </c>
      <c r="E56" s="413"/>
      <c r="F56" s="412" t="str">
        <f>IF('Dev Schedule 2025-26'!G56="","",'Dev Schedule 2025-26'!G56)</f>
        <v>🟢 Minimal (5-10%)</v>
      </c>
      <c r="G56" s="412" t="str">
        <f>IF('Dev Schedule 2025-26'!E56="","",'Dev Schedule 2025-26'!E56)</f>
        <v>Mafengwo</v>
      </c>
      <c r="H56" s="412" t="str">
        <f>IF('Dev Schedule 2025-26'!C56="","",'Dev Schedule 2025-26'!C56)</f>
        <v>GSM</v>
      </c>
      <c r="I56" s="412" t="str">
        <f>IF('Dev Schedule 2025-26'!D56="","",'Dev Schedule 2025-26'!D56)</f>
        <v>Grace</v>
      </c>
      <c r="J56" s="412" t="str">
        <f>IF('Dev Schedule 2025-26'!H56="","",'Dev Schedule 2025-26'!H56)</f>
        <v>NDA/Contract</v>
      </c>
      <c r="K56" s="412" t="str">
        <f>IF('Dev Schedule 2025-26'!I56="","",'Dev Schedule 2025-26'!I56)</f>
        <v/>
      </c>
      <c r="L56" s="414" t="str">
        <f>IF('Dev Schedule 2025-26'!J56="","",'Dev Schedule 2025-26'!J56)</f>
        <v/>
      </c>
      <c r="M56" s="400" t="s">
        <v>631</v>
      </c>
      <c r="N56" s="399" cm="1">
        <f t="array" ref="N56">IF($C56="","",IFERROR(SUMPRODUCT(MAX(($U56:$AF56&lt;&gt;"")*$AL$3:$AW$3)),0))</f>
        <v>0</v>
      </c>
      <c r="O56" s="411" t="str">
        <f t="shared" si="1"/>
        <v>░░░░░░░░░░</v>
      </c>
      <c r="P56" s="396" t="str">
        <f t="shared" si="2"/>
        <v>미추적 (날짜 기록 없음)</v>
      </c>
      <c r="Q56" s="396" t="str" cm="1">
        <f t="array" ref="Q56">IF($C56="","",IF($N56&gt;=1,"— 완료",INDEX($U$3:$AF$3,IF($N56=0,1,MATCH($N56,$AL$3:$AW$3,0)+1))))</f>
        <v>① 미팅/1st Contact (10%)</v>
      </c>
      <c r="R56" s="406" t="str">
        <f t="shared" si="3"/>
        <v/>
      </c>
      <c r="S56" s="401" t="str">
        <f t="shared" ca="1" si="4"/>
        <v/>
      </c>
      <c r="T56" s="403" t="str">
        <f t="shared" si="5"/>
        <v>기록 없음</v>
      </c>
      <c r="U56" s="402"/>
      <c r="V56" s="398"/>
      <c r="W56" s="398"/>
      <c r="X56" s="398"/>
      <c r="Y56" s="398"/>
      <c r="Z56" s="398"/>
      <c r="AA56" s="398"/>
      <c r="AB56" s="398"/>
      <c r="AC56" s="398"/>
      <c r="AD56" s="398"/>
      <c r="AE56" s="404"/>
      <c r="AF56" s="405"/>
      <c r="AG56" s="402"/>
      <c r="AH56" s="397"/>
      <c r="AI56" s="397"/>
      <c r="AJ56" s="407"/>
      <c r="AK56" s="408" t="str">
        <f t="shared" si="6"/>
        <v>OK</v>
      </c>
    </row>
    <row r="57" spans="1:37" ht="15.75" customHeight="1">
      <c r="A57" s="395">
        <f>IF($C57="","",COUNTA($C$4:$C57))</f>
        <v>54</v>
      </c>
      <c r="B57" s="412" t="str">
        <f>IF('Dev Schedule 2025-26'!A57&lt;&gt;"",'Dev Schedule 2025-26'!A57,B56)</f>
        <v>Channel API</v>
      </c>
      <c r="C57" s="412" t="str">
        <f>IF('Dev Schedule 2025-26'!B57="","",'Dev Schedule 2025-26'!B57)</f>
        <v>Chai Yi Lc -Yihao</v>
      </c>
      <c r="D57" s="396" t="str">
        <f t="shared" si="0"/>
        <v>→ OMH API 제공 (고객사가 OMH API 호출)</v>
      </c>
      <c r="E57" s="413"/>
      <c r="F57" s="412" t="str">
        <f>IF('Dev Schedule 2025-26'!G57="","",'Dev Schedule 2025-26'!G57)</f>
        <v>🟢 Minimal (5-10%)</v>
      </c>
      <c r="G57" s="412" t="str">
        <f>IF('Dev Schedule 2025-26'!E57="","",'Dev Schedule 2025-26'!E57)</f>
        <v>Chai Yi Lc -Yihao</v>
      </c>
      <c r="H57" s="412" t="str">
        <f>IF('Dev Schedule 2025-26'!C57="","",'Dev Schedule 2025-26'!C57)</f>
        <v>GSM</v>
      </c>
      <c r="I57" s="412" t="str">
        <f>IF('Dev Schedule 2025-26'!D57="","",'Dev Schedule 2025-26'!D57)</f>
        <v>Grace</v>
      </c>
      <c r="J57" s="412" t="str">
        <f>IF('Dev Schedule 2025-26'!H57="","",'Dev Schedule 2025-26'!H57)</f>
        <v>NDA/Contract</v>
      </c>
      <c r="K57" s="412" t="str">
        <f>IF('Dev Schedule 2025-26'!I57="","",'Dev Schedule 2025-26'!I57)</f>
        <v/>
      </c>
      <c r="L57" s="414" t="str">
        <f>IF('Dev Schedule 2025-26'!J57="","",'Dev Schedule 2025-26'!J57)</f>
        <v/>
      </c>
      <c r="M57" s="400"/>
      <c r="N57" s="399" cm="1">
        <f t="array" ref="N57">IF($C57="","",IFERROR(SUMPRODUCT(MAX(($U57:$AF57&lt;&gt;"")*$AL$3:$AW$3)),0))</f>
        <v>0</v>
      </c>
      <c r="O57" s="411" t="str">
        <f t="shared" si="1"/>
        <v>░░░░░░░░░░</v>
      </c>
      <c r="P57" s="396" t="str">
        <f t="shared" si="2"/>
        <v>미추적 (날짜 기록 없음)</v>
      </c>
      <c r="Q57" s="396" t="str" cm="1">
        <f t="array" ref="Q57">IF($C57="","",IF($N57&gt;=1,"— 완료",INDEX($U$3:$AF$3,IF($N57=0,1,MATCH($N57,$AL$3:$AW$3,0)+1))))</f>
        <v>① 미팅/1st Contact (10%)</v>
      </c>
      <c r="R57" s="406" t="str">
        <f t="shared" si="3"/>
        <v/>
      </c>
      <c r="S57" s="401" t="str">
        <f t="shared" ca="1" si="4"/>
        <v/>
      </c>
      <c r="T57" s="403" t="str">
        <f t="shared" si="5"/>
        <v>기록 없음</v>
      </c>
      <c r="U57" s="402"/>
      <c r="V57" s="398"/>
      <c r="W57" s="398"/>
      <c r="X57" s="398"/>
      <c r="Y57" s="398"/>
      <c r="Z57" s="398"/>
      <c r="AA57" s="398"/>
      <c r="AB57" s="398"/>
      <c r="AC57" s="398"/>
      <c r="AD57" s="398"/>
      <c r="AE57" s="404"/>
      <c r="AF57" s="405"/>
      <c r="AG57" s="402"/>
      <c r="AH57" s="397"/>
      <c r="AI57" s="397"/>
      <c r="AJ57" s="407"/>
      <c r="AK57" s="408" t="str">
        <f t="shared" si="6"/>
        <v>OK</v>
      </c>
    </row>
    <row r="58" spans="1:37" ht="15.75" customHeight="1">
      <c r="A58" s="395">
        <f>IF($C58="","",COUNTA($C$4:$C58))</f>
        <v>55</v>
      </c>
      <c r="B58" s="412" t="str">
        <f>IF('Dev Schedule 2025-26'!A58&lt;&gt;"",'Dev Schedule 2025-26'!A58,B57)</f>
        <v>Channel API</v>
      </c>
      <c r="C58" s="412" t="str">
        <f>IF('Dev Schedule 2025-26'!B58="","",'Dev Schedule 2025-26'!B58)</f>
        <v>Fenbeitong</v>
      </c>
      <c r="D58" s="396" t="str">
        <f t="shared" si="0"/>
        <v>→ OMH API 제공 (고객사가 OMH API 호출)</v>
      </c>
      <c r="E58" s="413"/>
      <c r="F58" s="412" t="str">
        <f>IF('Dev Schedule 2025-26'!G58="","",'Dev Schedule 2025-26'!G58)</f>
        <v>🟢 Minimal (5-10%)</v>
      </c>
      <c r="G58" s="412" t="str">
        <f>IF('Dev Schedule 2025-26'!E58="","",'Dev Schedule 2025-26'!E58)</f>
        <v>Fenbeitong</v>
      </c>
      <c r="H58" s="412" t="str">
        <f>IF('Dev Schedule 2025-26'!C58="","",'Dev Schedule 2025-26'!C58)</f>
        <v>GSM</v>
      </c>
      <c r="I58" s="412" t="str">
        <f>IF('Dev Schedule 2025-26'!D58="","",'Dev Schedule 2025-26'!D58)</f>
        <v>Grace</v>
      </c>
      <c r="J58" s="412" t="str">
        <f>IF('Dev Schedule 2025-26'!H58="","",'Dev Schedule 2025-26'!H58)</f>
        <v>NDA/Contract</v>
      </c>
      <c r="K58" s="412" t="str">
        <f>IF('Dev Schedule 2025-26'!I58="","",'Dev Schedule 2025-26'!I58)</f>
        <v/>
      </c>
      <c r="L58" s="414" t="str">
        <f>IF('Dev Schedule 2025-26'!J58="","",'Dev Schedule 2025-26'!J58)</f>
        <v/>
      </c>
      <c r="M58" s="400" t="s">
        <v>1067</v>
      </c>
      <c r="N58" s="399" cm="1">
        <f t="array" ref="N58">IF($C58="","",IFERROR(SUMPRODUCT(MAX(($U58:$AF58&lt;&gt;"")*$AL$3:$AW$3)),0))</f>
        <v>0.1</v>
      </c>
      <c r="O58" s="411" t="str">
        <f t="shared" si="1"/>
        <v>█░░░░░░░░░</v>
      </c>
      <c r="P58" s="396" t="str">
        <f t="shared" si="2"/>
        <v>① 미팅/1st Contact (10%)</v>
      </c>
      <c r="Q58" s="396" t="str" cm="1">
        <f t="array" ref="Q58">IF($C58="","",IF($N58&gt;=1,"— 완료",INDEX($U$3:$AF$3,IF($N58=0,1,MATCH($N58,$AL$3:$AW$3,0)+1))))</f>
        <v>② NDA 체결 (20%)</v>
      </c>
      <c r="R58" s="406">
        <f t="shared" si="3"/>
        <v>45893</v>
      </c>
      <c r="S58" s="401">
        <f t="shared" ca="1" si="4"/>
        <v>356</v>
      </c>
      <c r="T58" s="403" t="str">
        <f t="shared" ca="1" si="5"/>
        <v>90일+ 정지</v>
      </c>
      <c r="U58" s="402">
        <v>45893</v>
      </c>
      <c r="V58" s="398"/>
      <c r="W58" s="398"/>
      <c r="X58" s="398"/>
      <c r="Y58" s="398"/>
      <c r="Z58" s="398"/>
      <c r="AA58" s="398"/>
      <c r="AB58" s="398"/>
      <c r="AC58" s="398"/>
      <c r="AD58" s="398"/>
      <c r="AE58" s="404"/>
      <c r="AF58" s="405"/>
      <c r="AG58" s="402"/>
      <c r="AH58" s="397"/>
      <c r="AI58" s="397"/>
      <c r="AJ58" s="407"/>
      <c r="AK58" s="408" t="str">
        <f t="shared" si="6"/>
        <v>OK</v>
      </c>
    </row>
    <row r="59" spans="1:37" ht="15.75" customHeight="1">
      <c r="A59" s="395">
        <f>IF($C59="","",COUNTA($C$4:$C59))</f>
        <v>56</v>
      </c>
      <c r="B59" s="412" t="str">
        <f>IF('Dev Schedule 2025-26'!A59&lt;&gt;"",'Dev Schedule 2025-26'!A59,B58)</f>
        <v>Channel API</v>
      </c>
      <c r="C59" s="412" t="str">
        <f>IF('Dev Schedule 2025-26'!B59="","",'Dev Schedule 2025-26'!B59)</f>
        <v>Hibeds</v>
      </c>
      <c r="D59" s="396" t="str">
        <f t="shared" si="0"/>
        <v>→ OMH API 제공 (고객사가 OMH API 호출)</v>
      </c>
      <c r="E59" s="413"/>
      <c r="F59" s="412" t="str">
        <f>IF('Dev Schedule 2025-26'!G59="","",'Dev Schedule 2025-26'!G59)</f>
        <v>🟢 Minimal (5-10%)</v>
      </c>
      <c r="G59" s="412" t="str">
        <f>IF('Dev Schedule 2025-26'!E59="","",'Dev Schedule 2025-26'!E59)</f>
        <v>Hibeds</v>
      </c>
      <c r="H59" s="412" t="str">
        <f>IF('Dev Schedule 2025-26'!C59="","",'Dev Schedule 2025-26'!C59)</f>
        <v>GSM</v>
      </c>
      <c r="I59" s="412" t="str">
        <f>IF('Dev Schedule 2025-26'!D59="","",'Dev Schedule 2025-26'!D59)</f>
        <v>Grace</v>
      </c>
      <c r="J59" s="412" t="str">
        <f>IF('Dev Schedule 2025-26'!H59="","",'Dev Schedule 2025-26'!H59)</f>
        <v>NDA/Contract</v>
      </c>
      <c r="K59" s="412" t="str">
        <f>IF('Dev Schedule 2025-26'!I59="","",'Dev Schedule 2025-26'!I59)</f>
        <v>Sep-26</v>
      </c>
      <c r="L59" s="414" t="str">
        <f>IF('Dev Schedule 2025-26'!J59="","",'Dev Schedule 2025-26'!J59)</f>
        <v>Oct-26</v>
      </c>
      <c r="M59" s="400" t="s">
        <v>1704</v>
      </c>
      <c r="N59" s="399" cm="1">
        <f t="array" ref="N59">IF($C59="","",IFERROR(SUMPRODUCT(MAX(($U59:$AF59&lt;&gt;"")*$AL$3:$AW$3)),0))</f>
        <v>0</v>
      </c>
      <c r="O59" s="411" t="str">
        <f t="shared" si="1"/>
        <v>░░░░░░░░░░</v>
      </c>
      <c r="P59" s="396" t="str">
        <f t="shared" si="2"/>
        <v>미추적 (날짜 기록 없음)</v>
      </c>
      <c r="Q59" s="396" t="str" cm="1">
        <f t="array" ref="Q59">IF($C59="","",IF($N59&gt;=1,"— 완료",INDEX($U$3:$AF$3,IF($N59=0,1,MATCH($N59,$AL$3:$AW$3,0)+1))))</f>
        <v>① 미팅/1st Contact (10%)</v>
      </c>
      <c r="R59" s="406" t="str">
        <f t="shared" si="3"/>
        <v/>
      </c>
      <c r="S59" s="401" t="str">
        <f t="shared" ca="1" si="4"/>
        <v/>
      </c>
      <c r="T59" s="403" t="str">
        <f t="shared" si="5"/>
        <v>기록 없음</v>
      </c>
      <c r="U59" s="402"/>
      <c r="V59" s="398"/>
      <c r="W59" s="398"/>
      <c r="X59" s="398"/>
      <c r="Y59" s="398"/>
      <c r="Z59" s="398"/>
      <c r="AA59" s="398"/>
      <c r="AB59" s="398"/>
      <c r="AC59" s="398"/>
      <c r="AD59" s="398"/>
      <c r="AE59" s="404"/>
      <c r="AF59" s="405"/>
      <c r="AG59" s="402"/>
      <c r="AH59" s="397"/>
      <c r="AI59" s="397"/>
      <c r="AJ59" s="407"/>
      <c r="AK59" s="408" t="str">
        <f t="shared" si="6"/>
        <v>OK</v>
      </c>
    </row>
    <row r="60" spans="1:37" ht="15.75" customHeight="1">
      <c r="A60" s="395">
        <f>IF($C60="","",COUNTA($C$4:$C60))</f>
        <v>57</v>
      </c>
      <c r="B60" s="412" t="str">
        <f>IF('Dev Schedule 2025-26'!A60&lt;&gt;"",'Dev Schedule 2025-26'!A60,B59)</f>
        <v>Channel API</v>
      </c>
      <c r="C60" s="412" t="str">
        <f>IF('Dev Schedule 2025-26'!B60="","",'Dev Schedule 2025-26'!B60)</f>
        <v>Momo</v>
      </c>
      <c r="D60" s="396" t="str">
        <f t="shared" si="0"/>
        <v>→ OMH API 제공 (고객사가 OMH API 호출)</v>
      </c>
      <c r="E60" s="413"/>
      <c r="F60" s="412" t="str">
        <f>IF('Dev Schedule 2025-26'!G60="","",'Dev Schedule 2025-26'!G60)</f>
        <v>🟢 Minimal (5-10%)</v>
      </c>
      <c r="G60" s="412" t="str">
        <f>IF('Dev Schedule 2025-26'!E60="","",'Dev Schedule 2025-26'!E60)</f>
        <v>Momo</v>
      </c>
      <c r="H60" s="412" t="str">
        <f>IF('Dev Schedule 2025-26'!C60="","",'Dev Schedule 2025-26'!C60)</f>
        <v>GSM</v>
      </c>
      <c r="I60" s="412" t="str">
        <f>IF('Dev Schedule 2025-26'!D60="","",'Dev Schedule 2025-26'!D60)</f>
        <v>Aiden</v>
      </c>
      <c r="J60" s="412" t="str">
        <f>IF('Dev Schedule 2025-26'!H60="","",'Dev Schedule 2025-26'!H60)</f>
        <v>NDA/Contract</v>
      </c>
      <c r="K60" s="412" t="str">
        <f>IF('Dev Schedule 2025-26'!I60="","",'Dev Schedule 2025-26'!I60)</f>
        <v>June-26</v>
      </c>
      <c r="L60" s="414" t="str">
        <f>IF('Dev Schedule 2025-26'!J60="","",'Dev Schedule 2025-26'!J60)</f>
        <v>Dec-26</v>
      </c>
      <c r="M60" s="400" t="s">
        <v>1762</v>
      </c>
      <c r="N60" s="399" cm="1">
        <f t="array" ref="N60">IF($C60="","",IFERROR(SUMPRODUCT(MAX(($U60:$AF60&lt;&gt;"")*$AL$3:$AW$3)),0))</f>
        <v>0.5</v>
      </c>
      <c r="O60" s="411" t="str">
        <f t="shared" si="1"/>
        <v>█████░░░░░</v>
      </c>
      <c r="P60" s="396" t="str">
        <f t="shared" si="2"/>
        <v>⑥ 개발 착수/SPEC·DEV Key (50%)</v>
      </c>
      <c r="Q60" s="396" t="str" cm="1">
        <f t="array" ref="Q60">IF($C60="","",IF($N60&gt;=1,"— 완료",INDEX($U$3:$AF$3,IF($N60=0,1,MATCH($N60,$AL$3:$AW$3,0)+1))))</f>
        <v>⑦ Certification (60%)</v>
      </c>
      <c r="R60" s="406">
        <f t="shared" si="3"/>
        <v>46223</v>
      </c>
      <c r="S60" s="401">
        <f t="shared" ca="1" si="4"/>
        <v>26</v>
      </c>
      <c r="T60" s="403" t="str">
        <f t="shared" ca="1" si="5"/>
        <v>진행 중</v>
      </c>
      <c r="U60" s="402">
        <v>46143</v>
      </c>
      <c r="V60" s="398">
        <v>46178</v>
      </c>
      <c r="W60" s="398">
        <v>46223</v>
      </c>
      <c r="X60" s="398">
        <v>46223</v>
      </c>
      <c r="Y60" s="398">
        <v>46223</v>
      </c>
      <c r="Z60" s="398">
        <v>46219</v>
      </c>
      <c r="AA60" s="398"/>
      <c r="AB60" s="398"/>
      <c r="AC60" s="398"/>
      <c r="AD60" s="398"/>
      <c r="AE60" s="404"/>
      <c r="AF60" s="405"/>
      <c r="AG60" s="402"/>
      <c r="AH60" s="397"/>
      <c r="AI60" s="397"/>
      <c r="AJ60" s="407"/>
      <c r="AK60" s="408" t="str">
        <f t="shared" si="6"/>
        <v>OK</v>
      </c>
    </row>
    <row r="61" spans="1:37" ht="15.75" customHeight="1">
      <c r="A61" s="395">
        <f>IF($C61="","",COUNTA($C$4:$C61))</f>
        <v>58</v>
      </c>
      <c r="B61" s="412" t="str">
        <f>IF('Dev Schedule 2025-26'!A61&lt;&gt;"",'Dev Schedule 2025-26'!A61,B60)</f>
        <v>Channel API</v>
      </c>
      <c r="C61" s="412" t="str">
        <f>IF('Dev Schedule 2025-26'!B61="","",'Dev Schedule 2025-26'!B61)</f>
        <v>Wingspulse</v>
      </c>
      <c r="D61" s="396" t="str">
        <f t="shared" si="0"/>
        <v>→ OMH API 제공 (고객사가 OMH API 호출)</v>
      </c>
      <c r="E61" s="413"/>
      <c r="F61" s="412" t="str">
        <f>IF('Dev Schedule 2025-26'!G61="","",'Dev Schedule 2025-26'!G61)</f>
        <v>🟢 Minimal (5-10%)</v>
      </c>
      <c r="G61" s="412" t="str">
        <f>IF('Dev Schedule 2025-26'!E61="","",'Dev Schedule 2025-26'!E61)</f>
        <v>Wingspulse</v>
      </c>
      <c r="H61" s="412" t="str">
        <f>IF('Dev Schedule 2025-26'!C61="","",'Dev Schedule 2025-26'!C61)</f>
        <v>GSM</v>
      </c>
      <c r="I61" s="412" t="str">
        <f>IF('Dev Schedule 2025-26'!D61="","",'Dev Schedule 2025-26'!D61)</f>
        <v>Grace</v>
      </c>
      <c r="J61" s="412" t="str">
        <f>IF('Dev Schedule 2025-26'!H61="","",'Dev Schedule 2025-26'!H61)</f>
        <v>NDA/Contract</v>
      </c>
      <c r="K61" s="412" t="str">
        <f>IF('Dev Schedule 2025-26'!I61="","",'Dev Schedule 2025-26'!I61)</f>
        <v/>
      </c>
      <c r="L61" s="414" t="str">
        <f>IF('Dev Schedule 2025-26'!J61="","",'Dev Schedule 2025-26'!J61)</f>
        <v/>
      </c>
      <c r="M61" s="400"/>
      <c r="N61" s="399" cm="1">
        <f t="array" ref="N61">IF($C61="","",IFERROR(SUMPRODUCT(MAX(($U61:$AF61&lt;&gt;"")*$AL$3:$AW$3)),0))</f>
        <v>0</v>
      </c>
      <c r="O61" s="411" t="str">
        <f t="shared" si="1"/>
        <v>░░░░░░░░░░</v>
      </c>
      <c r="P61" s="396" t="str">
        <f t="shared" si="2"/>
        <v>미추적 (날짜 기록 없음)</v>
      </c>
      <c r="Q61" s="396" t="str" cm="1">
        <f t="array" ref="Q61">IF($C61="","",IF($N61&gt;=1,"— 완료",INDEX($U$3:$AF$3,IF($N61=0,1,MATCH($N61,$AL$3:$AW$3,0)+1))))</f>
        <v>① 미팅/1st Contact (10%)</v>
      </c>
      <c r="R61" s="406" t="str">
        <f t="shared" si="3"/>
        <v/>
      </c>
      <c r="S61" s="401" t="str">
        <f t="shared" ca="1" si="4"/>
        <v/>
      </c>
      <c r="T61" s="403" t="str">
        <f t="shared" si="5"/>
        <v>기록 없음</v>
      </c>
      <c r="U61" s="402"/>
      <c r="V61" s="398"/>
      <c r="W61" s="398"/>
      <c r="X61" s="398"/>
      <c r="Y61" s="398"/>
      <c r="Z61" s="398"/>
      <c r="AA61" s="398"/>
      <c r="AB61" s="398"/>
      <c r="AC61" s="398"/>
      <c r="AD61" s="398"/>
      <c r="AE61" s="404"/>
      <c r="AF61" s="405"/>
      <c r="AG61" s="402"/>
      <c r="AH61" s="397"/>
      <c r="AI61" s="397"/>
      <c r="AJ61" s="407"/>
      <c r="AK61" s="408" t="str">
        <f t="shared" si="6"/>
        <v>OK</v>
      </c>
    </row>
    <row r="62" spans="1:37" ht="15.75" customHeight="1">
      <c r="A62" s="395">
        <f>IF($C62="","",COUNTA($C$4:$C62))</f>
        <v>59</v>
      </c>
      <c r="B62" s="412" t="str">
        <f>IF('Dev Schedule 2025-26'!A62&lt;&gt;"",'Dev Schedule 2025-26'!A62,B61)</f>
        <v>Channel API</v>
      </c>
      <c r="C62" s="412" t="str">
        <f>IF('Dev Schedule 2025-26'!B62="","",'Dev Schedule 2025-26'!B62)</f>
        <v>Huamao</v>
      </c>
      <c r="D62" s="396" t="str">
        <f t="shared" si="0"/>
        <v>→ OMH API 제공 (고객사가 OMH API 호출)</v>
      </c>
      <c r="E62" s="413"/>
      <c r="F62" s="412" t="str">
        <f>IF('Dev Schedule 2025-26'!G62="","",'Dev Schedule 2025-26'!G62)</f>
        <v>🟢 Minimal (5-10%)</v>
      </c>
      <c r="G62" s="412" t="str">
        <f>IF('Dev Schedule 2025-26'!E62="","",'Dev Schedule 2025-26'!E62)</f>
        <v>Huamao</v>
      </c>
      <c r="H62" s="412" t="str">
        <f>IF('Dev Schedule 2025-26'!C62="","",'Dev Schedule 2025-26'!C62)</f>
        <v>GSM</v>
      </c>
      <c r="I62" s="412" t="str">
        <f>IF('Dev Schedule 2025-26'!D62="","",'Dev Schedule 2025-26'!D62)</f>
        <v>Grace</v>
      </c>
      <c r="J62" s="412" t="str">
        <f>IF('Dev Schedule 2025-26'!H62="","",'Dev Schedule 2025-26'!H62)</f>
        <v>NDA/Contract</v>
      </c>
      <c r="K62" s="412" t="str">
        <f>IF('Dev Schedule 2025-26'!I62="","",'Dev Schedule 2025-26'!I62)</f>
        <v>Aug-26</v>
      </c>
      <c r="L62" s="414" t="str">
        <f>IF('Dev Schedule 2025-26'!J62="","",'Dev Schedule 2025-26'!J62)</f>
        <v>Sep-26</v>
      </c>
      <c r="M62" s="400" t="s">
        <v>1898</v>
      </c>
      <c r="N62" s="399" cm="1">
        <f t="array" ref="N62">IF($C62="","",IFERROR(SUMPRODUCT(MAX(($U62:$AF62&lt;&gt;"")*$AL$3:$AW$3)),0))</f>
        <v>0</v>
      </c>
      <c r="O62" s="411" t="str">
        <f t="shared" si="1"/>
        <v>░░░░░░░░░░</v>
      </c>
      <c r="P62" s="396" t="str">
        <f t="shared" si="2"/>
        <v>미추적 (날짜 기록 없음)</v>
      </c>
      <c r="Q62" s="396" t="str" cm="1">
        <f t="array" ref="Q62">IF($C62="","",IF($N62&gt;=1,"— 완료",INDEX($U$3:$AF$3,IF($N62=0,1,MATCH($N62,$AL$3:$AW$3,0)+1))))</f>
        <v>① 미팅/1st Contact (10%)</v>
      </c>
      <c r="R62" s="406" t="str">
        <f t="shared" si="3"/>
        <v/>
      </c>
      <c r="S62" s="401" t="str">
        <f t="shared" ca="1" si="4"/>
        <v/>
      </c>
      <c r="T62" s="403" t="str">
        <f t="shared" si="5"/>
        <v>기록 없음</v>
      </c>
      <c r="U62" s="402"/>
      <c r="V62" s="398"/>
      <c r="W62" s="398"/>
      <c r="X62" s="398"/>
      <c r="Y62" s="398"/>
      <c r="Z62" s="398"/>
      <c r="AA62" s="398"/>
      <c r="AB62" s="398"/>
      <c r="AC62" s="398"/>
      <c r="AD62" s="398"/>
      <c r="AE62" s="404"/>
      <c r="AF62" s="405"/>
      <c r="AG62" s="402"/>
      <c r="AH62" s="397"/>
      <c r="AI62" s="397"/>
      <c r="AJ62" s="407"/>
      <c r="AK62" s="408" t="str">
        <f t="shared" si="6"/>
        <v>OK</v>
      </c>
    </row>
    <row r="63" spans="1:37" ht="15.75" customHeight="1">
      <c r="A63" s="395">
        <f>IF($C63="","",COUNTA($C$4:$C63))</f>
        <v>60</v>
      </c>
      <c r="B63" s="412" t="str">
        <f>IF('Dev Schedule 2025-26'!A63&lt;&gt;"",'Dev Schedule 2025-26'!A63,B62)</f>
        <v>Channel API</v>
      </c>
      <c r="C63" s="412" t="str">
        <f>IF('Dev Schedule 2025-26'!B63="","",'Dev Schedule 2025-26'!B63)</f>
        <v>Linkall travel</v>
      </c>
      <c r="D63" s="396" t="str">
        <f t="shared" si="0"/>
        <v>→ OMH API 제공 (고객사가 OMH API 호출)</v>
      </c>
      <c r="E63" s="413"/>
      <c r="F63" s="412" t="str">
        <f>IF('Dev Schedule 2025-26'!G63="","",'Dev Schedule 2025-26'!G63)</f>
        <v>🟢 Minimal (5-10%)</v>
      </c>
      <c r="G63" s="412" t="str">
        <f>IF('Dev Schedule 2025-26'!E63="","",'Dev Schedule 2025-26'!E63)</f>
        <v>Linkall travel</v>
      </c>
      <c r="H63" s="412" t="str">
        <f>IF('Dev Schedule 2025-26'!C63="","",'Dev Schedule 2025-26'!C63)</f>
        <v>GSM</v>
      </c>
      <c r="I63" s="412" t="str">
        <f>IF('Dev Schedule 2025-26'!D63="","",'Dev Schedule 2025-26'!D63)</f>
        <v>Grace</v>
      </c>
      <c r="J63" s="412" t="str">
        <f>IF('Dev Schedule 2025-26'!H63="","",'Dev Schedule 2025-26'!H63)</f>
        <v>NDA/Contract</v>
      </c>
      <c r="K63" s="412" t="str">
        <f>IF('Dev Schedule 2025-26'!I63="","",'Dev Schedule 2025-26'!I63)</f>
        <v>Aug-26</v>
      </c>
      <c r="L63" s="414" t="str">
        <f>IF('Dev Schedule 2025-26'!J63="","",'Dev Schedule 2025-26'!J63)</f>
        <v>Aug-26</v>
      </c>
      <c r="M63" s="400" t="s">
        <v>1446</v>
      </c>
      <c r="N63" s="399" cm="1">
        <f t="array" ref="N63">IF($C63="","",IFERROR(SUMPRODUCT(MAX(($U63:$AF63&lt;&gt;"")*$AL$3:$AW$3)),0))</f>
        <v>0.1</v>
      </c>
      <c r="O63" s="411" t="str">
        <f t="shared" si="1"/>
        <v>█░░░░░░░░░</v>
      </c>
      <c r="P63" s="396" t="str">
        <f t="shared" si="2"/>
        <v>① 미팅/1st Contact (10%)</v>
      </c>
      <c r="Q63" s="396" t="str" cm="1">
        <f t="array" ref="Q63">IF($C63="","",IF($N63&gt;=1,"— 완료",INDEX($U$3:$AF$3,IF($N63=0,1,MATCH($N63,$AL$3:$AW$3,0)+1))))</f>
        <v>② NDA 체결 (20%)</v>
      </c>
      <c r="R63" s="406">
        <f t="shared" si="3"/>
        <v>45986</v>
      </c>
      <c r="S63" s="401">
        <f t="shared" ca="1" si="4"/>
        <v>263</v>
      </c>
      <c r="T63" s="403" t="str">
        <f t="shared" ca="1" si="5"/>
        <v>90일+ 정지</v>
      </c>
      <c r="U63" s="402">
        <v>45986</v>
      </c>
      <c r="V63" s="398"/>
      <c r="W63" s="398"/>
      <c r="X63" s="398"/>
      <c r="Y63" s="398"/>
      <c r="Z63" s="398"/>
      <c r="AA63" s="398"/>
      <c r="AB63" s="398"/>
      <c r="AC63" s="398"/>
      <c r="AD63" s="398"/>
      <c r="AE63" s="404"/>
      <c r="AF63" s="405"/>
      <c r="AG63" s="402"/>
      <c r="AH63" s="397"/>
      <c r="AI63" s="397"/>
      <c r="AJ63" s="407"/>
      <c r="AK63" s="408" t="str">
        <f t="shared" si="6"/>
        <v>OK</v>
      </c>
    </row>
    <row r="64" spans="1:37" ht="15.75" customHeight="1">
      <c r="A64" s="395">
        <f>IF($C64="","",COUNTA($C$4:$C64))</f>
        <v>61</v>
      </c>
      <c r="B64" s="412" t="str">
        <f>IF('Dev Schedule 2025-26'!A64&lt;&gt;"",'Dev Schedule 2025-26'!A64,B63)</f>
        <v>Channel API</v>
      </c>
      <c r="C64" s="412" t="str">
        <f>IF('Dev Schedule 2025-26'!B64="","",'Dev Schedule 2025-26'!B64)</f>
        <v>SUZHOU YILV SUNSHINE TRAVEL AGENCY CO.,LTD</v>
      </c>
      <c r="D64" s="396" t="str">
        <f t="shared" si="0"/>
        <v>→ OMH API 제공 (고객사가 OMH API 호출)</v>
      </c>
      <c r="E64" s="413"/>
      <c r="F64" s="412" t="str">
        <f>IF('Dev Schedule 2025-26'!G64="","",'Dev Schedule 2025-26'!G64)</f>
        <v>🟢 Minimal (5-10%)</v>
      </c>
      <c r="G64" s="412" t="str">
        <f>IF('Dev Schedule 2025-26'!E64="","",'Dev Schedule 2025-26'!E64)</f>
        <v>Suzhou Yilv</v>
      </c>
      <c r="H64" s="412" t="str">
        <f>IF('Dev Schedule 2025-26'!C64="","",'Dev Schedule 2025-26'!C64)</f>
        <v>GSM</v>
      </c>
      <c r="I64" s="412" t="str">
        <f>IF('Dev Schedule 2025-26'!D64="","",'Dev Schedule 2025-26'!D64)</f>
        <v>Grace</v>
      </c>
      <c r="J64" s="412" t="str">
        <f>IF('Dev Schedule 2025-26'!H64="","",'Dev Schedule 2025-26'!H64)</f>
        <v>NDA/Contract</v>
      </c>
      <c r="K64" s="412" t="str">
        <f>IF('Dev Schedule 2025-26'!I64="","",'Dev Schedule 2025-26'!I64)</f>
        <v>Aug-26</v>
      </c>
      <c r="L64" s="414" t="str">
        <f>IF('Dev Schedule 2025-26'!J64="","",'Dev Schedule 2025-26'!J64)</f>
        <v>Sep-26</v>
      </c>
      <c r="M64" s="400"/>
      <c r="N64" s="399" cm="1">
        <f t="array" ref="N64">IF($C64="","",IFERROR(SUMPRODUCT(MAX(($U64:$AF64&lt;&gt;"")*$AL$3:$AW$3)),0))</f>
        <v>0</v>
      </c>
      <c r="O64" s="411" t="str">
        <f t="shared" si="1"/>
        <v>░░░░░░░░░░</v>
      </c>
      <c r="P64" s="396" t="str">
        <f t="shared" si="2"/>
        <v>미추적 (날짜 기록 없음)</v>
      </c>
      <c r="Q64" s="396" t="str" cm="1">
        <f t="array" ref="Q64">IF($C64="","",IF($N64&gt;=1,"— 완료",INDEX($U$3:$AF$3,IF($N64=0,1,MATCH($N64,$AL$3:$AW$3,0)+1))))</f>
        <v>① 미팅/1st Contact (10%)</v>
      </c>
      <c r="R64" s="406" t="str">
        <f t="shared" si="3"/>
        <v/>
      </c>
      <c r="S64" s="401" t="str">
        <f t="shared" ca="1" si="4"/>
        <v/>
      </c>
      <c r="T64" s="403" t="str">
        <f t="shared" si="5"/>
        <v>기록 없음</v>
      </c>
      <c r="U64" s="402"/>
      <c r="V64" s="398"/>
      <c r="W64" s="398"/>
      <c r="X64" s="398"/>
      <c r="Y64" s="398"/>
      <c r="Z64" s="398"/>
      <c r="AA64" s="398"/>
      <c r="AB64" s="398"/>
      <c r="AC64" s="398"/>
      <c r="AD64" s="398"/>
      <c r="AE64" s="404"/>
      <c r="AF64" s="405"/>
      <c r="AG64" s="402"/>
      <c r="AH64" s="397"/>
      <c r="AI64" s="397"/>
      <c r="AJ64" s="407"/>
      <c r="AK64" s="408" t="str">
        <f t="shared" si="6"/>
        <v>OK</v>
      </c>
    </row>
    <row r="65" spans="1:37" ht="15.75" customHeight="1">
      <c r="A65" s="395">
        <f>IF($C65="","",COUNTA($C$4:$C65))</f>
        <v>62</v>
      </c>
      <c r="B65" s="412" t="str">
        <f>IF('Dev Schedule 2025-26'!A65&lt;&gt;"",'Dev Schedule 2025-26'!A65,B64)</f>
        <v>Channel API</v>
      </c>
      <c r="C65" s="412" t="str">
        <f>IF('Dev Schedule 2025-26'!B65="","",'Dev Schedule 2025-26'!B65)</f>
        <v>Ziru (TMC)</v>
      </c>
      <c r="D65" s="396" t="str">
        <f t="shared" si="0"/>
        <v>→ OMH API 제공 (고객사가 OMH API 호출)</v>
      </c>
      <c r="E65" s="413"/>
      <c r="F65" s="412" t="str">
        <f>IF('Dev Schedule 2025-26'!G65="","",'Dev Schedule 2025-26'!G65)</f>
        <v>🟢 Minimal (5-10%)</v>
      </c>
      <c r="G65" s="412" t="str">
        <f>IF('Dev Schedule 2025-26'!E65="","",'Dev Schedule 2025-26'!E65)</f>
        <v>Ziru</v>
      </c>
      <c r="H65" s="412" t="str">
        <f>IF('Dev Schedule 2025-26'!C65="","",'Dev Schedule 2025-26'!C65)</f>
        <v>GSM</v>
      </c>
      <c r="I65" s="412" t="str">
        <f>IF('Dev Schedule 2025-26'!D65="","",'Dev Schedule 2025-26'!D65)</f>
        <v>Grace</v>
      </c>
      <c r="J65" s="412" t="str">
        <f>IF('Dev Schedule 2025-26'!H65="","",'Dev Schedule 2025-26'!H65)</f>
        <v>NDA/Contract</v>
      </c>
      <c r="K65" s="412" t="str">
        <f>IF('Dev Schedule 2025-26'!I65="","",'Dev Schedule 2025-26'!I65)</f>
        <v>Aug-26</v>
      </c>
      <c r="L65" s="414" t="str">
        <f>IF('Dev Schedule 2025-26'!J65="","",'Dev Schedule 2025-26'!J65)</f>
        <v>Sep-26</v>
      </c>
      <c r="M65" s="400" t="s">
        <v>1923</v>
      </c>
      <c r="N65" s="399" cm="1">
        <f t="array" ref="N65">IF($C65="","",IFERROR(SUMPRODUCT(MAX(($U65:$AF65&lt;&gt;"")*$AL$3:$AW$3)),0))</f>
        <v>0</v>
      </c>
      <c r="O65" s="411" t="str">
        <f t="shared" si="1"/>
        <v>░░░░░░░░░░</v>
      </c>
      <c r="P65" s="396" t="str">
        <f t="shared" si="2"/>
        <v>미추적 (날짜 기록 없음)</v>
      </c>
      <c r="Q65" s="396" t="str" cm="1">
        <f t="array" ref="Q65">IF($C65="","",IF($N65&gt;=1,"— 완료",INDEX($U$3:$AF$3,IF($N65=0,1,MATCH($N65,$AL$3:$AW$3,0)+1))))</f>
        <v>① 미팅/1st Contact (10%)</v>
      </c>
      <c r="R65" s="406" t="str">
        <f t="shared" si="3"/>
        <v/>
      </c>
      <c r="S65" s="401" t="str">
        <f t="shared" ca="1" si="4"/>
        <v/>
      </c>
      <c r="T65" s="403" t="str">
        <f t="shared" si="5"/>
        <v>기록 없음</v>
      </c>
      <c r="U65" s="402"/>
      <c r="V65" s="398"/>
      <c r="W65" s="398"/>
      <c r="X65" s="398"/>
      <c r="Y65" s="398"/>
      <c r="Z65" s="398"/>
      <c r="AA65" s="398"/>
      <c r="AB65" s="398"/>
      <c r="AC65" s="398"/>
      <c r="AD65" s="398"/>
      <c r="AE65" s="404"/>
      <c r="AF65" s="405"/>
      <c r="AG65" s="402"/>
      <c r="AH65" s="397"/>
      <c r="AI65" s="397"/>
      <c r="AJ65" s="407"/>
      <c r="AK65" s="408" t="str">
        <f t="shared" si="6"/>
        <v>OK</v>
      </c>
    </row>
    <row r="66" spans="1:37" ht="15.75" customHeight="1">
      <c r="A66" s="395">
        <f>IF($C66="","",COUNTA($C$4:$C66))</f>
        <v>63</v>
      </c>
      <c r="B66" s="412" t="str">
        <f>IF('Dev Schedule 2025-26'!A66&lt;&gt;"",'Dev Schedule 2025-26'!A66,B65)</f>
        <v>Channel API</v>
      </c>
      <c r="C66" s="412" t="str">
        <f>IF('Dev Schedule 2025-26'!B66="","",'Dev Schedule 2025-26'!B66)</f>
        <v>Didi TMC</v>
      </c>
      <c r="D66" s="396" t="str">
        <f t="shared" si="0"/>
        <v>→ OMH API 제공 (고객사가 OMH API 호출)</v>
      </c>
      <c r="E66" s="413"/>
      <c r="F66" s="412" t="str">
        <f>IF('Dev Schedule 2025-26'!G66="","",'Dev Schedule 2025-26'!G66)</f>
        <v>🟢 Minimal (5-10%)</v>
      </c>
      <c r="G66" s="412" t="str">
        <f>IF('Dev Schedule 2025-26'!E66="","",'Dev Schedule 2025-26'!E66)</f>
        <v>Didi</v>
      </c>
      <c r="H66" s="412" t="str">
        <f>IF('Dev Schedule 2025-26'!C66="","",'Dev Schedule 2025-26'!C66)</f>
        <v>GSM</v>
      </c>
      <c r="I66" s="412" t="str">
        <f>IF('Dev Schedule 2025-26'!D66="","",'Dev Schedule 2025-26'!D66)</f>
        <v>Grace</v>
      </c>
      <c r="J66" s="412" t="str">
        <f>IF('Dev Schedule 2025-26'!H66="","",'Dev Schedule 2025-26'!H66)</f>
        <v>NDA/Contract</v>
      </c>
      <c r="K66" s="412" t="str">
        <f>IF('Dev Schedule 2025-26'!I66="","",'Dev Schedule 2025-26'!I66)</f>
        <v/>
      </c>
      <c r="L66" s="414" t="str">
        <f>IF('Dev Schedule 2025-26'!J66="","",'Dev Schedule 2025-26'!J66)</f>
        <v/>
      </c>
      <c r="M66" s="400" t="s">
        <v>2083</v>
      </c>
      <c r="N66" s="399" cm="1">
        <f t="array" ref="N66">IF($C66="","",IFERROR(SUMPRODUCT(MAX(($U66:$AF66&lt;&gt;"")*$AL$3:$AW$3)),0))</f>
        <v>0</v>
      </c>
      <c r="O66" s="411" t="str">
        <f t="shared" si="1"/>
        <v>░░░░░░░░░░</v>
      </c>
      <c r="P66" s="396" t="str">
        <f t="shared" si="2"/>
        <v>미추적 (날짜 기록 없음)</v>
      </c>
      <c r="Q66" s="396" t="str" cm="1">
        <f t="array" ref="Q66">IF($C66="","",IF($N66&gt;=1,"— 완료",INDEX($U$3:$AF$3,IF($N66=0,1,MATCH($N66,$AL$3:$AW$3,0)+1))))</f>
        <v>① 미팅/1st Contact (10%)</v>
      </c>
      <c r="R66" s="406" t="str">
        <f t="shared" si="3"/>
        <v/>
      </c>
      <c r="S66" s="401" t="str">
        <f t="shared" ca="1" si="4"/>
        <v/>
      </c>
      <c r="T66" s="403" t="str">
        <f t="shared" si="5"/>
        <v>기록 없음</v>
      </c>
      <c r="U66" s="402"/>
      <c r="V66" s="398"/>
      <c r="W66" s="398"/>
      <c r="X66" s="398"/>
      <c r="Y66" s="398"/>
      <c r="Z66" s="398"/>
      <c r="AA66" s="398"/>
      <c r="AB66" s="398"/>
      <c r="AC66" s="398"/>
      <c r="AD66" s="398"/>
      <c r="AE66" s="404"/>
      <c r="AF66" s="405"/>
      <c r="AG66" s="402"/>
      <c r="AH66" s="397"/>
      <c r="AI66" s="397"/>
      <c r="AJ66" s="407"/>
      <c r="AK66" s="408" t="str">
        <f t="shared" si="6"/>
        <v>OK</v>
      </c>
    </row>
    <row r="67" spans="1:37" ht="15.75" customHeight="1">
      <c r="A67" s="395">
        <f>IF($C67="","",COUNTA($C$4:$C67))</f>
        <v>64</v>
      </c>
      <c r="B67" s="412" t="str">
        <f>IF('Dev Schedule 2025-26'!A67&lt;&gt;"",'Dev Schedule 2025-26'!A67,B66)</f>
        <v>3rd Party
Hotel</v>
      </c>
      <c r="C67" s="412" t="str">
        <f>IF('Dev Schedule 2025-26'!B67="","",'Dev Schedule 2025-26'!B67)</f>
        <v>RTX (Rakuten)</v>
      </c>
      <c r="D67" s="396" t="str">
        <f t="shared" si="0"/>
        <v>← 고객사 API 연동 (OMH가 고객사 API 호출)</v>
      </c>
      <c r="E67" s="413"/>
      <c r="F67" s="412" t="str">
        <f>IF('Dev Schedule 2025-26'!G67="","",'Dev Schedule 2025-26'!G67)</f>
        <v>🔴 Full (100%)</v>
      </c>
      <c r="G67" s="412" t="str">
        <f>IF('Dev Schedule 2025-26'!E67="","",'Dev Schedule 2025-26'!E67)</f>
        <v>OHMY</v>
      </c>
      <c r="H67" s="412" t="str">
        <f>IF('Dev Schedule 2025-26'!C67="","",'Dev Schedule 2025-26'!C67)</f>
        <v>SLA</v>
      </c>
      <c r="I67" s="412" t="str">
        <f>IF('Dev Schedule 2025-26'!D67="","",'Dev Schedule 2025-26'!D67)</f>
        <v>Sophia</v>
      </c>
      <c r="J67" s="412" t="str">
        <f>IF('Dev Schedule 2025-26'!H67="","",'Dev Schedule 2025-26'!H67)</f>
        <v>Live</v>
      </c>
      <c r="K67" s="412" t="str">
        <f>IF('Dev Schedule 2025-26'!I67="","",'Dev Schedule 2025-26'!I67)</f>
        <v>Nov-25</v>
      </c>
      <c r="L67" s="414" t="str">
        <f>IF('Dev Schedule 2025-26'!J67="","",'Dev Schedule 2025-26'!J67)</f>
        <v>Dec-25</v>
      </c>
      <c r="M67" s="400" t="s">
        <v>640</v>
      </c>
      <c r="N67" s="399" cm="1">
        <f t="array" ref="N67">IF($C67="","",IFERROR(SUMPRODUCT(MAX(($U67:$AF67&lt;&gt;"")*$AL$3:$AW$3)),0))</f>
        <v>0</v>
      </c>
      <c r="O67" s="411" t="str">
        <f t="shared" si="1"/>
        <v>░░░░░░░░░░</v>
      </c>
      <c r="P67" s="396" t="str">
        <f t="shared" si="2"/>
        <v>미추적 (날짜 기록 없음)</v>
      </c>
      <c r="Q67" s="396" t="str" cm="1">
        <f t="array" ref="Q67">IF($C67="","",IF($N67&gt;=1,"— 완료",INDEX($U$3:$AF$3,IF($N67=0,1,MATCH($N67,$AL$3:$AW$3,0)+1))))</f>
        <v>① 미팅/1st Contact (10%)</v>
      </c>
      <c r="R67" s="406" t="str">
        <f t="shared" si="3"/>
        <v/>
      </c>
      <c r="S67" s="401" t="str">
        <f t="shared" ca="1" si="4"/>
        <v/>
      </c>
      <c r="T67" s="403" t="str">
        <f t="shared" si="5"/>
        <v>기록 없음</v>
      </c>
      <c r="U67" s="402"/>
      <c r="V67" s="398"/>
      <c r="W67" s="398"/>
      <c r="X67" s="398"/>
      <c r="Y67" s="398"/>
      <c r="Z67" s="398"/>
      <c r="AA67" s="398"/>
      <c r="AB67" s="398"/>
      <c r="AC67" s="398"/>
      <c r="AD67" s="398"/>
      <c r="AE67" s="404"/>
      <c r="AF67" s="405"/>
      <c r="AG67" s="402"/>
      <c r="AH67" s="397"/>
      <c r="AI67" s="397"/>
      <c r="AJ67" s="407"/>
      <c r="AK67" s="408" t="str">
        <f t="shared" si="6"/>
        <v>Status=Live / 날짜 미완료</v>
      </c>
    </row>
    <row r="68" spans="1:37" ht="15.75" customHeight="1">
      <c r="A68" s="395">
        <f>IF($C68="","",COUNTA($C$4:$C68))</f>
        <v>65</v>
      </c>
      <c r="B68" s="412" t="str">
        <f>IF('Dev Schedule 2025-26'!A68&lt;&gt;"",'Dev Schedule 2025-26'!A68,B67)</f>
        <v>3rd Party
Hotel</v>
      </c>
      <c r="C68" s="412" t="str">
        <f>IF('Dev Schedule 2025-26'!B68="","",'Dev Schedule 2025-26'!B68)</f>
        <v>TBO</v>
      </c>
      <c r="D68" s="396" t="str">
        <f t="shared" si="0"/>
        <v>← 고객사 API 연동 (OMH가 고객사 API 호출)</v>
      </c>
      <c r="E68" s="413"/>
      <c r="F68" s="412" t="str">
        <f>IF('Dev Schedule 2025-26'!G68="","",'Dev Schedule 2025-26'!G68)</f>
        <v>🔴 Full (100%)</v>
      </c>
      <c r="G68" s="412" t="str">
        <f>IF('Dev Schedule 2025-26'!E68="","",'Dev Schedule 2025-26'!E68)</f>
        <v>OHMY</v>
      </c>
      <c r="H68" s="412" t="str">
        <f>IF('Dev Schedule 2025-26'!C68="","",'Dev Schedule 2025-26'!C68)</f>
        <v>SLA</v>
      </c>
      <c r="I68" s="412" t="str">
        <f>IF('Dev Schedule 2025-26'!D68="","",'Dev Schedule 2025-26'!D68)</f>
        <v>Sophia</v>
      </c>
      <c r="J68" s="412" t="str">
        <f>IF('Dev Schedule 2025-26'!H68="","",'Dev Schedule 2025-26'!H68)</f>
        <v>NDA/Contract</v>
      </c>
      <c r="K68" s="412" t="str">
        <f>IF('Dev Schedule 2025-26'!I68="","",'Dev Schedule 2025-26'!I68)</f>
        <v>Mar-25</v>
      </c>
      <c r="L68" s="414" t="str">
        <f>IF('Dev Schedule 2025-26'!J68="","",'Dev Schedule 2025-26'!J68)</f>
        <v>Oct-26</v>
      </c>
      <c r="M68" s="400" t="s">
        <v>719</v>
      </c>
      <c r="N68" s="399" cm="1">
        <f t="array" ref="N68">IF($C68="","",IFERROR(SUMPRODUCT(MAX(($U68:$AF68&lt;&gt;"")*$AL$3:$AW$3)),0))</f>
        <v>0.1</v>
      </c>
      <c r="O68" s="411" t="str">
        <f t="shared" si="1"/>
        <v>█░░░░░░░░░</v>
      </c>
      <c r="P68" s="396" t="str">
        <f t="shared" si="2"/>
        <v>① 미팅/1st Contact (10%)</v>
      </c>
      <c r="Q68" s="396" t="str" cm="1">
        <f t="array" ref="Q68">IF($C68="","",IF($N68&gt;=1,"— 완료",INDEX($U$3:$AF$3,IF($N68=0,1,MATCH($N68,$AL$3:$AW$3,0)+1))))</f>
        <v>② NDA 체결 (20%)</v>
      </c>
      <c r="R68" s="406">
        <f t="shared" si="3"/>
        <v>45897</v>
      </c>
      <c r="S68" s="401">
        <f t="shared" ca="1" si="4"/>
        <v>352</v>
      </c>
      <c r="T68" s="403" t="str">
        <f t="shared" ca="1" si="5"/>
        <v>90일+ 정지</v>
      </c>
      <c r="U68" s="402">
        <v>45897</v>
      </c>
      <c r="V68" s="398"/>
      <c r="W68" s="398"/>
      <c r="X68" s="398"/>
      <c r="Y68" s="398"/>
      <c r="Z68" s="398"/>
      <c r="AA68" s="398"/>
      <c r="AB68" s="398"/>
      <c r="AC68" s="398"/>
      <c r="AD68" s="398"/>
      <c r="AE68" s="404"/>
      <c r="AF68" s="405"/>
      <c r="AG68" s="402"/>
      <c r="AH68" s="397"/>
      <c r="AI68" s="397"/>
      <c r="AJ68" s="407"/>
      <c r="AK68" s="408" t="str">
        <f t="shared" si="6"/>
        <v>OK</v>
      </c>
    </row>
    <row r="69" spans="1:37" ht="15.75" customHeight="1">
      <c r="A69" s="395">
        <f>IF($C69="","",COUNTA($C$4:$C69))</f>
        <v>66</v>
      </c>
      <c r="B69" s="412" t="str">
        <f>IF('Dev Schedule 2025-26'!A69&lt;&gt;"",'Dev Schedule 2025-26'!A69,B68)</f>
        <v>3rd Party
Hotel</v>
      </c>
      <c r="C69" s="412" t="str">
        <f>IF('Dev Schedule 2025-26'!B69="","",'Dev Schedule 2025-26'!B69)</f>
        <v>Rate Hawk</v>
      </c>
      <c r="D69" s="396" t="str">
        <f t="shared" ref="D69:D82" si="7">IF($C69="","",IF(ISNUMBER(SEARCH("Channel API",$B69)),"→ OMH API 제공 (고객사가 OMH API 호출)","← 고객사 API 연동 (OMH가 고객사 API 호출)"))</f>
        <v>← 고객사 API 연동 (OMH가 고객사 API 호출)</v>
      </c>
      <c r="E69" s="413"/>
      <c r="F69" s="412" t="str">
        <f>IF('Dev Schedule 2025-26'!G69="","",'Dev Schedule 2025-26'!G69)</f>
        <v>🔴 Full (100%)</v>
      </c>
      <c r="G69" s="412" t="str">
        <f>IF('Dev Schedule 2025-26'!E69="","",'Dev Schedule 2025-26'!E69)</f>
        <v>OHMY</v>
      </c>
      <c r="H69" s="412" t="str">
        <f>IF('Dev Schedule 2025-26'!C69="","",'Dev Schedule 2025-26'!C69)</f>
        <v>SLA</v>
      </c>
      <c r="I69" s="412" t="str">
        <f>IF('Dev Schedule 2025-26'!D69="","",'Dev Schedule 2025-26'!D69)</f>
        <v>Sophia</v>
      </c>
      <c r="J69" s="412" t="str">
        <f>IF('Dev Schedule 2025-26'!H69="","",'Dev Schedule 2025-26'!H69)</f>
        <v>Contact</v>
      </c>
      <c r="K69" s="412" t="str">
        <f>IF('Dev Schedule 2025-26'!I69="","",'Dev Schedule 2025-26'!I69)</f>
        <v>Jun-26</v>
      </c>
      <c r="L69" s="414" t="str">
        <f>IF('Dev Schedule 2025-26'!J69="","",'Dev Schedule 2025-26'!J69)</f>
        <v>Oct-26</v>
      </c>
      <c r="M69" s="400" t="s">
        <v>708</v>
      </c>
      <c r="N69" s="399" cm="1">
        <f t="array" ref="N69">IF($C69="","",IFERROR(SUMPRODUCT(MAX(($U69:$AF69&lt;&gt;"")*$AL$3:$AW$3)),0))</f>
        <v>0.1</v>
      </c>
      <c r="O69" s="411" t="str">
        <f t="shared" ref="O69:O82" si="8">IF($N69="","",REPT("█",ROUND($N69*10,0))&amp;REPT("░",10-ROUND($N69*10,0)))</f>
        <v>█░░░░░░░░░</v>
      </c>
      <c r="P69" s="396" t="str">
        <f t="shared" ref="P69:P82" si="9">IF($C69="","",IF($N69=0,"미추적 (날짜 기록 없음)",INDEX($U$3:$AF$3,MATCH($N69,$AL$3:$AW$3,0))))</f>
        <v>① 미팅/1st Contact (10%)</v>
      </c>
      <c r="Q69" s="396" t="str" cm="1">
        <f t="array" ref="Q69">IF($C69="","",IF($N69&gt;=1,"— 완료",INDEX($U$3:$AF$3,IF($N69=0,1,MATCH($N69,$AL$3:$AW$3,0)+1))))</f>
        <v>② NDA 체결 (20%)</v>
      </c>
      <c r="R69" s="406">
        <f t="shared" ref="R69:R82" si="10">IF(COUNT($U69:$AF69)=0,"",MAX($U69:$AF69))</f>
        <v>45924</v>
      </c>
      <c r="S69" s="401">
        <f t="shared" ref="S69:S82" ca="1" si="11">IF($R69="","",TODAY()-$R69)</f>
        <v>325</v>
      </c>
      <c r="T69" s="403" t="str">
        <f t="shared" ref="T69:T82" ca="1" si="12">IF($C69="","",IF($N69&gt;=1,"Live",IF($R69="","기록 없음",IF($S69&gt;90,"90일+ 정지",IF($S69&gt;60,"60일+ 정지",IF($S69&gt;30,"30일+ 정지","진행 중"))))))</f>
        <v>90일+ 정지</v>
      </c>
      <c r="U69" s="402">
        <v>45924</v>
      </c>
      <c r="V69" s="398"/>
      <c r="W69" s="398"/>
      <c r="X69" s="398"/>
      <c r="Y69" s="398"/>
      <c r="Z69" s="398"/>
      <c r="AA69" s="398"/>
      <c r="AB69" s="398"/>
      <c r="AC69" s="398"/>
      <c r="AD69" s="398"/>
      <c r="AE69" s="404"/>
      <c r="AF69" s="405"/>
      <c r="AG69" s="402"/>
      <c r="AH69" s="397"/>
      <c r="AI69" s="397"/>
      <c r="AJ69" s="407"/>
      <c r="AK69" s="408" t="str">
        <f t="shared" ref="AK69:AK82" si="13">IF($C69="","",IF(AND($J69="Live",$N69&lt;1),"Status=Live / 날짜 미완료",IF(AND($J69="Contact",$N69&gt;=0.3),"Status=Contact / 계약 이후 날짜 존재",IF(AND(OR($J69="In Development",$J69="Testing"),$N69&lt;0.45),"개발중 / 착수 날짜 없음","OK"))))</f>
        <v>OK</v>
      </c>
    </row>
    <row r="70" spans="1:37" ht="15.75" customHeight="1">
      <c r="A70" s="395">
        <f>IF($C70="","",COUNTA($C$4:$C70))</f>
        <v>67</v>
      </c>
      <c r="B70" s="412" t="str">
        <f>IF('Dev Schedule 2025-26'!A70&lt;&gt;"",'Dev Schedule 2025-26'!A70,B69)</f>
        <v>3rd Party
Hotel</v>
      </c>
      <c r="C70" s="412" t="str">
        <f>IF('Dev Schedule 2025-26'!B70="","",'Dev Schedule 2025-26'!B70)</f>
        <v>Restel Hotels</v>
      </c>
      <c r="D70" s="396" t="str">
        <f t="shared" si="7"/>
        <v>← 고객사 API 연동 (OMH가 고객사 API 호출)</v>
      </c>
      <c r="E70" s="413"/>
      <c r="F70" s="412" t="str">
        <f>IF('Dev Schedule 2025-26'!G70="","",'Dev Schedule 2025-26'!G70)</f>
        <v>🔴 Full (100%)</v>
      </c>
      <c r="G70" s="412" t="str">
        <f>IF('Dev Schedule 2025-26'!E70="","",'Dev Schedule 2025-26'!E70)</f>
        <v>OHMY</v>
      </c>
      <c r="H70" s="412" t="str">
        <f>IF('Dev Schedule 2025-26'!C70="","",'Dev Schedule 2025-26'!C70)</f>
        <v>SLA</v>
      </c>
      <c r="I70" s="412" t="str">
        <f>IF('Dev Schedule 2025-26'!D70="","",'Dev Schedule 2025-26'!D70)</f>
        <v>Sophia</v>
      </c>
      <c r="J70" s="412" t="str">
        <f>IF('Dev Schedule 2025-26'!H70="","",'Dev Schedule 2025-26'!H70)</f>
        <v>NDA/Contract</v>
      </c>
      <c r="K70" s="412" t="str">
        <f>IF('Dev Schedule 2025-26'!I70="","",'Dev Schedule 2025-26'!I70)</f>
        <v>Jun-26</v>
      </c>
      <c r="L70" s="414" t="str">
        <f>IF('Dev Schedule 2025-26'!J70="","",'Dev Schedule 2025-26'!J70)</f>
        <v>Oct-26</v>
      </c>
      <c r="M70" s="400" t="s">
        <v>1174</v>
      </c>
      <c r="N70" s="399" cm="1">
        <f t="array" ref="N70">IF($C70="","",IFERROR(SUMPRODUCT(MAX(($U70:$AF70&lt;&gt;"")*$AL$3:$AW$3)),0))</f>
        <v>0</v>
      </c>
      <c r="O70" s="411" t="str">
        <f t="shared" si="8"/>
        <v>░░░░░░░░░░</v>
      </c>
      <c r="P70" s="396" t="str">
        <f t="shared" si="9"/>
        <v>미추적 (날짜 기록 없음)</v>
      </c>
      <c r="Q70" s="396" t="str" cm="1">
        <f t="array" ref="Q70">IF($C70="","",IF($N70&gt;=1,"— 완료",INDEX($U$3:$AF$3,IF($N70=0,1,MATCH($N70,$AL$3:$AW$3,0)+1))))</f>
        <v>① 미팅/1st Contact (10%)</v>
      </c>
      <c r="R70" s="406" t="str">
        <f t="shared" si="10"/>
        <v/>
      </c>
      <c r="S70" s="401" t="str">
        <f t="shared" ca="1" si="11"/>
        <v/>
      </c>
      <c r="T70" s="403" t="str">
        <f t="shared" si="12"/>
        <v>기록 없음</v>
      </c>
      <c r="U70" s="402"/>
      <c r="V70" s="398"/>
      <c r="W70" s="398"/>
      <c r="X70" s="398"/>
      <c r="Y70" s="398"/>
      <c r="Z70" s="398"/>
      <c r="AA70" s="398"/>
      <c r="AB70" s="398"/>
      <c r="AC70" s="398"/>
      <c r="AD70" s="398"/>
      <c r="AE70" s="404"/>
      <c r="AF70" s="405"/>
      <c r="AG70" s="402"/>
      <c r="AH70" s="397"/>
      <c r="AI70" s="397"/>
      <c r="AJ70" s="407"/>
      <c r="AK70" s="408" t="str">
        <f t="shared" si="13"/>
        <v>OK</v>
      </c>
    </row>
    <row r="71" spans="1:37" ht="15.75" customHeight="1">
      <c r="A71" s="395">
        <f>IF($C71="","",COUNTA($C$4:$C71))</f>
        <v>68</v>
      </c>
      <c r="B71" s="412" t="str">
        <f>IF('Dev Schedule 2025-26'!A71&lt;&gt;"",'Dev Schedule 2025-26'!A71,B70)</f>
        <v>3rd Party
Hotel</v>
      </c>
      <c r="C71" s="412" t="str">
        <f>IF('Dev Schedule 2025-26'!B71="","",'Dev Schedule 2025-26'!B71)</f>
        <v>Prime Travel</v>
      </c>
      <c r="D71" s="396" t="str">
        <f t="shared" si="7"/>
        <v>← 고객사 API 연동 (OMH가 고객사 API 호출)</v>
      </c>
      <c r="E71" s="413"/>
      <c r="F71" s="412" t="str">
        <f>IF('Dev Schedule 2025-26'!G71="","",'Dev Schedule 2025-26'!G71)</f>
        <v>🟢 Minimal (5-10%)</v>
      </c>
      <c r="G71" s="412" t="str">
        <f>IF('Dev Schedule 2025-26'!E71="","",'Dev Schedule 2025-26'!E71)</f>
        <v>Prime Travel</v>
      </c>
      <c r="H71" s="412" t="str">
        <f>IF('Dev Schedule 2025-26'!C71="","",'Dev Schedule 2025-26'!C71)</f>
        <v>SLA</v>
      </c>
      <c r="I71" s="412" t="str">
        <f>IF('Dev Schedule 2025-26'!D71="","",'Dev Schedule 2025-26'!D71)</f>
        <v>Sophia</v>
      </c>
      <c r="J71" s="412" t="str">
        <f>IF('Dev Schedule 2025-26'!H71="","",'Dev Schedule 2025-26'!H71)</f>
        <v>Contact</v>
      </c>
      <c r="K71" s="412" t="str">
        <f>IF('Dev Schedule 2025-26'!I71="","",'Dev Schedule 2025-26'!I71)</f>
        <v>Sep-26</v>
      </c>
      <c r="L71" s="414" t="str">
        <f>IF('Dev Schedule 2025-26'!J71="","",'Dev Schedule 2025-26'!J71)</f>
        <v>Oct-26</v>
      </c>
      <c r="M71" s="400"/>
      <c r="N71" s="399" cm="1">
        <f t="array" ref="N71">IF($C71="","",IFERROR(SUMPRODUCT(MAX(($U71:$AF71&lt;&gt;"")*$AL$3:$AW$3)),0))</f>
        <v>0</v>
      </c>
      <c r="O71" s="411" t="str">
        <f t="shared" si="8"/>
        <v>░░░░░░░░░░</v>
      </c>
      <c r="P71" s="396" t="str">
        <f t="shared" si="9"/>
        <v>미추적 (날짜 기록 없음)</v>
      </c>
      <c r="Q71" s="396" t="str" cm="1">
        <f t="array" ref="Q71">IF($C71="","",IF($N71&gt;=1,"— 완료",INDEX($U$3:$AF$3,IF($N71=0,1,MATCH($N71,$AL$3:$AW$3,0)+1))))</f>
        <v>① 미팅/1st Contact (10%)</v>
      </c>
      <c r="R71" s="406" t="str">
        <f t="shared" si="10"/>
        <v/>
      </c>
      <c r="S71" s="401" t="str">
        <f t="shared" ca="1" si="11"/>
        <v/>
      </c>
      <c r="T71" s="403" t="str">
        <f t="shared" si="12"/>
        <v>기록 없음</v>
      </c>
      <c r="U71" s="402"/>
      <c r="V71" s="398"/>
      <c r="W71" s="398"/>
      <c r="X71" s="398"/>
      <c r="Y71" s="398"/>
      <c r="Z71" s="398"/>
      <c r="AA71" s="398"/>
      <c r="AB71" s="398"/>
      <c r="AC71" s="398"/>
      <c r="AD71" s="398"/>
      <c r="AE71" s="404"/>
      <c r="AF71" s="405"/>
      <c r="AG71" s="402"/>
      <c r="AH71" s="397"/>
      <c r="AI71" s="397"/>
      <c r="AJ71" s="407"/>
      <c r="AK71" s="408" t="str">
        <f t="shared" si="13"/>
        <v>OK</v>
      </c>
    </row>
    <row r="72" spans="1:37" ht="15.75" customHeight="1">
      <c r="A72" s="395">
        <f>IF($C72="","",COUNTA($C$4:$C72))</f>
        <v>69</v>
      </c>
      <c r="B72" s="412" t="str">
        <f>IF('Dev Schedule 2025-26'!A72&lt;&gt;"",'Dev Schedule 2025-26'!A72,B71)</f>
        <v>3rd Party
Hotel</v>
      </c>
      <c r="C72" s="412" t="str">
        <f>IF('Dev Schedule 2025-26'!B72="","",'Dev Schedule 2025-26'!B72)</f>
        <v>MG Group</v>
      </c>
      <c r="D72" s="396" t="str">
        <f t="shared" si="7"/>
        <v>← 고객사 API 연동 (OMH가 고객사 API 호출)</v>
      </c>
      <c r="E72" s="413"/>
      <c r="F72" s="412" t="str">
        <f>IF('Dev Schedule 2025-26'!G72="","",'Dev Schedule 2025-26'!G72)</f>
        <v>🟢 Minimal (5-10%)</v>
      </c>
      <c r="G72" s="412" t="str">
        <f>IF('Dev Schedule 2025-26'!E72="","",'Dev Schedule 2025-26'!E72)</f>
        <v>MG</v>
      </c>
      <c r="H72" s="412" t="str">
        <f>IF('Dev Schedule 2025-26'!C72="","",'Dev Schedule 2025-26'!C72)</f>
        <v>SLA</v>
      </c>
      <c r="I72" s="412" t="str">
        <f>IF('Dev Schedule 2025-26'!D72="","",'Dev Schedule 2025-26'!D72)</f>
        <v>Sophia</v>
      </c>
      <c r="J72" s="412" t="str">
        <f>IF('Dev Schedule 2025-26'!H72="","",'Dev Schedule 2025-26'!H72)</f>
        <v>NDA/Contract</v>
      </c>
      <c r="K72" s="412" t="str">
        <f>IF('Dev Schedule 2025-26'!I72="","",'Dev Schedule 2025-26'!I72)</f>
        <v>Feb-26</v>
      </c>
      <c r="L72" s="414" t="str">
        <f>IF('Dev Schedule 2025-26'!J72="","",'Dev Schedule 2025-26'!J72)</f>
        <v>Sep-26</v>
      </c>
      <c r="M72" s="400" t="s">
        <v>1754</v>
      </c>
      <c r="N72" s="399" cm="1">
        <f t="array" ref="N72">IF($C72="","",IFERROR(SUMPRODUCT(MAX(($U72:$AF72&lt;&gt;"")*$AL$3:$AW$3)),0))</f>
        <v>0</v>
      </c>
      <c r="O72" s="411" t="str">
        <f t="shared" si="8"/>
        <v>░░░░░░░░░░</v>
      </c>
      <c r="P72" s="396" t="str">
        <f t="shared" si="9"/>
        <v>미추적 (날짜 기록 없음)</v>
      </c>
      <c r="Q72" s="396" t="str" cm="1">
        <f t="array" ref="Q72">IF($C72="","",IF($N72&gt;=1,"— 완료",INDEX($U$3:$AF$3,IF($N72=0,1,MATCH($N72,$AL$3:$AW$3,0)+1))))</f>
        <v>① 미팅/1st Contact (10%)</v>
      </c>
      <c r="R72" s="406" t="str">
        <f t="shared" si="10"/>
        <v/>
      </c>
      <c r="S72" s="401" t="str">
        <f t="shared" ca="1" si="11"/>
        <v/>
      </c>
      <c r="T72" s="403" t="str">
        <f t="shared" si="12"/>
        <v>기록 없음</v>
      </c>
      <c r="U72" s="402"/>
      <c r="V72" s="398"/>
      <c r="W72" s="398"/>
      <c r="X72" s="398"/>
      <c r="Y72" s="398"/>
      <c r="Z72" s="398"/>
      <c r="AA72" s="398"/>
      <c r="AB72" s="398"/>
      <c r="AC72" s="398"/>
      <c r="AD72" s="398"/>
      <c r="AE72" s="404"/>
      <c r="AF72" s="405"/>
      <c r="AG72" s="402"/>
      <c r="AH72" s="397"/>
      <c r="AI72" s="397"/>
      <c r="AJ72" s="407"/>
      <c r="AK72" s="408" t="str">
        <f t="shared" si="13"/>
        <v>OK</v>
      </c>
    </row>
    <row r="73" spans="1:37" ht="15.75" customHeight="1">
      <c r="A73" s="395">
        <f>IF($C73="","",COUNTA($C$4:$C73))</f>
        <v>70</v>
      </c>
      <c r="B73" s="412" t="str">
        <f>IF('Dev Schedule 2025-26'!A73&lt;&gt;"",'Dev Schedule 2025-26'!A73,B72)</f>
        <v>3rd Party
Hotel</v>
      </c>
      <c r="C73" s="412" t="str">
        <f>IF('Dev Schedule 2025-26'!B73="","",'Dev Schedule 2025-26'!B73)</f>
        <v>Welcomebeds</v>
      </c>
      <c r="D73" s="396" t="str">
        <f t="shared" si="7"/>
        <v>← 고객사 API 연동 (OMH가 고객사 API 호출)</v>
      </c>
      <c r="E73" s="413"/>
      <c r="F73" s="412" t="str">
        <f>IF('Dev Schedule 2025-26'!G73="","",'Dev Schedule 2025-26'!G73)</f>
        <v>🟢 Minimal (5-10%)</v>
      </c>
      <c r="G73" s="412" t="str">
        <f>IF('Dev Schedule 2025-26'!E73="","",'Dev Schedule 2025-26'!E73)</f>
        <v>Welcomebeds</v>
      </c>
      <c r="H73" s="412" t="str">
        <f>IF('Dev Schedule 2025-26'!C73="","",'Dev Schedule 2025-26'!C73)</f>
        <v>SLA</v>
      </c>
      <c r="I73" s="412" t="str">
        <f>IF('Dev Schedule 2025-26'!D73="","",'Dev Schedule 2025-26'!D73)</f>
        <v>Sophia</v>
      </c>
      <c r="J73" s="412" t="str">
        <f>IF('Dev Schedule 2025-26'!H73="","",'Dev Schedule 2025-26'!H73)</f>
        <v>Contact</v>
      </c>
      <c r="K73" s="412" t="str">
        <f>IF('Dev Schedule 2025-26'!I73="","",'Dev Schedule 2025-26'!I73)</f>
        <v>Jun-26</v>
      </c>
      <c r="L73" s="414" t="str">
        <f>IF('Dev Schedule 2025-26'!J73="","",'Dev Schedule 2025-26'!J73)</f>
        <v>Nov-26</v>
      </c>
      <c r="M73" s="400"/>
      <c r="N73" s="399" cm="1">
        <f t="array" ref="N73">IF($C73="","",IFERROR(SUMPRODUCT(MAX(($U73:$AF73&lt;&gt;"")*$AL$3:$AW$3)),0))</f>
        <v>0</v>
      </c>
      <c r="O73" s="411" t="str">
        <f t="shared" si="8"/>
        <v>░░░░░░░░░░</v>
      </c>
      <c r="P73" s="396" t="str">
        <f t="shared" si="9"/>
        <v>미추적 (날짜 기록 없음)</v>
      </c>
      <c r="Q73" s="396" t="str" cm="1">
        <f t="array" ref="Q73">IF($C73="","",IF($N73&gt;=1,"— 완료",INDEX($U$3:$AF$3,IF($N73=0,1,MATCH($N73,$AL$3:$AW$3,0)+1))))</f>
        <v>① 미팅/1st Contact (10%)</v>
      </c>
      <c r="R73" s="406" t="str">
        <f t="shared" si="10"/>
        <v/>
      </c>
      <c r="S73" s="401" t="str">
        <f t="shared" ca="1" si="11"/>
        <v/>
      </c>
      <c r="T73" s="403" t="str">
        <f t="shared" si="12"/>
        <v>기록 없음</v>
      </c>
      <c r="U73" s="402"/>
      <c r="V73" s="398"/>
      <c r="W73" s="398"/>
      <c r="X73" s="398"/>
      <c r="Y73" s="398"/>
      <c r="Z73" s="398"/>
      <c r="AA73" s="398"/>
      <c r="AB73" s="398"/>
      <c r="AC73" s="398"/>
      <c r="AD73" s="398"/>
      <c r="AE73" s="404"/>
      <c r="AF73" s="405"/>
      <c r="AG73" s="402"/>
      <c r="AH73" s="397"/>
      <c r="AI73" s="397"/>
      <c r="AJ73" s="407"/>
      <c r="AK73" s="408" t="str">
        <f t="shared" si="13"/>
        <v>OK</v>
      </c>
    </row>
    <row r="74" spans="1:37" ht="15.75" customHeight="1">
      <c r="A74" s="395">
        <f>IF($C74="","",COUNTA($C$4:$C74))</f>
        <v>71</v>
      </c>
      <c r="B74" s="412" t="str">
        <f>IF('Dev Schedule 2025-26'!A74&lt;&gt;"",'Dev Schedule 2025-26'!A74,B73)</f>
        <v>3rd Party
Hotel</v>
      </c>
      <c r="C74" s="412" t="str">
        <f>IF('Dev Schedule 2025-26'!B74="","",'Dev Schedule 2025-26'!B74)</f>
        <v>G2 Travel</v>
      </c>
      <c r="D74" s="396" t="str">
        <f t="shared" si="7"/>
        <v>← 고객사 API 연동 (OMH가 고객사 API 호출)</v>
      </c>
      <c r="E74" s="413"/>
      <c r="F74" s="412" t="str">
        <f>IF('Dev Schedule 2025-26'!G74="","",'Dev Schedule 2025-26'!G74)</f>
        <v>🔴 Full (100%)</v>
      </c>
      <c r="G74" s="412" t="str">
        <f>IF('Dev Schedule 2025-26'!E74="","",'Dev Schedule 2025-26'!E74)</f>
        <v>OHMY</v>
      </c>
      <c r="H74" s="412" t="str">
        <f>IF('Dev Schedule 2025-26'!C74="","",'Dev Schedule 2025-26'!C74)</f>
        <v>SLA</v>
      </c>
      <c r="I74" s="412" t="str">
        <f>IF('Dev Schedule 2025-26'!D74="","",'Dev Schedule 2025-26'!D74)</f>
        <v>Sophia</v>
      </c>
      <c r="J74" s="412" t="str">
        <f>IF('Dev Schedule 2025-26'!H74="","",'Dev Schedule 2025-26'!H74)</f>
        <v>NDA/Contract</v>
      </c>
      <c r="K74" s="412" t="str">
        <f>IF('Dev Schedule 2025-26'!I74="","",'Dev Schedule 2025-26'!I74)</f>
        <v>Jun-26</v>
      </c>
      <c r="L74" s="414" t="str">
        <f>IF('Dev Schedule 2025-26'!J74="","",'Dev Schedule 2025-26'!J74)</f>
        <v>Nov-26</v>
      </c>
      <c r="M74" s="400"/>
      <c r="N74" s="399" cm="1">
        <f t="array" ref="N74">IF($C74="","",IFERROR(SUMPRODUCT(MAX(($U74:$AF74&lt;&gt;"")*$AL$3:$AW$3)),0))</f>
        <v>0</v>
      </c>
      <c r="O74" s="411" t="str">
        <f t="shared" si="8"/>
        <v>░░░░░░░░░░</v>
      </c>
      <c r="P74" s="396" t="str">
        <f t="shared" si="9"/>
        <v>미추적 (날짜 기록 없음)</v>
      </c>
      <c r="Q74" s="396" t="str" cm="1">
        <f t="array" ref="Q74">IF($C74="","",IF($N74&gt;=1,"— 완료",INDEX($U$3:$AF$3,IF($N74=0,1,MATCH($N74,$AL$3:$AW$3,0)+1))))</f>
        <v>① 미팅/1st Contact (10%)</v>
      </c>
      <c r="R74" s="406" t="str">
        <f t="shared" si="10"/>
        <v/>
      </c>
      <c r="S74" s="401" t="str">
        <f t="shared" ca="1" si="11"/>
        <v/>
      </c>
      <c r="T74" s="403" t="str">
        <f t="shared" si="12"/>
        <v>기록 없음</v>
      </c>
      <c r="U74" s="402"/>
      <c r="V74" s="398"/>
      <c r="W74" s="398"/>
      <c r="X74" s="398"/>
      <c r="Y74" s="398"/>
      <c r="Z74" s="398"/>
      <c r="AA74" s="398"/>
      <c r="AB74" s="398"/>
      <c r="AC74" s="398"/>
      <c r="AD74" s="398"/>
      <c r="AE74" s="404"/>
      <c r="AF74" s="405"/>
      <c r="AG74" s="402"/>
      <c r="AH74" s="397"/>
      <c r="AI74" s="397"/>
      <c r="AJ74" s="407"/>
      <c r="AK74" s="408" t="str">
        <f t="shared" si="13"/>
        <v>OK</v>
      </c>
    </row>
    <row r="75" spans="1:37" ht="15.75" customHeight="1">
      <c r="A75" s="395">
        <f>IF($C75="","",COUNTA($C$4:$C75))</f>
        <v>72</v>
      </c>
      <c r="B75" s="412" t="str">
        <f>IF('Dev Schedule 2025-26'!A75&lt;&gt;"",'Dev Schedule 2025-26'!A75,B74)</f>
        <v>3rd Party
Hotel</v>
      </c>
      <c r="C75" s="412" t="str">
        <f>IF('Dev Schedule 2025-26'!B75="","",'Dev Schedule 2025-26'!B75)</f>
        <v>Go Global</v>
      </c>
      <c r="D75" s="396" t="str">
        <f t="shared" si="7"/>
        <v>← 고객사 API 연동 (OMH가 고객사 API 호출)</v>
      </c>
      <c r="E75" s="413"/>
      <c r="F75" s="412" t="str">
        <f>IF('Dev Schedule 2025-26'!G75="","",'Dev Schedule 2025-26'!G75)</f>
        <v>🔴 Full (100%)</v>
      </c>
      <c r="G75" s="412" t="str">
        <f>IF('Dev Schedule 2025-26'!E75="","",'Dev Schedule 2025-26'!E75)</f>
        <v>OHMY</v>
      </c>
      <c r="H75" s="412" t="str">
        <f>IF('Dev Schedule 2025-26'!C75="","",'Dev Schedule 2025-26'!C75)</f>
        <v>SLA</v>
      </c>
      <c r="I75" s="412" t="str">
        <f>IF('Dev Schedule 2025-26'!D75="","",'Dev Schedule 2025-26'!D75)</f>
        <v>Sophia</v>
      </c>
      <c r="J75" s="412" t="str">
        <f>IF('Dev Schedule 2025-26'!H75="","",'Dev Schedule 2025-26'!H75)</f>
        <v>NDA/Contract</v>
      </c>
      <c r="K75" s="412" t="str">
        <f>IF('Dev Schedule 2025-26'!I75="","",'Dev Schedule 2025-26'!I75)</f>
        <v>Feb-26</v>
      </c>
      <c r="L75" s="414" t="str">
        <f>IF('Dev Schedule 2025-26'!J75="","",'Dev Schedule 2025-26'!J75)</f>
        <v>Aug-26</v>
      </c>
      <c r="M75" s="400"/>
      <c r="N75" s="399" cm="1">
        <f t="array" ref="N75">IF($C75="","",IFERROR(SUMPRODUCT(MAX(($U75:$AF75&lt;&gt;"")*$AL$3:$AW$3)),0))</f>
        <v>0</v>
      </c>
      <c r="O75" s="411" t="str">
        <f t="shared" si="8"/>
        <v>░░░░░░░░░░</v>
      </c>
      <c r="P75" s="396" t="str">
        <f t="shared" si="9"/>
        <v>미추적 (날짜 기록 없음)</v>
      </c>
      <c r="Q75" s="396" t="str" cm="1">
        <f t="array" ref="Q75">IF($C75="","",IF($N75&gt;=1,"— 완료",INDEX($U$3:$AF$3,IF($N75=0,1,MATCH($N75,$AL$3:$AW$3,0)+1))))</f>
        <v>① 미팅/1st Contact (10%)</v>
      </c>
      <c r="R75" s="406" t="str">
        <f t="shared" si="10"/>
        <v/>
      </c>
      <c r="S75" s="401" t="str">
        <f t="shared" ca="1" si="11"/>
        <v/>
      </c>
      <c r="T75" s="403" t="str">
        <f t="shared" si="12"/>
        <v>기록 없음</v>
      </c>
      <c r="U75" s="402"/>
      <c r="V75" s="398"/>
      <c r="W75" s="398"/>
      <c r="X75" s="398"/>
      <c r="Y75" s="398"/>
      <c r="Z75" s="398"/>
      <c r="AA75" s="398"/>
      <c r="AB75" s="398"/>
      <c r="AC75" s="398"/>
      <c r="AD75" s="398"/>
      <c r="AE75" s="404"/>
      <c r="AF75" s="405"/>
      <c r="AG75" s="402"/>
      <c r="AH75" s="397"/>
      <c r="AI75" s="397"/>
      <c r="AJ75" s="407"/>
      <c r="AK75" s="408" t="str">
        <f t="shared" si="13"/>
        <v>OK</v>
      </c>
    </row>
    <row r="76" spans="1:37" ht="15.75" customHeight="1">
      <c r="A76" s="395">
        <f>IF($C76="","",COUNTA($C$4:$C76))</f>
        <v>73</v>
      </c>
      <c r="B76" s="412" t="str">
        <f>IF('Dev Schedule 2025-26'!A76&lt;&gt;"",'Dev Schedule 2025-26'!A76,B75)</f>
        <v>3rd Party
Hotel</v>
      </c>
      <c r="C76" s="412" t="str">
        <f>IF('Dev Schedule 2025-26'!B76="","",'Dev Schedule 2025-26'!B76)</f>
        <v>Miki</v>
      </c>
      <c r="D76" s="396" t="str">
        <f t="shared" si="7"/>
        <v>← 고객사 API 연동 (OMH가 고객사 API 호출)</v>
      </c>
      <c r="E76" s="413"/>
      <c r="F76" s="412" t="str">
        <f>IF('Dev Schedule 2025-26'!G76="","",'Dev Schedule 2025-26'!G76)</f>
        <v>🔴 Full (100%)</v>
      </c>
      <c r="G76" s="412" t="str">
        <f>IF('Dev Schedule 2025-26'!E76="","",'Dev Schedule 2025-26'!E76)</f>
        <v>OHMY</v>
      </c>
      <c r="H76" s="412" t="str">
        <f>IF('Dev Schedule 2025-26'!C76="","",'Dev Schedule 2025-26'!C76)</f>
        <v>SLA</v>
      </c>
      <c r="I76" s="412" t="str">
        <f>IF('Dev Schedule 2025-26'!D76="","",'Dev Schedule 2025-26'!D76)</f>
        <v>Sophia</v>
      </c>
      <c r="J76" s="412" t="str">
        <f>IF('Dev Schedule 2025-26'!H76="","",'Dev Schedule 2025-26'!H76)</f>
        <v>Contact</v>
      </c>
      <c r="K76" s="412" t="str">
        <f>IF('Dev Schedule 2025-26'!I76="","",'Dev Schedule 2025-26'!I76)</f>
        <v>Jun-26</v>
      </c>
      <c r="L76" s="414" t="str">
        <f>IF('Dev Schedule 2025-26'!J76="","",'Dev Schedule 2025-26'!J76)</f>
        <v>Oct-26</v>
      </c>
      <c r="M76" s="400"/>
      <c r="N76" s="399" cm="1">
        <f t="array" ref="N76">IF($C76="","",IFERROR(SUMPRODUCT(MAX(($U76:$AF76&lt;&gt;"")*$AL$3:$AW$3)),0))</f>
        <v>0</v>
      </c>
      <c r="O76" s="411" t="str">
        <f t="shared" si="8"/>
        <v>░░░░░░░░░░</v>
      </c>
      <c r="P76" s="396" t="str">
        <f t="shared" si="9"/>
        <v>미추적 (날짜 기록 없음)</v>
      </c>
      <c r="Q76" s="396" t="str" cm="1">
        <f t="array" ref="Q76">IF($C76="","",IF($N76&gt;=1,"— 완료",INDEX($U$3:$AF$3,IF($N76=0,1,MATCH($N76,$AL$3:$AW$3,0)+1))))</f>
        <v>① 미팅/1st Contact (10%)</v>
      </c>
      <c r="R76" s="406" t="str">
        <f t="shared" si="10"/>
        <v/>
      </c>
      <c r="S76" s="401" t="str">
        <f t="shared" ca="1" si="11"/>
        <v/>
      </c>
      <c r="T76" s="403" t="str">
        <f t="shared" si="12"/>
        <v>기록 없음</v>
      </c>
      <c r="U76" s="402"/>
      <c r="V76" s="398"/>
      <c r="W76" s="398"/>
      <c r="X76" s="398"/>
      <c r="Y76" s="398"/>
      <c r="Z76" s="398"/>
      <c r="AA76" s="398"/>
      <c r="AB76" s="398"/>
      <c r="AC76" s="398"/>
      <c r="AD76" s="398"/>
      <c r="AE76" s="404"/>
      <c r="AF76" s="405"/>
      <c r="AG76" s="402"/>
      <c r="AH76" s="397"/>
      <c r="AI76" s="397"/>
      <c r="AJ76" s="407"/>
      <c r="AK76" s="408" t="str">
        <f t="shared" si="13"/>
        <v>OK</v>
      </c>
    </row>
    <row r="77" spans="1:37" ht="15.75" customHeight="1">
      <c r="A77" s="395">
        <f>IF($C77="","",COUNTA($C$4:$C77))</f>
        <v>74</v>
      </c>
      <c r="B77" s="412" t="str">
        <f>IF('Dev Schedule 2025-26'!A77&lt;&gt;"",'Dev Schedule 2025-26'!A77,B76)</f>
        <v>3rd Party
Hotel</v>
      </c>
      <c r="C77" s="412" t="str">
        <f>IF('Dev Schedule 2025-26'!B77="","",'Dev Schedule 2025-26'!B77)</f>
        <v>Accomy</v>
      </c>
      <c r="D77" s="396" t="str">
        <f t="shared" si="7"/>
        <v>← 고객사 API 연동 (OMH가 고객사 API 호출)</v>
      </c>
      <c r="E77" s="413"/>
      <c r="F77" s="412" t="str">
        <f>IF('Dev Schedule 2025-26'!G77="","",'Dev Schedule 2025-26'!G77)</f>
        <v>🔴 Full (100%)</v>
      </c>
      <c r="G77" s="412" t="str">
        <f>IF('Dev Schedule 2025-26'!E77="","",'Dev Schedule 2025-26'!E77)</f>
        <v>OHMY</v>
      </c>
      <c r="H77" s="412" t="str">
        <f>IF('Dev Schedule 2025-26'!C77="","",'Dev Schedule 2025-26'!C77)</f>
        <v>SLA</v>
      </c>
      <c r="I77" s="412" t="str">
        <f>IF('Dev Schedule 2025-26'!D77="","",'Dev Schedule 2025-26'!D77)</f>
        <v>Sophia</v>
      </c>
      <c r="J77" s="412" t="str">
        <f>IF('Dev Schedule 2025-26'!H77="","",'Dev Schedule 2025-26'!H77)</f>
        <v>Contact</v>
      </c>
      <c r="K77" s="412" t="str">
        <f>IF('Dev Schedule 2025-26'!I77="","",'Dev Schedule 2025-26'!I77)</f>
        <v>Jun-26</v>
      </c>
      <c r="L77" s="414" t="str">
        <f>IF('Dev Schedule 2025-26'!J77="","",'Dev Schedule 2025-26'!J77)</f>
        <v>Oct-26</v>
      </c>
      <c r="M77" s="400" t="s">
        <v>744</v>
      </c>
      <c r="N77" s="399" cm="1">
        <f t="array" ref="N77">IF($C77="","",IFERROR(SUMPRODUCT(MAX(($U77:$AF77&lt;&gt;"")*$AL$3:$AW$3)),0))</f>
        <v>0.1</v>
      </c>
      <c r="O77" s="411" t="str">
        <f t="shared" si="8"/>
        <v>█░░░░░░░░░</v>
      </c>
      <c r="P77" s="396" t="str">
        <f t="shared" si="9"/>
        <v>① 미팅/1st Contact (10%)</v>
      </c>
      <c r="Q77" s="396" t="str" cm="1">
        <f t="array" ref="Q77">IF($C77="","",IF($N77&gt;=1,"— 완료",INDEX($U$3:$AF$3,IF($N77=0,1,MATCH($N77,$AL$3:$AW$3,0)+1))))</f>
        <v>② NDA 체결 (20%)</v>
      </c>
      <c r="R77" s="406">
        <f t="shared" si="10"/>
        <v>45912</v>
      </c>
      <c r="S77" s="401">
        <f t="shared" ca="1" si="11"/>
        <v>337</v>
      </c>
      <c r="T77" s="403" t="str">
        <f t="shared" ca="1" si="12"/>
        <v>90일+ 정지</v>
      </c>
      <c r="U77" s="402">
        <v>45912</v>
      </c>
      <c r="V77" s="398"/>
      <c r="W77" s="398"/>
      <c r="X77" s="398"/>
      <c r="Y77" s="398"/>
      <c r="Z77" s="398"/>
      <c r="AA77" s="398"/>
      <c r="AB77" s="398"/>
      <c r="AC77" s="398"/>
      <c r="AD77" s="398"/>
      <c r="AE77" s="404"/>
      <c r="AF77" s="405"/>
      <c r="AG77" s="402"/>
      <c r="AH77" s="397"/>
      <c r="AI77" s="397"/>
      <c r="AJ77" s="407"/>
      <c r="AK77" s="408" t="str">
        <f t="shared" si="13"/>
        <v>OK</v>
      </c>
    </row>
    <row r="78" spans="1:37" ht="15.75" customHeight="1">
      <c r="A78" s="395">
        <f>IF($C78="","",COUNTA($C$4:$C78))</f>
        <v>75</v>
      </c>
      <c r="B78" s="412" t="str">
        <f>IF('Dev Schedule 2025-26'!A78&lt;&gt;"",'Dev Schedule 2025-26'!A78,B77)</f>
        <v>3rd Party
Hotel</v>
      </c>
      <c r="C78" s="412" t="str">
        <f>IF('Dev Schedule 2025-26'!B78="","",'Dev Schedule 2025-26'!B78)</f>
        <v>ABC Travel</v>
      </c>
      <c r="D78" s="396" t="str">
        <f t="shared" si="7"/>
        <v>← 고객사 API 연동 (OMH가 고객사 API 호출)</v>
      </c>
      <c r="E78" s="413"/>
      <c r="F78" s="412" t="str">
        <f>IF('Dev Schedule 2025-26'!G78="","",'Dev Schedule 2025-26'!G78)</f>
        <v>🔴 Full (100%)</v>
      </c>
      <c r="G78" s="412" t="str">
        <f>IF('Dev Schedule 2025-26'!E78="","",'Dev Schedule 2025-26'!E78)</f>
        <v>OHMY</v>
      </c>
      <c r="H78" s="412" t="str">
        <f>IF('Dev Schedule 2025-26'!C78="","",'Dev Schedule 2025-26'!C78)</f>
        <v>SLA</v>
      </c>
      <c r="I78" s="412" t="str">
        <f>IF('Dev Schedule 2025-26'!D78="","",'Dev Schedule 2025-26'!D78)</f>
        <v>Sophia</v>
      </c>
      <c r="J78" s="412" t="str">
        <f>IF('Dev Schedule 2025-26'!H78="","",'Dev Schedule 2025-26'!H78)</f>
        <v>Contact</v>
      </c>
      <c r="K78" s="412" t="str">
        <f>IF('Dev Schedule 2025-26'!I78="","",'Dev Schedule 2025-26'!I78)</f>
        <v>Jun-26</v>
      </c>
      <c r="L78" s="414" t="str">
        <f>IF('Dev Schedule 2025-26'!J78="","",'Dev Schedule 2025-26'!J78)</f>
        <v>Sep-26</v>
      </c>
      <c r="M78" s="400"/>
      <c r="N78" s="399" cm="1">
        <f t="array" ref="N78">IF($C78="","",IFERROR(SUMPRODUCT(MAX(($U78:$AF78&lt;&gt;"")*$AL$3:$AW$3)),0))</f>
        <v>0</v>
      </c>
      <c r="O78" s="411" t="str">
        <f t="shared" si="8"/>
        <v>░░░░░░░░░░</v>
      </c>
      <c r="P78" s="396" t="str">
        <f t="shared" si="9"/>
        <v>미추적 (날짜 기록 없음)</v>
      </c>
      <c r="Q78" s="396" t="str" cm="1">
        <f t="array" ref="Q78">IF($C78="","",IF($N78&gt;=1,"— 완료",INDEX($U$3:$AF$3,IF($N78=0,1,MATCH($N78,$AL$3:$AW$3,0)+1))))</f>
        <v>① 미팅/1st Contact (10%)</v>
      </c>
      <c r="R78" s="406" t="str">
        <f t="shared" si="10"/>
        <v/>
      </c>
      <c r="S78" s="401" t="str">
        <f t="shared" ca="1" si="11"/>
        <v/>
      </c>
      <c r="T78" s="403" t="str">
        <f t="shared" si="12"/>
        <v>기록 없음</v>
      </c>
      <c r="U78" s="402"/>
      <c r="V78" s="398"/>
      <c r="W78" s="398"/>
      <c r="X78" s="398"/>
      <c r="Y78" s="398"/>
      <c r="Z78" s="398"/>
      <c r="AA78" s="398"/>
      <c r="AB78" s="398"/>
      <c r="AC78" s="398"/>
      <c r="AD78" s="398"/>
      <c r="AE78" s="404"/>
      <c r="AF78" s="405"/>
      <c r="AG78" s="402"/>
      <c r="AH78" s="397"/>
      <c r="AI78" s="397"/>
      <c r="AJ78" s="407"/>
      <c r="AK78" s="408" t="str">
        <f t="shared" si="13"/>
        <v>OK</v>
      </c>
    </row>
    <row r="79" spans="1:37" ht="15.75" customHeight="1">
      <c r="A79" s="395">
        <f>IF($C79="","",COUNTA($C$4:$C79))</f>
        <v>76</v>
      </c>
      <c r="B79" s="412" t="str">
        <f>IF('Dev Schedule 2025-26'!A79&lt;&gt;"",'Dev Schedule 2025-26'!A79,B78)</f>
        <v>3rd Party
Hotel</v>
      </c>
      <c r="C79" s="412" t="str">
        <f>IF('Dev Schedule 2025-26'!B79="","",'Dev Schedule 2025-26'!B79)</f>
        <v>Tiket.com</v>
      </c>
      <c r="D79" s="396" t="str">
        <f t="shared" si="7"/>
        <v>← 고객사 API 연동 (OMH가 고객사 API 호출)</v>
      </c>
      <c r="E79" s="413"/>
      <c r="F79" s="412" t="str">
        <f>IF('Dev Schedule 2025-26'!G79="","",'Dev Schedule 2025-26'!G79)</f>
        <v>🔴 Full (100%)</v>
      </c>
      <c r="G79" s="412" t="str">
        <f>IF('Dev Schedule 2025-26'!E79="","",'Dev Schedule 2025-26'!E79)</f>
        <v>OHMY</v>
      </c>
      <c r="H79" s="412" t="str">
        <f>IF('Dev Schedule 2025-26'!C79="","",'Dev Schedule 2025-26'!C79)</f>
        <v>SLA</v>
      </c>
      <c r="I79" s="412" t="str">
        <f>IF('Dev Schedule 2025-26'!D79="","",'Dev Schedule 2025-26'!D79)</f>
        <v>Sophia</v>
      </c>
      <c r="J79" s="412" t="str">
        <f>IF('Dev Schedule 2025-26'!H79="","",'Dev Schedule 2025-26'!H79)</f>
        <v>NDA/Contract</v>
      </c>
      <c r="K79" s="412" t="str">
        <f>IF('Dev Schedule 2025-26'!I79="","",'Dev Schedule 2025-26'!I79)</f>
        <v>Jun-26</v>
      </c>
      <c r="L79" s="414" t="str">
        <f>IF('Dev Schedule 2025-26'!J79="","",'Dev Schedule 2025-26'!J79)</f>
        <v>Dec-26</v>
      </c>
      <c r="M79" s="400" t="s">
        <v>1006</v>
      </c>
      <c r="N79" s="399" cm="1">
        <f t="array" ref="N79">IF($C79="","",IFERROR(SUMPRODUCT(MAX(($U79:$AF79&lt;&gt;"")*$AL$3:$AW$3)),0))</f>
        <v>0.1</v>
      </c>
      <c r="O79" s="411" t="str">
        <f t="shared" si="8"/>
        <v>█░░░░░░░░░</v>
      </c>
      <c r="P79" s="396" t="str">
        <f t="shared" si="9"/>
        <v>① 미팅/1st Contact (10%)</v>
      </c>
      <c r="Q79" s="396" t="str" cm="1">
        <f t="array" ref="Q79">IF($C79="","",IF($N79&gt;=1,"— 완료",INDEX($U$3:$AF$3,IF($N79=0,1,MATCH($N79,$AL$3:$AW$3,0)+1))))</f>
        <v>② NDA 체결 (20%)</v>
      </c>
      <c r="R79" s="406">
        <f t="shared" si="10"/>
        <v>45946</v>
      </c>
      <c r="S79" s="401">
        <f t="shared" ca="1" si="11"/>
        <v>303</v>
      </c>
      <c r="T79" s="403" t="str">
        <f t="shared" ca="1" si="12"/>
        <v>90일+ 정지</v>
      </c>
      <c r="U79" s="402">
        <v>45946</v>
      </c>
      <c r="V79" s="398"/>
      <c r="W79" s="398"/>
      <c r="X79" s="398"/>
      <c r="Y79" s="398"/>
      <c r="Z79" s="398"/>
      <c r="AA79" s="398"/>
      <c r="AB79" s="398"/>
      <c r="AC79" s="398"/>
      <c r="AD79" s="398"/>
      <c r="AE79" s="404"/>
      <c r="AF79" s="405"/>
      <c r="AG79" s="402"/>
      <c r="AH79" s="397"/>
      <c r="AI79" s="397"/>
      <c r="AJ79" s="407"/>
      <c r="AK79" s="408" t="str">
        <f t="shared" si="13"/>
        <v>OK</v>
      </c>
    </row>
    <row r="80" spans="1:37" ht="15.75" customHeight="1">
      <c r="A80" s="395">
        <f>IF($C80="","",COUNTA($C$4:$C80))</f>
        <v>77</v>
      </c>
      <c r="B80" s="412" t="str">
        <f>IF('Dev Schedule 2025-26'!A80&lt;&gt;"",'Dev Schedule 2025-26'!A80,B79)</f>
        <v>3rd Party
Activity</v>
      </c>
      <c r="C80" s="412" t="str">
        <f>IF('Dev Schedule 2025-26'!B80="","",'Dev Schedule 2025-26'!B80)</f>
        <v>JTR</v>
      </c>
      <c r="D80" s="396" t="str">
        <f t="shared" si="7"/>
        <v>← 고객사 API 연동 (OMH가 고객사 API 호출)</v>
      </c>
      <c r="E80" s="413"/>
      <c r="F80" s="412" t="str">
        <f>IF('Dev Schedule 2025-26'!G80="","",'Dev Schedule 2025-26'!G80)</f>
        <v>🔴 Full (100%)</v>
      </c>
      <c r="G80" s="412" t="str">
        <f>IF('Dev Schedule 2025-26'!E80="","",'Dev Schedule 2025-26'!E80)</f>
        <v>OHMY</v>
      </c>
      <c r="H80" s="412" t="str">
        <f>IF('Dev Schedule 2025-26'!C80="","",'Dev Schedule 2025-26'!C80)</f>
        <v>SLA</v>
      </c>
      <c r="I80" s="412" t="str">
        <f>IF('Dev Schedule 2025-26'!D80="","",'Dev Schedule 2025-26'!D80)</f>
        <v>Sophia</v>
      </c>
      <c r="J80" s="412" t="str">
        <f>IF('Dev Schedule 2025-26'!H80="","",'Dev Schedule 2025-26'!H80)</f>
        <v>In Development</v>
      </c>
      <c r="K80" s="412" t="str">
        <f>IF('Dev Schedule 2025-26'!I80="","",'Dev Schedule 2025-26'!I80)</f>
        <v>Dec-25</v>
      </c>
      <c r="L80" s="414" t="str">
        <f>IF('Dev Schedule 2025-26'!J80="","",'Dev Schedule 2025-26'!J80)</f>
        <v>Oct-26</v>
      </c>
      <c r="M80" s="400"/>
      <c r="N80" s="399" cm="1">
        <f t="array" ref="N80">IF($C80="","",IFERROR(SUMPRODUCT(MAX(($U80:$AF80&lt;&gt;"")*$AL$3:$AW$3)),0))</f>
        <v>0</v>
      </c>
      <c r="O80" s="411" t="str">
        <f t="shared" si="8"/>
        <v>░░░░░░░░░░</v>
      </c>
      <c r="P80" s="396" t="str">
        <f t="shared" si="9"/>
        <v>미추적 (날짜 기록 없음)</v>
      </c>
      <c r="Q80" s="396" t="str" cm="1">
        <f t="array" ref="Q80">IF($C80="","",IF($N80&gt;=1,"— 완료",INDEX($U$3:$AF$3,IF($N80=0,1,MATCH($N80,$AL$3:$AW$3,0)+1))))</f>
        <v>① 미팅/1st Contact (10%)</v>
      </c>
      <c r="R80" s="406" t="str">
        <f t="shared" si="10"/>
        <v/>
      </c>
      <c r="S80" s="401" t="str">
        <f t="shared" ca="1" si="11"/>
        <v/>
      </c>
      <c r="T80" s="403" t="str">
        <f t="shared" si="12"/>
        <v>기록 없음</v>
      </c>
      <c r="U80" s="402"/>
      <c r="V80" s="398"/>
      <c r="W80" s="398"/>
      <c r="X80" s="398"/>
      <c r="Y80" s="398"/>
      <c r="Z80" s="398"/>
      <c r="AA80" s="398"/>
      <c r="AB80" s="398"/>
      <c r="AC80" s="398"/>
      <c r="AD80" s="398"/>
      <c r="AE80" s="404"/>
      <c r="AF80" s="405"/>
      <c r="AG80" s="402"/>
      <c r="AH80" s="397"/>
      <c r="AI80" s="397"/>
      <c r="AJ80" s="407"/>
      <c r="AK80" s="408" t="str">
        <f t="shared" si="13"/>
        <v>개발중 / 착수 날짜 없음</v>
      </c>
    </row>
    <row r="81" spans="1:37" ht="15.75" customHeight="1">
      <c r="A81" s="395">
        <f>IF($C81="","",COUNTA($C$4:$C81))</f>
        <v>78</v>
      </c>
      <c r="B81" s="412" t="str">
        <f>IF('Dev Schedule 2025-26'!A81&lt;&gt;"",'Dev Schedule 2025-26'!A81,B80)</f>
        <v>3rd Party
Activity</v>
      </c>
      <c r="C81" s="412" t="str">
        <f>IF('Dev Schedule 2025-26'!B81="","",'Dev Schedule 2025-26'!B81)</f>
        <v>Linktivity</v>
      </c>
      <c r="D81" s="396" t="str">
        <f t="shared" si="7"/>
        <v>← 고객사 API 연동 (OMH가 고객사 API 호출)</v>
      </c>
      <c r="E81" s="413"/>
      <c r="F81" s="412" t="str">
        <f>IF('Dev Schedule 2025-26'!G81="","",'Dev Schedule 2025-26'!G81)</f>
        <v>🔴 Full (100%)</v>
      </c>
      <c r="G81" s="412" t="str">
        <f>IF('Dev Schedule 2025-26'!E81="","",'Dev Schedule 2025-26'!E81)</f>
        <v>OHMY</v>
      </c>
      <c r="H81" s="412" t="str">
        <f>IF('Dev Schedule 2025-26'!C81="","",'Dev Schedule 2025-26'!C81)</f>
        <v>SLA</v>
      </c>
      <c r="I81" s="412" t="str">
        <f>IF('Dev Schedule 2025-26'!D81="","",'Dev Schedule 2025-26'!D81)</f>
        <v>Sophia</v>
      </c>
      <c r="J81" s="412" t="str">
        <f>IF('Dev Schedule 2025-26'!H81="","",'Dev Schedule 2025-26'!H81)</f>
        <v>Contact</v>
      </c>
      <c r="K81" s="412" t="str">
        <f>IF('Dev Schedule 2025-26'!I81="","",'Dev Schedule 2025-26'!I81)</f>
        <v>Sep-26</v>
      </c>
      <c r="L81" s="414" t="str">
        <f>IF('Dev Schedule 2025-26'!J81="","",'Dev Schedule 2025-26'!J81)</f>
        <v>Oct-26</v>
      </c>
      <c r="M81" s="400"/>
      <c r="N81" s="399" cm="1">
        <f t="array" ref="N81">IF($C81="","",IFERROR(SUMPRODUCT(MAX(($U81:$AF81&lt;&gt;"")*$AL$3:$AW$3)),0))</f>
        <v>0</v>
      </c>
      <c r="O81" s="411" t="str">
        <f t="shared" si="8"/>
        <v>░░░░░░░░░░</v>
      </c>
      <c r="P81" s="396" t="str">
        <f t="shared" si="9"/>
        <v>미추적 (날짜 기록 없음)</v>
      </c>
      <c r="Q81" s="396" t="str" cm="1">
        <f t="array" ref="Q81">IF($C81="","",IF($N81&gt;=1,"— 완료",INDEX($U$3:$AF$3,IF($N81=0,1,MATCH($N81,$AL$3:$AW$3,0)+1))))</f>
        <v>① 미팅/1st Contact (10%)</v>
      </c>
      <c r="R81" s="406" t="str">
        <f t="shared" si="10"/>
        <v/>
      </c>
      <c r="S81" s="401" t="str">
        <f t="shared" ca="1" si="11"/>
        <v/>
      </c>
      <c r="T81" s="403" t="str">
        <f t="shared" si="12"/>
        <v>기록 없음</v>
      </c>
      <c r="U81" s="402"/>
      <c r="V81" s="398"/>
      <c r="W81" s="398"/>
      <c r="X81" s="398"/>
      <c r="Y81" s="398"/>
      <c r="Z81" s="398"/>
      <c r="AA81" s="398"/>
      <c r="AB81" s="398"/>
      <c r="AC81" s="398"/>
      <c r="AD81" s="398"/>
      <c r="AE81" s="404"/>
      <c r="AF81" s="405"/>
      <c r="AG81" s="402"/>
      <c r="AH81" s="397"/>
      <c r="AI81" s="397"/>
      <c r="AJ81" s="407"/>
      <c r="AK81" s="408" t="str">
        <f t="shared" si="13"/>
        <v>OK</v>
      </c>
    </row>
    <row r="82" spans="1:37" ht="15.75" customHeight="1">
      <c r="A82" s="395">
        <f>IF($C82="","",COUNTA($C$4:$C82))</f>
        <v>79</v>
      </c>
      <c r="B82" s="412" t="str">
        <f>IF('Dev Schedule 2025-26'!A82&lt;&gt;"",'Dev Schedule 2025-26'!A82,B81)</f>
        <v>3rd Party
Activity</v>
      </c>
      <c r="C82" s="412" t="str">
        <f>IF('Dev Schedule 2025-26'!B82="","",'Dev Schedule 2025-26'!B82)</f>
        <v>Toto booking</v>
      </c>
      <c r="D82" s="396" t="str">
        <f t="shared" si="7"/>
        <v>← 고객사 API 연동 (OMH가 고객사 API 호출)</v>
      </c>
      <c r="E82" s="413"/>
      <c r="F82" s="412" t="str">
        <f>IF('Dev Schedule 2025-26'!G82="","",'Dev Schedule 2025-26'!G82)</f>
        <v>🔴 Full (100%)</v>
      </c>
      <c r="G82" s="412" t="str">
        <f>IF('Dev Schedule 2025-26'!E82="","",'Dev Schedule 2025-26'!E82)</f>
        <v>OHMY</v>
      </c>
      <c r="H82" s="412" t="str">
        <f>IF('Dev Schedule 2025-26'!C82="","",'Dev Schedule 2025-26'!C82)</f>
        <v>SLA</v>
      </c>
      <c r="I82" s="412" t="str">
        <f>IF('Dev Schedule 2025-26'!D82="","",'Dev Schedule 2025-26'!D82)</f>
        <v>Sophia</v>
      </c>
      <c r="J82" s="412" t="str">
        <f>IF('Dev Schedule 2025-26'!H82="","",'Dev Schedule 2025-26'!H82)</f>
        <v>Contact</v>
      </c>
      <c r="K82" s="412" t="str">
        <f>IF('Dev Schedule 2025-26'!I82="","",'Dev Schedule 2025-26'!I82)</f>
        <v>Feb-26</v>
      </c>
      <c r="L82" s="414" t="str">
        <f>IF('Dev Schedule 2025-26'!J82="","",'Dev Schedule 2025-26'!J82)</f>
        <v>Oct-26</v>
      </c>
      <c r="M82" s="400"/>
      <c r="N82" s="399" cm="1">
        <f t="array" ref="N82">IF($C82="","",IFERROR(SUMPRODUCT(MAX(($U82:$AF82&lt;&gt;"")*$AL$3:$AW$3)),0))</f>
        <v>0</v>
      </c>
      <c r="O82" s="411" t="str">
        <f t="shared" si="8"/>
        <v>░░░░░░░░░░</v>
      </c>
      <c r="P82" s="396" t="str">
        <f t="shared" si="9"/>
        <v>미추적 (날짜 기록 없음)</v>
      </c>
      <c r="Q82" s="396" t="str" cm="1">
        <f t="array" ref="Q82">IF($C82="","",IF($N82&gt;=1,"— 완료",INDEX($U$3:$AF$3,IF($N82=0,1,MATCH($N82,$AL$3:$AW$3,0)+1))))</f>
        <v>① 미팅/1st Contact (10%)</v>
      </c>
      <c r="R82" s="406" t="str">
        <f t="shared" si="10"/>
        <v/>
      </c>
      <c r="S82" s="401" t="str">
        <f t="shared" ca="1" si="11"/>
        <v/>
      </c>
      <c r="T82" s="403" t="str">
        <f t="shared" si="12"/>
        <v>기록 없음</v>
      </c>
      <c r="U82" s="402"/>
      <c r="V82" s="398"/>
      <c r="W82" s="398"/>
      <c r="X82" s="398"/>
      <c r="Y82" s="398"/>
      <c r="Z82" s="398"/>
      <c r="AA82" s="398"/>
      <c r="AB82" s="398"/>
      <c r="AC82" s="398"/>
      <c r="AD82" s="398"/>
      <c r="AE82" s="404"/>
      <c r="AF82" s="405"/>
      <c r="AG82" s="402"/>
      <c r="AH82" s="397"/>
      <c r="AI82" s="397"/>
      <c r="AJ82" s="407"/>
      <c r="AK82" s="408" t="str">
        <f t="shared" si="13"/>
        <v>OK</v>
      </c>
    </row>
  </sheetData>
  <mergeCells count="13">
    <mergeCell ref="AM25:AN25"/>
    <mergeCell ref="AM26:AN26"/>
    <mergeCell ref="AM27:AN27"/>
    <mergeCell ref="AM5:AN5"/>
    <mergeCell ref="AM21:AN21"/>
    <mergeCell ref="AM22:AN22"/>
    <mergeCell ref="AM23:AN23"/>
    <mergeCell ref="AM24:AN24"/>
    <mergeCell ref="A1:AJ1"/>
    <mergeCell ref="A2:M2"/>
    <mergeCell ref="N2:T2"/>
    <mergeCell ref="U2:AF2"/>
    <mergeCell ref="AG2:AK2"/>
  </mergeCells>
  <conditionalFormatting sqref="E4:E82">
    <cfRule type="containsText" dxfId="457" priority="1" operator="containsText" text="High">
      <formula>NOT(ISERROR(SEARCH("High",E4)))</formula>
    </cfRule>
  </conditionalFormatting>
  <conditionalFormatting sqref="E4:E82">
    <cfRule type="containsText" dxfId="456" priority="2" operator="containsText" text="Mid">
      <formula>NOT(ISERROR(SEARCH("Mid",E4)))</formula>
    </cfRule>
  </conditionalFormatting>
  <conditionalFormatting sqref="E4:E82">
    <cfRule type="containsText" dxfId="455" priority="3" operator="containsText" text="Low">
      <formula>NOT(ISERROR(SEARCH("Low",E4)))</formula>
    </cfRule>
  </conditionalFormatting>
  <conditionalFormatting sqref="D4:D82">
    <cfRule type="containsText" dxfId="454" priority="4" operator="containsText" text="OMH API 제공">
      <formula>NOT(ISERROR(SEARCH("OMH API 제공",D4)))</formula>
    </cfRule>
  </conditionalFormatting>
  <conditionalFormatting sqref="D4:D82">
    <cfRule type="containsText" dxfId="453" priority="5" operator="containsText" text="고객사 API 연동">
      <formula>NOT(ISERROR(SEARCH("고객사 API 연동",D4)))</formula>
    </cfRule>
  </conditionalFormatting>
  <conditionalFormatting sqref="T4:T82">
    <cfRule type="containsText" dxfId="452" priority="6" operator="containsText" text="Live">
      <formula>NOT(ISERROR(SEARCH("Live",T4)))</formula>
    </cfRule>
  </conditionalFormatting>
  <conditionalFormatting sqref="T4:T82">
    <cfRule type="containsText" dxfId="451" priority="7" operator="containsText" text="90일">
      <formula>NOT(ISERROR(SEARCH("90일",T4)))</formula>
    </cfRule>
  </conditionalFormatting>
  <conditionalFormatting sqref="T4:T82">
    <cfRule type="containsText" dxfId="450" priority="8" operator="containsText" text="60일">
      <formula>NOT(ISERROR(SEARCH("60일",T4)))</formula>
    </cfRule>
  </conditionalFormatting>
  <conditionalFormatting sqref="T4:T82">
    <cfRule type="containsText" dxfId="449" priority="9" operator="containsText" text="30일">
      <formula>NOT(ISERROR(SEARCH("30일",T4)))</formula>
    </cfRule>
  </conditionalFormatting>
  <conditionalFormatting sqref="T4:T82">
    <cfRule type="containsText" dxfId="448" priority="10" operator="containsText" text="기록 없음">
      <formula>NOT(ISERROR(SEARCH("기록 없음",T4)))</formula>
    </cfRule>
  </conditionalFormatting>
  <conditionalFormatting sqref="N4:N82">
    <cfRule type="dataBar" priority="11">
      <dataBar>
        <cfvo type="num" val="0"/>
        <cfvo type="num" val="1"/>
        <color rgb="FF63BE7B"/>
      </dataBar>
      <extLst>
        <ext xmlns:x14="http://schemas.microsoft.com/office/spreadsheetml/2009/9/main" uri="{B025F937-C7B1-47D3-B67F-A62EFF666E3E}">
          <x14:id>{CF1FA9E0-7E1D-4792-A2DD-6AB3D4E4C7EF}</x14:id>
        </ext>
      </extLst>
    </cfRule>
  </conditionalFormatting>
  <conditionalFormatting sqref="M4:M82">
    <cfRule type="expression" dxfId="447" priority="12">
      <formula>AND($C4&lt;&gt;"",$M4="")</formula>
    </cfRule>
  </conditionalFormatting>
  <conditionalFormatting sqref="U4:AF82">
    <cfRule type="expression" dxfId="446" priority="13">
      <formula>U4&lt;&gt;""</formula>
    </cfRule>
  </conditionalFormatting>
  <conditionalFormatting sqref="AK4:AK82">
    <cfRule type="containsText" dxfId="445" priority="14" operator="containsText" text="/">
      <formula>NOT(ISERROR(SEARCH("/",AK4)))</formula>
    </cfRule>
  </conditionalFormatting>
  <conditionalFormatting sqref="AK4:AK82">
    <cfRule type="containsText" dxfId="444" priority="15" operator="containsText" text="OK">
      <formula>NOT(ISERROR(SEARCH("OK",AK4)))</formula>
    </cfRule>
  </conditionalFormatting>
  <dataValidations count="1">
    <dataValidation type="list" allowBlank="1" showInputMessage="1" showErrorMessage="1" promptTitle="Biz Impact" prompt="비즈니스 임팩트를 선택하세요 (High / Mid / Low)" sqref="E4:E82" xr:uid="{B6A0C3C2-4578-4FC7-8011-197B4ACEE4B7}">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CF1FA9E0-7E1D-4792-A2DD-6AB3D4E4C7EF}">
            <x14:dataBar minLength="0" maxLength="100" negativeBarColorSameAsPositive="1" axisPosition="none">
              <x14:cfvo type="num">
                <xm:f>0</xm:f>
              </x14:cfvo>
              <x14:cfvo type="num">
                <xm:f>1</xm:f>
              </x14:cfvo>
            </x14:dataBar>
          </x14:cfRule>
          <xm:sqref>N4:N82</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16525E-5876-42CF-A406-042E62FF9F4B}">
  <sheetPr>
    <tabColor rgb="FF002060"/>
  </sheetPr>
  <dimension ref="A1:AN122"/>
  <sheetViews>
    <sheetView zoomScale="80" zoomScaleNormal="80" workbookViewId="0">
      <pane xSplit="2" ySplit="3" topLeftCell="C12" activePane="bottomRight" state="frozen"/>
      <selection pane="bottomRight" activeCell="A51" sqref="A13:XFD66"/>
      <selection pane="bottomLeft" activeCell="A4" sqref="A4"/>
      <selection pane="topRight" activeCell="C1" sqref="C1"/>
    </sheetView>
  </sheetViews>
  <sheetFormatPr defaultColWidth="9" defaultRowHeight="15" customHeight="1"/>
  <cols>
    <col min="1" max="1" width="13.75" style="2" customWidth="1"/>
    <col min="2" max="2" width="23.25" style="2" customWidth="1"/>
    <col min="3" max="4" width="14.25" style="2" customWidth="1"/>
    <col min="5" max="5" width="19.25" style="2" customWidth="1"/>
    <col min="6" max="6" width="12.375" style="2" customWidth="1"/>
    <col min="7" max="7" width="19.25" style="2" customWidth="1"/>
    <col min="8" max="8" width="16.875" style="2" customWidth="1"/>
    <col min="9" max="9" width="12.25" style="2" bestFit="1" customWidth="1"/>
    <col min="10" max="10" width="11.25" style="2" bestFit="1" customWidth="1"/>
    <col min="11" max="23" width="10" style="2" customWidth="1"/>
    <col min="24" max="25" width="11.25" style="2" bestFit="1" customWidth="1"/>
    <col min="26" max="37" width="11.25" style="2" customWidth="1"/>
    <col min="38" max="38" width="4.125" style="2" customWidth="1"/>
    <col min="39" max="16384" width="9" style="2"/>
  </cols>
  <sheetData>
    <row r="1" spans="1:40" ht="15" customHeight="1">
      <c r="A1" s="72" t="s">
        <v>2518</v>
      </c>
      <c r="K1" s="515">
        <v>2025</v>
      </c>
      <c r="L1" s="515"/>
      <c r="M1" s="516"/>
      <c r="N1" s="235">
        <v>2026</v>
      </c>
      <c r="O1" s="235"/>
      <c r="P1" s="235"/>
      <c r="Q1" s="235"/>
      <c r="R1" s="235"/>
      <c r="S1" s="235"/>
      <c r="T1" s="235"/>
      <c r="U1" s="235"/>
      <c r="V1" s="235"/>
      <c r="W1" s="235"/>
      <c r="X1" s="235"/>
      <c r="Y1" s="235"/>
      <c r="Z1" s="512">
        <v>2027</v>
      </c>
      <c r="AA1" s="512"/>
      <c r="AB1" s="512"/>
      <c r="AC1" s="512"/>
      <c r="AD1" s="512"/>
      <c r="AE1" s="512"/>
      <c r="AF1" s="512"/>
      <c r="AG1" s="512"/>
      <c r="AH1" s="512"/>
      <c r="AI1" s="512"/>
      <c r="AJ1" s="512"/>
      <c r="AK1" s="512"/>
    </row>
    <row r="2" spans="1:40" ht="15" customHeight="1">
      <c r="A2" s="91"/>
      <c r="B2" s="91"/>
      <c r="E2" s="91"/>
      <c r="F2" s="91"/>
      <c r="G2" s="91"/>
      <c r="H2" s="91"/>
      <c r="I2" s="91"/>
      <c r="J2" s="91"/>
      <c r="K2" s="94" t="s">
        <v>2519</v>
      </c>
      <c r="L2" s="91"/>
      <c r="M2" s="91"/>
      <c r="N2" s="341" t="s">
        <v>2520</v>
      </c>
      <c r="O2" s="91"/>
      <c r="P2" s="91"/>
      <c r="Q2" s="341" t="s">
        <v>2521</v>
      </c>
      <c r="R2" s="91"/>
      <c r="S2" s="91"/>
      <c r="T2" s="341" t="s">
        <v>2522</v>
      </c>
      <c r="U2" s="91"/>
      <c r="V2" s="91"/>
      <c r="W2" s="341" t="s">
        <v>2519</v>
      </c>
      <c r="X2" s="91"/>
      <c r="Y2" s="91"/>
      <c r="Z2" s="341" t="s">
        <v>2520</v>
      </c>
      <c r="AA2" s="91"/>
      <c r="AB2" s="91"/>
      <c r="AC2" s="341" t="s">
        <v>2521</v>
      </c>
      <c r="AD2" s="91"/>
      <c r="AE2" s="91"/>
      <c r="AF2" s="341" t="s">
        <v>2522</v>
      </c>
      <c r="AG2" s="91"/>
      <c r="AH2" s="91"/>
      <c r="AI2" s="341" t="s">
        <v>2519</v>
      </c>
      <c r="AJ2" s="91"/>
      <c r="AK2" s="91"/>
    </row>
    <row r="3" spans="1:40" ht="27" customHeight="1">
      <c r="A3" s="95" t="s">
        <v>61</v>
      </c>
      <c r="B3" s="95" t="s">
        <v>2463</v>
      </c>
      <c r="C3" s="77" t="s">
        <v>2523</v>
      </c>
      <c r="D3" s="77" t="s">
        <v>19</v>
      </c>
      <c r="E3" s="95" t="s">
        <v>2524</v>
      </c>
      <c r="F3" s="95" t="s">
        <v>29</v>
      </c>
      <c r="G3" s="96" t="s">
        <v>2525</v>
      </c>
      <c r="H3" s="95" t="s">
        <v>0</v>
      </c>
      <c r="I3" s="95" t="s">
        <v>2526</v>
      </c>
      <c r="J3" s="95" t="s">
        <v>2527</v>
      </c>
      <c r="K3" s="95" t="s">
        <v>2528</v>
      </c>
      <c r="L3" s="95" t="s">
        <v>2529</v>
      </c>
      <c r="M3" s="95" t="s">
        <v>2530</v>
      </c>
      <c r="N3" s="95" t="s">
        <v>2531</v>
      </c>
      <c r="O3" s="95" t="s">
        <v>2532</v>
      </c>
      <c r="P3" s="95" t="s">
        <v>2533</v>
      </c>
      <c r="Q3" s="95" t="s">
        <v>2534</v>
      </c>
      <c r="R3" s="95" t="s">
        <v>2535</v>
      </c>
      <c r="S3" s="95" t="s">
        <v>2536</v>
      </c>
      <c r="T3" s="95" t="s">
        <v>2537</v>
      </c>
      <c r="U3" s="95" t="s">
        <v>2538</v>
      </c>
      <c r="V3" s="95" t="s">
        <v>2539</v>
      </c>
      <c r="W3" s="95" t="s">
        <v>2528</v>
      </c>
      <c r="X3" s="95" t="s">
        <v>2529</v>
      </c>
      <c r="Y3" s="95" t="s">
        <v>2530</v>
      </c>
      <c r="Z3" s="95" t="s">
        <v>2531</v>
      </c>
      <c r="AA3" s="95" t="s">
        <v>2532</v>
      </c>
      <c r="AB3" s="95" t="s">
        <v>2533</v>
      </c>
      <c r="AC3" s="95" t="s">
        <v>2534</v>
      </c>
      <c r="AD3" s="95" t="s">
        <v>2535</v>
      </c>
      <c r="AE3" s="95" t="s">
        <v>2536</v>
      </c>
      <c r="AF3" s="95" t="s">
        <v>2537</v>
      </c>
      <c r="AG3" s="95" t="s">
        <v>2538</v>
      </c>
      <c r="AH3" s="95" t="s">
        <v>2539</v>
      </c>
      <c r="AI3" s="95" t="s">
        <v>2528</v>
      </c>
      <c r="AJ3" s="95" t="s">
        <v>2529</v>
      </c>
      <c r="AK3" s="95" t="s">
        <v>2530</v>
      </c>
    </row>
    <row r="4" spans="1:40" ht="15" customHeight="1">
      <c r="A4" s="514" t="s">
        <v>46</v>
      </c>
      <c r="B4" s="3" t="s">
        <v>2540</v>
      </c>
      <c r="C4" s="3" t="s">
        <v>2541</v>
      </c>
      <c r="D4" s="3" t="s">
        <v>2542</v>
      </c>
      <c r="E4" s="3" t="s">
        <v>2543</v>
      </c>
      <c r="F4" s="307"/>
      <c r="G4" s="78" t="s">
        <v>2544</v>
      </c>
      <c r="H4" s="3" t="s">
        <v>2545</v>
      </c>
      <c r="I4" s="79" t="s">
        <v>2546</v>
      </c>
      <c r="J4" s="79" t="s">
        <v>2547</v>
      </c>
      <c r="K4" s="80" t="str">
        <f>IF(OR($I4="",$J4=""),"개발 시작전",IFERROR(IF(AND(DATEVALUE("1-"&amp;$I4)&lt;=K$83,DATEVALUE("1-"&amp;$J4)&gt;=K$83),"●",""),"개발 시작전"))</f>
        <v/>
      </c>
      <c r="L4" s="80" t="str">
        <f>IF(OR($I4="",$J4=""),"",IFERROR(IF(AND(DATEVALUE("1-"&amp;$I4)&lt;=L$83,DATEVALUE("1-"&amp;$J4)&gt;=L$83),"●",""),""))</f>
        <v/>
      </c>
      <c r="M4" s="80" t="str">
        <f>IF(OR($I4="",$J4=""),"",IFERROR(IF(AND(DATEVALUE("1-"&amp;$I4)&lt;=M$83,DATEVALUE("1-"&amp;$J4)&gt;=M$83),"●",""),""))</f>
        <v/>
      </c>
      <c r="N4" s="80" t="str">
        <f>IF(OR($I4="",$J4=""),"",IFERROR(IF(AND(DATEVALUE("1-"&amp;$I4)&lt;=N$83,DATEVALUE("1-"&amp;$J4)&gt;=N$83),"●",""),""))</f>
        <v/>
      </c>
      <c r="O4" s="80" t="str">
        <f>IF(OR($I4="",$J4=""),"",IFERROR(IF(AND(DATEVALUE("1-"&amp;$I4)&lt;=O$83,DATEVALUE("1-"&amp;$J4)&gt;=O$83),"●",""),""))</f>
        <v/>
      </c>
      <c r="P4" s="80" t="str">
        <f>IF(OR($I4="",$J4=""),"",IFERROR(IF(AND(DATEVALUE("1-"&amp;$I4)&lt;=P$83,DATEVALUE("1-"&amp;$J4)&gt;=P$83),"●",""),""))</f>
        <v/>
      </c>
      <c r="Q4" s="80" t="str">
        <f>IF(OR($I4="",$J4=""),"",IFERROR(IF(AND(DATEVALUE("1-"&amp;$I4)&lt;=Q$83,DATEVALUE("1-"&amp;$J4)&gt;=Q$83),"●",""),""))</f>
        <v/>
      </c>
      <c r="R4" s="80" t="str">
        <f>IF(OR($I4="",$J4=""),"",IFERROR(IF(AND(DATEVALUE("1-"&amp;$I4)&lt;=R$83,DATEVALUE("1-"&amp;$J4)&gt;=R$83),"●",""),""))</f>
        <v/>
      </c>
      <c r="S4" s="80" t="str">
        <f>IF(OR($I4="",$J4=""),"",IFERROR(IF(AND(DATEVALUE("1-"&amp;$I4)&lt;=S$83,DATEVALUE("1-"&amp;$J4)&gt;=S$83),"●",""),""))</f>
        <v/>
      </c>
      <c r="T4" s="80" t="str">
        <f>IF(OR($I4="",$J4=""),"",IFERROR(IF(AND(DATEVALUE("1-"&amp;$I4)&lt;=T$83,DATEVALUE("1-"&amp;$J4)&gt;=T$83),"●",""),""))</f>
        <v>●</v>
      </c>
      <c r="U4" s="80" t="str">
        <f>IF(OR($I4="",$J4=""),"",IFERROR(IF(AND(DATEVALUE("1-"&amp;$I4)&lt;=U$83,DATEVALUE("1-"&amp;$J4)&gt;=U$83),"●",""),""))</f>
        <v>●</v>
      </c>
      <c r="V4" s="80" t="str">
        <f>IF(OR($I4="",$J4=""),"",IFERROR(IF(AND(DATEVALUE("1-"&amp;$I4)&lt;=V$83,DATEVALUE("1-"&amp;$J4)&gt;=V$83),"●",""),""))</f>
        <v>●</v>
      </c>
      <c r="W4" s="80" t="str">
        <f>IF(OR($I4="",$J4=""),"",IFERROR(IF(AND(DATEVALUE("1-"&amp;$I4)&lt;=W$83,DATEVALUE("1-"&amp;$J4)&gt;=W$83),"●",""),""))</f>
        <v/>
      </c>
      <c r="X4" s="80" t="str">
        <f>IF(OR($I4="",$J4=""),"",IFERROR(IF(AND(DATEVALUE("1-"&amp;$I4)&lt;=X$83,DATEVALUE("1-"&amp;$J4)&gt;=X$83),"●",""),""))</f>
        <v/>
      </c>
      <c r="Y4" s="80" t="str">
        <f>IF(OR($I4="",$J4=""),"",IFERROR(IF(AND(DATEVALUE("1-"&amp;$I4)&lt;=Y$83,DATEVALUE("1-"&amp;$J4)&gt;=Y$83),"●",""),""))</f>
        <v/>
      </c>
      <c r="Z4" s="80" t="str">
        <f>IF(OR($I4="",$J4=""),"",IFERROR(IF(AND(DATEVALUE("1-"&amp;$I4)&lt;=Z$83,DATEVALUE("1-"&amp;$J4)&gt;=Z$83),"●",""),""))</f>
        <v/>
      </c>
      <c r="AA4" s="80" t="str">
        <f>IF(OR($I4="",$J4=""),"",IFERROR(IF(AND(DATEVALUE("1-"&amp;$I4)&lt;=AA$83,DATEVALUE("1-"&amp;$J4)&gt;=AA$83),"●",""),""))</f>
        <v/>
      </c>
      <c r="AB4" s="80" t="str">
        <f>IF(OR($I4="",$J4=""),"",IFERROR(IF(AND(DATEVALUE("1-"&amp;$I4)&lt;=AB$83,DATEVALUE("1-"&amp;$J4)&gt;=AB$83),"●",""),""))</f>
        <v/>
      </c>
      <c r="AC4" s="80" t="str">
        <f>IF(OR($I4="",$J4=""),"",IFERROR(IF(AND(DATEVALUE("1-"&amp;$I4)&lt;=AC$83,DATEVALUE("1-"&amp;$J4)&gt;=AC$83),"●",""),""))</f>
        <v/>
      </c>
      <c r="AD4" s="80" t="str">
        <f>IF(OR($I4="",$J4=""),"",IFERROR(IF(AND(DATEVALUE("1-"&amp;$I4)&lt;=AD$83,DATEVALUE("1-"&amp;$J4)&gt;=AD$83),"●",""),""))</f>
        <v/>
      </c>
      <c r="AE4" s="80" t="str">
        <f>IF(OR($I4="",$J4=""),"",IFERROR(IF(AND(DATEVALUE("1-"&amp;$I4)&lt;=AE$83,DATEVALUE("1-"&amp;$J4)&gt;=AE$83),"●",""),""))</f>
        <v/>
      </c>
      <c r="AF4" s="80" t="str">
        <f>IF(OR($I4="",$J4=""),"",IFERROR(IF(AND(DATEVALUE("1-"&amp;$I4)&lt;=AF$83,DATEVALUE("1-"&amp;$J4)&gt;=AF$83),"●",""),""))</f>
        <v/>
      </c>
      <c r="AG4" s="80" t="str">
        <f>IF(OR($I4="",$J4=""),"",IFERROR(IF(AND(DATEVALUE("1-"&amp;$I4)&lt;=AG$83,DATEVALUE("1-"&amp;$J4)&gt;=AG$83),"●",""),""))</f>
        <v/>
      </c>
      <c r="AH4" s="80" t="str">
        <f>IF(OR($I4="",$J4=""),"",IFERROR(IF(AND(DATEVALUE("1-"&amp;$I4)&lt;=AH$83,DATEVALUE("1-"&amp;$J4)&gt;=AH$83),"●",""),""))</f>
        <v/>
      </c>
      <c r="AI4" s="80" t="str">
        <f>IF(OR($I4="",$J4=""),"",IFERROR(IF(AND(DATEVALUE("1-"&amp;$I4)&lt;=AI$83,DATEVALUE("1-"&amp;$J4)&gt;=AI$83),"●",""),""))</f>
        <v/>
      </c>
      <c r="AJ4" s="80" t="str">
        <f>IF(OR($I4="",$J4=""),"",IFERROR(IF(AND(DATEVALUE("1-"&amp;$I4)&lt;=AJ$83,DATEVALUE("1-"&amp;$J4)&gt;=AJ$83),"●",""),""))</f>
        <v/>
      </c>
      <c r="AK4" s="80" t="str">
        <f>IF(OR($I4="",$J4=""),"",IFERROR(IF(AND(DATEVALUE("1-"&amp;$I4)&lt;=AK$83,DATEVALUE("1-"&amp;$J4)&gt;=AK$83),"●",""),""))</f>
        <v/>
      </c>
      <c r="AM4" s="73"/>
      <c r="AN4" s="2" t="s">
        <v>2548</v>
      </c>
    </row>
    <row r="5" spans="1:40" ht="15" customHeight="1">
      <c r="A5" s="514"/>
      <c r="B5" s="3" t="s">
        <v>2549</v>
      </c>
      <c r="C5" s="3" t="s">
        <v>2541</v>
      </c>
      <c r="D5" s="3" t="s">
        <v>2542</v>
      </c>
      <c r="E5" s="3" t="s">
        <v>2543</v>
      </c>
      <c r="F5" s="307"/>
      <c r="G5" s="78" t="s">
        <v>2544</v>
      </c>
      <c r="H5" s="3" t="s">
        <v>2545</v>
      </c>
      <c r="I5" s="3"/>
      <c r="J5" s="3"/>
      <c r="K5" s="80" t="str">
        <f>IF(OR($I5="",$J5=""),"개발 시작전",IFERROR(IF(AND(DATEVALUE("1-"&amp;$I5)&lt;=K$83,DATEVALUE("1-"&amp;$J5)&gt;=K$83),"●",""),"개발 시작전"))</f>
        <v>개발 시작전</v>
      </c>
      <c r="L5" s="80" t="str">
        <f>IF(OR($I5="",$J5=""),"",IFERROR(IF(AND(DATEVALUE("1-"&amp;$I5)&lt;=L$83,DATEVALUE("1-"&amp;$J5)&gt;=L$83),"●",""),""))</f>
        <v/>
      </c>
      <c r="M5" s="80" t="str">
        <f>IF(OR($I5="",$J5=""),"",IFERROR(IF(AND(DATEVALUE("1-"&amp;$I5)&lt;=M$83,DATEVALUE("1-"&amp;$J5)&gt;=M$83),"●",""),""))</f>
        <v/>
      </c>
      <c r="N5" s="80" t="str">
        <f>IF(OR($I5="",$J5=""),"",IFERROR(IF(AND(DATEVALUE("1-"&amp;$I5)&lt;=N$83,DATEVALUE("1-"&amp;$J5)&gt;=N$83),"●",""),""))</f>
        <v/>
      </c>
      <c r="O5" s="80" t="str">
        <f>IF(OR($I5="",$J5=""),"",IFERROR(IF(AND(DATEVALUE("1-"&amp;$I5)&lt;=O$83,DATEVALUE("1-"&amp;$J5)&gt;=O$83),"●",""),""))</f>
        <v/>
      </c>
      <c r="P5" s="80" t="str">
        <f>IF(OR($I5="",$J5=""),"",IFERROR(IF(AND(DATEVALUE("1-"&amp;$I5)&lt;=P$83,DATEVALUE("1-"&amp;$J5)&gt;=P$83),"●",""),""))</f>
        <v/>
      </c>
      <c r="Q5" s="80" t="str">
        <f>IF(OR($I5="",$J5=""),"",IFERROR(IF(AND(DATEVALUE("1-"&amp;$I5)&lt;=Q$83,DATEVALUE("1-"&amp;$J5)&gt;=Q$83),"●",""),""))</f>
        <v/>
      </c>
      <c r="R5" s="80" t="str">
        <f>IF(OR($I5="",$J5=""),"",IFERROR(IF(AND(DATEVALUE("1-"&amp;$I5)&lt;=R$83,DATEVALUE("1-"&amp;$J5)&gt;=R$83),"●",""),""))</f>
        <v/>
      </c>
      <c r="S5" s="80" t="str">
        <f>IF(OR($I5="",$J5=""),"",IFERROR(IF(AND(DATEVALUE("1-"&amp;$I5)&lt;=S$83,DATEVALUE("1-"&amp;$J5)&gt;=S$83),"●",""),""))</f>
        <v/>
      </c>
      <c r="T5" s="80" t="str">
        <f>IF(OR($I5="",$J5=""),"",IFERROR(IF(AND(DATEVALUE("1-"&amp;$I5)&lt;=T$83,DATEVALUE("1-"&amp;$J5)&gt;=T$83),"●",""),""))</f>
        <v/>
      </c>
      <c r="U5" s="80" t="str">
        <f>IF(OR($I5="",$J5=""),"",IFERROR(IF(AND(DATEVALUE("1-"&amp;$I5)&lt;=U$83,DATEVALUE("1-"&amp;$J5)&gt;=U$83),"●",""),""))</f>
        <v/>
      </c>
      <c r="V5" s="80" t="str">
        <f>IF(OR($I5="",$J5=""),"",IFERROR(IF(AND(DATEVALUE("1-"&amp;$I5)&lt;=V$83,DATEVALUE("1-"&amp;$J5)&gt;=V$83),"●",""),""))</f>
        <v/>
      </c>
      <c r="W5" s="80" t="str">
        <f>IF(OR($I5="",$J5=""),"",IFERROR(IF(AND(DATEVALUE("1-"&amp;$I5)&lt;=W$83,DATEVALUE("1-"&amp;$J5)&gt;=W$83),"●",""),""))</f>
        <v/>
      </c>
      <c r="X5" s="80" t="str">
        <f>IF(OR($I5="",$J5=""),"",IFERROR(IF(AND(DATEVALUE("1-"&amp;$I5)&lt;=X$83,DATEVALUE("1-"&amp;$J5)&gt;=X$83),"●",""),""))</f>
        <v/>
      </c>
      <c r="Y5" s="80" t="str">
        <f>IF(OR($I5="",$J5=""),"",IFERROR(IF(AND(DATEVALUE("1-"&amp;$I5)&lt;=Y$83,DATEVALUE("1-"&amp;$J5)&gt;=Y$83),"●",""),""))</f>
        <v/>
      </c>
      <c r="Z5" s="80" t="str">
        <f>IF(OR($I5="",$J5=""),"",IFERROR(IF(AND(DATEVALUE("1-"&amp;$I5)&lt;=Z$83,DATEVALUE("1-"&amp;$J5)&gt;=Z$83),"●",""),""))</f>
        <v/>
      </c>
      <c r="AA5" s="80" t="str">
        <f>IF(OR($I5="",$J5=""),"",IFERROR(IF(AND(DATEVALUE("1-"&amp;$I5)&lt;=AA$83,DATEVALUE("1-"&amp;$J5)&gt;=AA$83),"●",""),""))</f>
        <v/>
      </c>
      <c r="AB5" s="80" t="str">
        <f>IF(OR($I5="",$J5=""),"",IFERROR(IF(AND(DATEVALUE("1-"&amp;$I5)&lt;=AB$83,DATEVALUE("1-"&amp;$J5)&gt;=AB$83),"●",""),""))</f>
        <v/>
      </c>
      <c r="AC5" s="80" t="str">
        <f>IF(OR($I5="",$J5=""),"",IFERROR(IF(AND(DATEVALUE("1-"&amp;$I5)&lt;=AC$83,DATEVALUE("1-"&amp;$J5)&gt;=AC$83),"●",""),""))</f>
        <v/>
      </c>
      <c r="AD5" s="80" t="str">
        <f>IF(OR($I5="",$J5=""),"",IFERROR(IF(AND(DATEVALUE("1-"&amp;$I5)&lt;=AD$83,DATEVALUE("1-"&amp;$J5)&gt;=AD$83),"●",""),""))</f>
        <v/>
      </c>
      <c r="AE5" s="80" t="str">
        <f>IF(OR($I5="",$J5=""),"",IFERROR(IF(AND(DATEVALUE("1-"&amp;$I5)&lt;=AE$83,DATEVALUE("1-"&amp;$J5)&gt;=AE$83),"●",""),""))</f>
        <v/>
      </c>
      <c r="AF5" s="80" t="str">
        <f>IF(OR($I5="",$J5=""),"",IFERROR(IF(AND(DATEVALUE("1-"&amp;$I5)&lt;=AF$83,DATEVALUE("1-"&amp;$J5)&gt;=AF$83),"●",""),""))</f>
        <v/>
      </c>
      <c r="AG5" s="80" t="str">
        <f>IF(OR($I5="",$J5=""),"",IFERROR(IF(AND(DATEVALUE("1-"&amp;$I5)&lt;=AG$83,DATEVALUE("1-"&amp;$J5)&gt;=AG$83),"●",""),""))</f>
        <v/>
      </c>
      <c r="AH5" s="80" t="str">
        <f>IF(OR($I5="",$J5=""),"",IFERROR(IF(AND(DATEVALUE("1-"&amp;$I5)&lt;=AH$83,DATEVALUE("1-"&amp;$J5)&gt;=AH$83),"●",""),""))</f>
        <v/>
      </c>
      <c r="AI5" s="80" t="str">
        <f>IF(OR($I5="",$J5=""),"",IFERROR(IF(AND(DATEVALUE("1-"&amp;$I5)&lt;=AI$83,DATEVALUE("1-"&amp;$J5)&gt;=AI$83),"●",""),""))</f>
        <v/>
      </c>
      <c r="AJ5" s="80" t="str">
        <f>IF(OR($I5="",$J5=""),"",IFERROR(IF(AND(DATEVALUE("1-"&amp;$I5)&lt;=AJ$83,DATEVALUE("1-"&amp;$J5)&gt;=AJ$83),"●",""),""))</f>
        <v/>
      </c>
      <c r="AK5" s="80" t="str">
        <f>IF(OR($I5="",$J5=""),"",IFERROR(IF(AND(DATEVALUE("1-"&amp;$I5)&lt;=AK$83,DATEVALUE("1-"&amp;$J5)&gt;=AK$83),"●",""),""))</f>
        <v/>
      </c>
      <c r="AM5" s="74"/>
      <c r="AN5" s="2" t="s">
        <v>2550</v>
      </c>
    </row>
    <row r="6" spans="1:40" ht="15" customHeight="1">
      <c r="A6" s="513" t="s">
        <v>2551</v>
      </c>
      <c r="B6" s="3" t="s">
        <v>2552</v>
      </c>
      <c r="C6" s="3" t="s">
        <v>2541</v>
      </c>
      <c r="D6" s="3" t="s">
        <v>2542</v>
      </c>
      <c r="E6" s="3" t="s">
        <v>2553</v>
      </c>
      <c r="F6" s="307"/>
      <c r="G6" s="78" t="s">
        <v>2554</v>
      </c>
      <c r="H6" s="3" t="s">
        <v>2555</v>
      </c>
      <c r="I6" s="78" t="s">
        <v>2556</v>
      </c>
      <c r="J6" s="79" t="s">
        <v>2557</v>
      </c>
      <c r="K6" s="80" t="str">
        <f>IF(OR($I6="",$J6=""),"개발 시작전",IFERROR(IF(AND(DATEVALUE("1-"&amp;$I6)&lt;=K$83,DATEVALUE("1-"&amp;$J6)&gt;=K$83),"●",""),"개발 시작전"))</f>
        <v/>
      </c>
      <c r="L6" s="80" t="str">
        <f>IF(OR($I6="",$J6=""),"",IFERROR(IF(AND(DATEVALUE("1-"&amp;$I6)&lt;=L$83,DATEVALUE("1-"&amp;$J6)&gt;=L$83),"●",""),""))</f>
        <v/>
      </c>
      <c r="M6" s="80" t="str">
        <f>IF(OR($I6="",$J6=""),"",IFERROR(IF(AND(DATEVALUE("1-"&amp;$I6)&lt;=M$83,DATEVALUE("1-"&amp;$J6)&gt;=M$83),"●",""),""))</f>
        <v/>
      </c>
      <c r="N6" s="80" t="str">
        <f>IF(OR($I6="",$J6=""),"",IFERROR(IF(AND(DATEVALUE("1-"&amp;$I6)&lt;=N$83,DATEVALUE("1-"&amp;$J6)&gt;=N$83),"●",""),""))</f>
        <v/>
      </c>
      <c r="O6" s="80" t="str">
        <f>IF(OR($I6="",$J6=""),"",IFERROR(IF(AND(DATEVALUE("1-"&amp;$I6)&lt;=O$83,DATEVALUE("1-"&amp;$J6)&gt;=O$83),"●",""),""))</f>
        <v/>
      </c>
      <c r="P6" s="80" t="str">
        <f>IF(OR($I6="",$J6=""),"",IFERROR(IF(AND(DATEVALUE("1-"&amp;$I6)&lt;=P$83,DATEVALUE("1-"&amp;$J6)&gt;=P$83),"●",""),""))</f>
        <v/>
      </c>
      <c r="Q6" s="80" t="str">
        <f>IF(OR($I6="",$J6=""),"",IFERROR(IF(AND(DATEVALUE("1-"&amp;$I6)&lt;=Q$83,DATEVALUE("1-"&amp;$J6)&gt;=Q$83),"●",""),""))</f>
        <v/>
      </c>
      <c r="R6" s="80" t="str">
        <f>IF(OR($I6="",$J6=""),"",IFERROR(IF(AND(DATEVALUE("1-"&amp;$I6)&lt;=R$83,DATEVALUE("1-"&amp;$J6)&gt;=R$83),"●",""),""))</f>
        <v/>
      </c>
      <c r="S6" s="80" t="str">
        <f>IF(OR($I6="",$J6=""),"",IFERROR(IF(AND(DATEVALUE("1-"&amp;$I6)&lt;=S$83,DATEVALUE("1-"&amp;$J6)&gt;=S$83),"●",""),""))</f>
        <v/>
      </c>
      <c r="T6" s="80" t="str">
        <f>IF(OR($I6="",$J6=""),"",IFERROR(IF(AND(DATEVALUE("1-"&amp;$I6)&lt;=T$83,DATEVALUE("1-"&amp;$J6)&gt;=T$83),"●",""),""))</f>
        <v/>
      </c>
      <c r="U6" s="80" t="str">
        <f>IF(OR($I6="",$J6=""),"",IFERROR(IF(AND(DATEVALUE("1-"&amp;$I6)&lt;=U$83,DATEVALUE("1-"&amp;$J6)&gt;=U$83),"●",""),""))</f>
        <v/>
      </c>
      <c r="V6" s="80" t="str">
        <f>IF(OR($I6="",$J6=""),"",IFERROR(IF(AND(DATEVALUE("1-"&amp;$I6)&lt;=V$83,DATEVALUE("1-"&amp;$J6)&gt;=V$83),"●",""),""))</f>
        <v/>
      </c>
      <c r="W6" s="80" t="str">
        <f>IF(OR($I6="",$J6=""),"",IFERROR(IF(AND(DATEVALUE("1-"&amp;$I6)&lt;=W$83,DATEVALUE("1-"&amp;$J6)&gt;=W$83),"●",""),""))</f>
        <v/>
      </c>
      <c r="X6" s="80" t="str">
        <f>IF(OR($I6="",$J6=""),"",IFERROR(IF(AND(DATEVALUE("1-"&amp;$I6)&lt;=X$83,DATEVALUE("1-"&amp;$J6)&gt;=X$83),"●",""),""))</f>
        <v/>
      </c>
      <c r="Y6" s="80" t="str">
        <f>IF(OR($I6="",$J6=""),"",IFERROR(IF(AND(DATEVALUE("1-"&amp;$I6)&lt;=Y$83,DATEVALUE("1-"&amp;$J6)&gt;=Y$83),"●",""),""))</f>
        <v/>
      </c>
      <c r="Z6" s="80" t="str">
        <f>IF(OR($I6="",$J6=""),"",IFERROR(IF(AND(DATEVALUE("1-"&amp;$I6)&lt;=Z$83,DATEVALUE("1-"&amp;$J6)&gt;=Z$83),"●",""),""))</f>
        <v/>
      </c>
      <c r="AA6" s="80" t="str">
        <f>IF(OR($I6="",$J6=""),"",IFERROR(IF(AND(DATEVALUE("1-"&amp;$I6)&lt;=AA$83,DATEVALUE("1-"&amp;$J6)&gt;=AA$83),"●",""),""))</f>
        <v/>
      </c>
      <c r="AB6" s="80" t="str">
        <f>IF(OR($I6="",$J6=""),"",IFERROR(IF(AND(DATEVALUE("1-"&amp;$I6)&lt;=AB$83,DATEVALUE("1-"&amp;$J6)&gt;=AB$83),"●",""),""))</f>
        <v/>
      </c>
      <c r="AC6" s="80" t="str">
        <f>IF(OR($I6="",$J6=""),"",IFERROR(IF(AND(DATEVALUE("1-"&amp;$I6)&lt;=AC$83,DATEVALUE("1-"&amp;$J6)&gt;=AC$83),"●",""),""))</f>
        <v/>
      </c>
      <c r="AD6" s="80" t="str">
        <f>IF(OR($I6="",$J6=""),"",IFERROR(IF(AND(DATEVALUE("1-"&amp;$I6)&lt;=AD$83,DATEVALUE("1-"&amp;$J6)&gt;=AD$83),"●",""),""))</f>
        <v/>
      </c>
      <c r="AE6" s="80" t="str">
        <f>IF(OR($I6="",$J6=""),"",IFERROR(IF(AND(DATEVALUE("1-"&amp;$I6)&lt;=AE$83,DATEVALUE("1-"&amp;$J6)&gt;=AE$83),"●",""),""))</f>
        <v/>
      </c>
      <c r="AF6" s="80" t="str">
        <f>IF(OR($I6="",$J6=""),"",IFERROR(IF(AND(DATEVALUE("1-"&amp;$I6)&lt;=AF$83,DATEVALUE("1-"&amp;$J6)&gt;=AF$83),"●",""),""))</f>
        <v/>
      </c>
      <c r="AG6" s="80" t="str">
        <f>IF(OR($I6="",$J6=""),"",IFERROR(IF(AND(DATEVALUE("1-"&amp;$I6)&lt;=AG$83,DATEVALUE("1-"&amp;$J6)&gt;=AG$83),"●",""),""))</f>
        <v/>
      </c>
      <c r="AH6" s="80" t="str">
        <f>IF(OR($I6="",$J6=""),"",IFERROR(IF(AND(DATEVALUE("1-"&amp;$I6)&lt;=AH$83,DATEVALUE("1-"&amp;$J6)&gt;=AH$83),"●",""),""))</f>
        <v/>
      </c>
      <c r="AI6" s="80" t="str">
        <f>IF(OR($I6="",$J6=""),"",IFERROR(IF(AND(DATEVALUE("1-"&amp;$I6)&lt;=AI$83,DATEVALUE("1-"&amp;$J6)&gt;=AI$83),"●",""),""))</f>
        <v/>
      </c>
      <c r="AJ6" s="80" t="str">
        <f>IF(OR($I6="",$J6=""),"",IFERROR(IF(AND(DATEVALUE("1-"&amp;$I6)&lt;=AJ$83,DATEVALUE("1-"&amp;$J6)&gt;=AJ$83),"●",""),""))</f>
        <v/>
      </c>
      <c r="AK6" s="80" t="str">
        <f>IF(OR($I6="",$J6=""),"",IFERROR(IF(AND(DATEVALUE("1-"&amp;$I6)&lt;=AK$83,DATEVALUE("1-"&amp;$J6)&gt;=AK$83),"●",""),""))</f>
        <v/>
      </c>
    </row>
    <row r="7" spans="1:40" ht="15" customHeight="1">
      <c r="A7" s="514"/>
      <c r="B7" s="3" t="s">
        <v>2558</v>
      </c>
      <c r="C7" s="3" t="s">
        <v>2541</v>
      </c>
      <c r="D7" s="3" t="s">
        <v>2542</v>
      </c>
      <c r="E7" s="3" t="s">
        <v>2559</v>
      </c>
      <c r="F7" s="307"/>
      <c r="G7" s="78" t="s">
        <v>2554</v>
      </c>
      <c r="H7" s="3" t="s">
        <v>2560</v>
      </c>
      <c r="I7" s="79" t="s">
        <v>2561</v>
      </c>
      <c r="J7" s="79" t="s">
        <v>2562</v>
      </c>
      <c r="K7" s="80" t="str">
        <f>IF(OR($I7="",$J7=""),"개발 시작전",IFERROR(IF(AND(DATEVALUE("1-"&amp;$I7)&lt;=K$83,DATEVALUE("1-"&amp;$J7)&gt;=K$83),"●",""),"개발 시작전"))</f>
        <v/>
      </c>
      <c r="L7" s="80" t="str">
        <f>IF(OR($I7="",$J7=""),"",IFERROR(IF(AND(DATEVALUE("1-"&amp;$I7)&lt;=L$83,DATEVALUE("1-"&amp;$J7)&gt;=L$83),"●",""),""))</f>
        <v/>
      </c>
      <c r="M7" s="80" t="str">
        <f>IF(OR($I7="",$J7=""),"",IFERROR(IF(AND(DATEVALUE("1-"&amp;$I7)&lt;=M$83,DATEVALUE("1-"&amp;$J7)&gt;=M$83),"●",""),""))</f>
        <v/>
      </c>
      <c r="N7" s="80" t="str">
        <f>IF(OR($I7="",$J7=""),"",IFERROR(IF(AND(DATEVALUE("1-"&amp;$I7)&lt;=N$83,DATEVALUE("1-"&amp;$J7)&gt;=N$83),"●",""),""))</f>
        <v/>
      </c>
      <c r="O7" s="80" t="str">
        <f>IF(OR($I7="",$J7=""),"",IFERROR(IF(AND(DATEVALUE("1-"&amp;$I7)&lt;=O$83,DATEVALUE("1-"&amp;$J7)&gt;=O$83),"●",""),""))</f>
        <v/>
      </c>
      <c r="P7" s="80" t="str">
        <f>IF(OR($I7="",$J7=""),"",IFERROR(IF(AND(DATEVALUE("1-"&amp;$I7)&lt;=P$83,DATEVALUE("1-"&amp;$J7)&gt;=P$83),"●",""),""))</f>
        <v/>
      </c>
      <c r="Q7" s="80" t="str">
        <f>IF(OR($I7="",$J7=""),"",IFERROR(IF(AND(DATEVALUE("1-"&amp;$I7)&lt;=Q$83,DATEVALUE("1-"&amp;$J7)&gt;=Q$83),"●",""),""))</f>
        <v/>
      </c>
      <c r="R7" s="80" t="str">
        <f>IF(OR($I7="",$J7=""),"",IFERROR(IF(AND(DATEVALUE("1-"&amp;$I7)&lt;=R$83,DATEVALUE("1-"&amp;$J7)&gt;=R$83),"●",""),""))</f>
        <v/>
      </c>
      <c r="S7" s="80" t="str">
        <f>IF(OR($I7="",$J7=""),"",IFERROR(IF(AND(DATEVALUE("1-"&amp;$I7)&lt;=S$83,DATEVALUE("1-"&amp;$J7)&gt;=S$83),"●",""),""))</f>
        <v/>
      </c>
      <c r="T7" s="80" t="str">
        <f>IF(OR($I7="",$J7=""),"",IFERROR(IF(AND(DATEVALUE("1-"&amp;$I7)&lt;=T$83,DATEVALUE("1-"&amp;$J7)&gt;=T$83),"●",""),""))</f>
        <v/>
      </c>
      <c r="U7" s="80" t="str">
        <f>IF(OR($I7="",$J7=""),"",IFERROR(IF(AND(DATEVALUE("1-"&amp;$I7)&lt;=U$83,DATEVALUE("1-"&amp;$J7)&gt;=U$83),"●",""),""))</f>
        <v/>
      </c>
      <c r="V7" s="80" t="str">
        <f>IF(OR($I7="",$J7=""),"",IFERROR(IF(AND(DATEVALUE("1-"&amp;$I7)&lt;=V$83,DATEVALUE("1-"&amp;$J7)&gt;=V$83),"●",""),""))</f>
        <v/>
      </c>
      <c r="W7" s="80" t="str">
        <f>IF(OR($I7="",$J7=""),"",IFERROR(IF(AND(DATEVALUE("1-"&amp;$I7)&lt;=W$83,DATEVALUE("1-"&amp;$J7)&gt;=W$83),"●",""),""))</f>
        <v/>
      </c>
      <c r="X7" s="80" t="str">
        <f>IF(OR($I7="",$J7=""),"",IFERROR(IF(AND(DATEVALUE("1-"&amp;$I7)&lt;=X$83,DATEVALUE("1-"&amp;$J7)&gt;=X$83),"●",""),""))</f>
        <v/>
      </c>
      <c r="Y7" s="80" t="str">
        <f>IF(OR($I7="",$J7=""),"",IFERROR(IF(AND(DATEVALUE("1-"&amp;$I7)&lt;=Y$83,DATEVALUE("1-"&amp;$J7)&gt;=Y$83),"●",""),""))</f>
        <v/>
      </c>
      <c r="Z7" s="80" t="str">
        <f>IF(OR($I7="",$J7=""),"",IFERROR(IF(AND(DATEVALUE("1-"&amp;$I7)&lt;=Z$83,DATEVALUE("1-"&amp;$J7)&gt;=Z$83),"●",""),""))</f>
        <v/>
      </c>
      <c r="AA7" s="80" t="str">
        <f>IF(OR($I7="",$J7=""),"",IFERROR(IF(AND(DATEVALUE("1-"&amp;$I7)&lt;=AA$83,DATEVALUE("1-"&amp;$J7)&gt;=AA$83),"●",""),""))</f>
        <v/>
      </c>
      <c r="AB7" s="80" t="str">
        <f>IF(OR($I7="",$J7=""),"",IFERROR(IF(AND(DATEVALUE("1-"&amp;$I7)&lt;=AB$83,DATEVALUE("1-"&amp;$J7)&gt;=AB$83),"●",""),""))</f>
        <v/>
      </c>
      <c r="AC7" s="80" t="str">
        <f>IF(OR($I7="",$J7=""),"",IFERROR(IF(AND(DATEVALUE("1-"&amp;$I7)&lt;=AC$83,DATEVALUE("1-"&amp;$J7)&gt;=AC$83),"●",""),""))</f>
        <v/>
      </c>
      <c r="AD7" s="80" t="str">
        <f>IF(OR($I7="",$J7=""),"",IFERROR(IF(AND(DATEVALUE("1-"&amp;$I7)&lt;=AD$83,DATEVALUE("1-"&amp;$J7)&gt;=AD$83),"●",""),""))</f>
        <v/>
      </c>
      <c r="AE7" s="80" t="str">
        <f>IF(OR($I7="",$J7=""),"",IFERROR(IF(AND(DATEVALUE("1-"&amp;$I7)&lt;=AE$83,DATEVALUE("1-"&amp;$J7)&gt;=AE$83),"●",""),""))</f>
        <v/>
      </c>
      <c r="AF7" s="80" t="str">
        <f>IF(OR($I7="",$J7=""),"",IFERROR(IF(AND(DATEVALUE("1-"&amp;$I7)&lt;=AF$83,DATEVALUE("1-"&amp;$J7)&gt;=AF$83),"●",""),""))</f>
        <v/>
      </c>
      <c r="AG7" s="80" t="str">
        <f>IF(OR($I7="",$J7=""),"",IFERROR(IF(AND(DATEVALUE("1-"&amp;$I7)&lt;=AG$83,DATEVALUE("1-"&amp;$J7)&gt;=AG$83),"●",""),""))</f>
        <v/>
      </c>
      <c r="AH7" s="80" t="str">
        <f>IF(OR($I7="",$J7=""),"",IFERROR(IF(AND(DATEVALUE("1-"&amp;$I7)&lt;=AH$83,DATEVALUE("1-"&amp;$J7)&gt;=AH$83),"●",""),""))</f>
        <v/>
      </c>
      <c r="AI7" s="80" t="str">
        <f>IF(OR($I7="",$J7=""),"",IFERROR(IF(AND(DATEVALUE("1-"&amp;$I7)&lt;=AI$83,DATEVALUE("1-"&amp;$J7)&gt;=AI$83),"●",""),""))</f>
        <v/>
      </c>
      <c r="AJ7" s="80" t="str">
        <f>IF(OR($I7="",$J7=""),"",IFERROR(IF(AND(DATEVALUE("1-"&amp;$I7)&lt;=AJ$83,DATEVALUE("1-"&amp;$J7)&gt;=AJ$83),"●",""),""))</f>
        <v/>
      </c>
      <c r="AK7" s="80" t="str">
        <f>IF(OR($I7="",$J7=""),"",IFERROR(IF(AND(DATEVALUE("1-"&amp;$I7)&lt;=AK$83,DATEVALUE("1-"&amp;$J7)&gt;=AK$83),"●",""),""))</f>
        <v/>
      </c>
      <c r="AM7" s="75"/>
      <c r="AN7" s="2" t="s">
        <v>2563</v>
      </c>
    </row>
    <row r="8" spans="1:40" ht="15" customHeight="1">
      <c r="A8" s="514"/>
      <c r="B8" s="3" t="s">
        <v>2564</v>
      </c>
      <c r="C8" s="3" t="s">
        <v>2541</v>
      </c>
      <c r="D8" s="3" t="s">
        <v>2542</v>
      </c>
      <c r="E8" s="3" t="s">
        <v>2564</v>
      </c>
      <c r="F8" s="307"/>
      <c r="G8" s="78" t="s">
        <v>2565</v>
      </c>
      <c r="H8" s="3" t="s">
        <v>2545</v>
      </c>
      <c r="I8" s="79" t="s">
        <v>2566</v>
      </c>
      <c r="J8" s="79" t="s">
        <v>2567</v>
      </c>
      <c r="K8" s="80" t="str">
        <f>IF(OR($I8="",$J8=""),"개발 시작전",IFERROR(IF(AND(DATEVALUE("1-"&amp;$I8)&lt;=K$83,DATEVALUE("1-"&amp;$J8)&gt;=K$83),"●",""),"개발 시작전"))</f>
        <v/>
      </c>
      <c r="L8" s="80" t="str">
        <f>IF(OR($I8="",$J8=""),"",IFERROR(IF(AND(DATEVALUE("1-"&amp;$I8)&lt;=L$83,DATEVALUE("1-"&amp;$J8)&gt;=L$83),"●",""),""))</f>
        <v/>
      </c>
      <c r="M8" s="80" t="str">
        <f>IF(OR($I8="",$J8=""),"",IFERROR(IF(AND(DATEVALUE("1-"&amp;$I8)&lt;=M$83,DATEVALUE("1-"&amp;$J8)&gt;=M$83),"●",""),""))</f>
        <v/>
      </c>
      <c r="N8" s="80" t="str">
        <f>IF(OR($I8="",$J8=""),"",IFERROR(IF(AND(DATEVALUE("1-"&amp;$I8)&lt;=N$83,DATEVALUE("1-"&amp;$J8)&gt;=N$83),"●",""),""))</f>
        <v/>
      </c>
      <c r="O8" s="80" t="str">
        <f>IF(OR($I8="",$J8=""),"",IFERROR(IF(AND(DATEVALUE("1-"&amp;$I8)&lt;=O$83,DATEVALUE("1-"&amp;$J8)&gt;=O$83),"●",""),""))</f>
        <v/>
      </c>
      <c r="P8" s="80" t="str">
        <f>IF(OR($I8="",$J8=""),"",IFERROR(IF(AND(DATEVALUE("1-"&amp;$I8)&lt;=P$83,DATEVALUE("1-"&amp;$J8)&gt;=P$83),"●",""),""))</f>
        <v/>
      </c>
      <c r="Q8" s="80" t="str">
        <f>IF(OR($I8="",$J8=""),"",IFERROR(IF(AND(DATEVALUE("1-"&amp;$I8)&lt;=Q$83,DATEVALUE("1-"&amp;$J8)&gt;=Q$83),"●",""),""))</f>
        <v/>
      </c>
      <c r="R8" s="80" t="str">
        <f>IF(OR($I8="",$J8=""),"",IFERROR(IF(AND(DATEVALUE("1-"&amp;$I8)&lt;=R$83,DATEVALUE("1-"&amp;$J8)&gt;=R$83),"●",""),""))</f>
        <v/>
      </c>
      <c r="S8" s="80" t="str">
        <f>IF(OR($I8="",$J8=""),"",IFERROR(IF(AND(DATEVALUE("1-"&amp;$I8)&lt;=S$83,DATEVALUE("1-"&amp;$J8)&gt;=S$83),"●",""),""))</f>
        <v/>
      </c>
      <c r="T8" s="80" t="str">
        <f>IF(OR($I8="",$J8=""),"",IFERROR(IF(AND(DATEVALUE("1-"&amp;$I8)&lt;=T$83,DATEVALUE("1-"&amp;$J8)&gt;=T$83),"●",""),""))</f>
        <v/>
      </c>
      <c r="U8" s="80" t="str">
        <f>IF(OR($I8="",$J8=""),"",IFERROR(IF(AND(DATEVALUE("1-"&amp;$I8)&lt;=U$83,DATEVALUE("1-"&amp;$J8)&gt;=U$83),"●",""),""))</f>
        <v/>
      </c>
      <c r="V8" s="80" t="str">
        <f>IF(OR($I8="",$J8=""),"",IFERROR(IF(AND(DATEVALUE("1-"&amp;$I8)&lt;=V$83,DATEVALUE("1-"&amp;$J8)&gt;=V$83),"●",""),""))</f>
        <v/>
      </c>
      <c r="W8" s="80" t="str">
        <f>IF(OR($I8="",$J8=""),"",IFERROR(IF(AND(DATEVALUE("1-"&amp;$I8)&lt;=W$83,DATEVALUE("1-"&amp;$J8)&gt;=W$83),"●",""),""))</f>
        <v>●</v>
      </c>
      <c r="X8" s="80" t="str">
        <f>IF(OR($I8="",$J8=""),"",IFERROR(IF(AND(DATEVALUE("1-"&amp;$I8)&lt;=X$83,DATEVALUE("1-"&amp;$J8)&gt;=X$83),"●",""),""))</f>
        <v>●</v>
      </c>
      <c r="Y8" s="80" t="str">
        <f>IF(OR($I8="",$J8=""),"",IFERROR(IF(AND(DATEVALUE("1-"&amp;$I8)&lt;=Y$83,DATEVALUE("1-"&amp;$J8)&gt;=Y$83),"●",""),""))</f>
        <v/>
      </c>
      <c r="Z8" s="80" t="str">
        <f>IF(OR($I8="",$J8=""),"",IFERROR(IF(AND(DATEVALUE("1-"&amp;$I8)&lt;=Z$83,DATEVALUE("1-"&amp;$J8)&gt;=Z$83),"●",""),""))</f>
        <v/>
      </c>
      <c r="AA8" s="80" t="str">
        <f>IF(OR($I8="",$J8=""),"",IFERROR(IF(AND(DATEVALUE("1-"&amp;$I8)&lt;=AA$83,DATEVALUE("1-"&amp;$J8)&gt;=AA$83),"●",""),""))</f>
        <v/>
      </c>
      <c r="AB8" s="80" t="str">
        <f>IF(OR($I8="",$J8=""),"",IFERROR(IF(AND(DATEVALUE("1-"&amp;$I8)&lt;=AB$83,DATEVALUE("1-"&amp;$J8)&gt;=AB$83),"●",""),""))</f>
        <v/>
      </c>
      <c r="AC8" s="80" t="str">
        <f>IF(OR($I8="",$J8=""),"",IFERROR(IF(AND(DATEVALUE("1-"&amp;$I8)&lt;=AC$83,DATEVALUE("1-"&amp;$J8)&gt;=AC$83),"●",""),""))</f>
        <v/>
      </c>
      <c r="AD8" s="80" t="str">
        <f>IF(OR($I8="",$J8=""),"",IFERROR(IF(AND(DATEVALUE("1-"&amp;$I8)&lt;=AD$83,DATEVALUE("1-"&amp;$J8)&gt;=AD$83),"●",""),""))</f>
        <v/>
      </c>
      <c r="AE8" s="80" t="str">
        <f>IF(OR($I8="",$J8=""),"",IFERROR(IF(AND(DATEVALUE("1-"&amp;$I8)&lt;=AE$83,DATEVALUE("1-"&amp;$J8)&gt;=AE$83),"●",""),""))</f>
        <v/>
      </c>
      <c r="AF8" s="80" t="str">
        <f>IF(OR($I8="",$J8=""),"",IFERROR(IF(AND(DATEVALUE("1-"&amp;$I8)&lt;=AF$83,DATEVALUE("1-"&amp;$J8)&gt;=AF$83),"●",""),""))</f>
        <v/>
      </c>
      <c r="AG8" s="80" t="str">
        <f>IF(OR($I8="",$J8=""),"",IFERROR(IF(AND(DATEVALUE("1-"&amp;$I8)&lt;=AG$83,DATEVALUE("1-"&amp;$J8)&gt;=AG$83),"●",""),""))</f>
        <v/>
      </c>
      <c r="AH8" s="80" t="str">
        <f>IF(OR($I8="",$J8=""),"",IFERROR(IF(AND(DATEVALUE("1-"&amp;$I8)&lt;=AH$83,DATEVALUE("1-"&amp;$J8)&gt;=AH$83),"●",""),""))</f>
        <v/>
      </c>
      <c r="AI8" s="80" t="str">
        <f>IF(OR($I8="",$J8=""),"",IFERROR(IF(AND(DATEVALUE("1-"&amp;$I8)&lt;=AI$83,DATEVALUE("1-"&amp;$J8)&gt;=AI$83),"●",""),""))</f>
        <v/>
      </c>
      <c r="AJ8" s="80" t="str">
        <f>IF(OR($I8="",$J8=""),"",IFERROR(IF(AND(DATEVALUE("1-"&amp;$I8)&lt;=AJ$83,DATEVALUE("1-"&amp;$J8)&gt;=AJ$83),"●",""),""))</f>
        <v/>
      </c>
      <c r="AK8" s="80" t="str">
        <f>IF(OR($I8="",$J8=""),"",IFERROR(IF(AND(DATEVALUE("1-"&amp;$I8)&lt;=AK$83,DATEVALUE("1-"&amp;$J8)&gt;=AK$83),"●",""),""))</f>
        <v/>
      </c>
    </row>
    <row r="9" spans="1:40" ht="15" customHeight="1">
      <c r="A9" s="514"/>
      <c r="B9" s="3" t="s">
        <v>2568</v>
      </c>
      <c r="C9" s="3" t="s">
        <v>2541</v>
      </c>
      <c r="D9" s="3" t="s">
        <v>2542</v>
      </c>
      <c r="E9" s="3" t="s">
        <v>2543</v>
      </c>
      <c r="F9" s="307"/>
      <c r="G9" s="78" t="s">
        <v>2544</v>
      </c>
      <c r="H9" s="3" t="s">
        <v>2545</v>
      </c>
      <c r="I9" s="79" t="s">
        <v>2566</v>
      </c>
      <c r="J9" s="79" t="s">
        <v>2569</v>
      </c>
      <c r="K9" s="80" t="str">
        <f>IF(OR($I9="",$J9=""),"개발 시작전",IFERROR(IF(AND(DATEVALUE("1-"&amp;$I9)&lt;=K$83,DATEVALUE("1-"&amp;$J9)&gt;=K$83),"●",""),"개발 시작전"))</f>
        <v/>
      </c>
      <c r="L9" s="80" t="str">
        <f>IF(OR($I9="",$J9=""),"",IFERROR(IF(AND(DATEVALUE("1-"&amp;$I9)&lt;=L$83,DATEVALUE("1-"&amp;$J9)&gt;=L$83),"●",""),""))</f>
        <v/>
      </c>
      <c r="M9" s="80" t="str">
        <f>IF(OR($I9="",$J9=""),"",IFERROR(IF(AND(DATEVALUE("1-"&amp;$I9)&lt;=M$83,DATEVALUE("1-"&amp;$J9)&gt;=M$83),"●",""),""))</f>
        <v/>
      </c>
      <c r="N9" s="80" t="str">
        <f>IF(OR($I9="",$J9=""),"",IFERROR(IF(AND(DATEVALUE("1-"&amp;$I9)&lt;=N$83,DATEVALUE("1-"&amp;$J9)&gt;=N$83),"●",""),""))</f>
        <v/>
      </c>
      <c r="O9" s="80" t="str">
        <f>IF(OR($I9="",$J9=""),"",IFERROR(IF(AND(DATEVALUE("1-"&amp;$I9)&lt;=O$83,DATEVALUE("1-"&amp;$J9)&gt;=O$83),"●",""),""))</f>
        <v/>
      </c>
      <c r="P9" s="80" t="str">
        <f>IF(OR($I9="",$J9=""),"",IFERROR(IF(AND(DATEVALUE("1-"&amp;$I9)&lt;=P$83,DATEVALUE("1-"&amp;$J9)&gt;=P$83),"●",""),""))</f>
        <v/>
      </c>
      <c r="Q9" s="80" t="str">
        <f>IF(OR($I9="",$J9=""),"",IFERROR(IF(AND(DATEVALUE("1-"&amp;$I9)&lt;=Q$83,DATEVALUE("1-"&amp;$J9)&gt;=Q$83),"●",""),""))</f>
        <v/>
      </c>
      <c r="R9" s="80" t="str">
        <f>IF(OR($I9="",$J9=""),"",IFERROR(IF(AND(DATEVALUE("1-"&amp;$I9)&lt;=R$83,DATEVALUE("1-"&amp;$J9)&gt;=R$83),"●",""),""))</f>
        <v/>
      </c>
      <c r="S9" s="80" t="str">
        <f>IF(OR($I9="",$J9=""),"",IFERROR(IF(AND(DATEVALUE("1-"&amp;$I9)&lt;=S$83,DATEVALUE("1-"&amp;$J9)&gt;=S$83),"●",""),""))</f>
        <v/>
      </c>
      <c r="T9" s="80" t="str">
        <f>IF(OR($I9="",$J9=""),"",IFERROR(IF(AND(DATEVALUE("1-"&amp;$I9)&lt;=T$83,DATEVALUE("1-"&amp;$J9)&gt;=T$83),"●",""),""))</f>
        <v/>
      </c>
      <c r="U9" s="80" t="str">
        <f>IF(OR($I9="",$J9=""),"",IFERROR(IF(AND(DATEVALUE("1-"&amp;$I9)&lt;=U$83,DATEVALUE("1-"&amp;$J9)&gt;=U$83),"●",""),""))</f>
        <v/>
      </c>
      <c r="V9" s="80" t="str">
        <f>IF(OR($I9="",$J9=""),"",IFERROR(IF(AND(DATEVALUE("1-"&amp;$I9)&lt;=V$83,DATEVALUE("1-"&amp;$J9)&gt;=V$83),"●",""),""))</f>
        <v/>
      </c>
      <c r="W9" s="80" t="str">
        <f>IF(OR($I9="",$J9=""),"",IFERROR(IF(AND(DATEVALUE("1-"&amp;$I9)&lt;=W$83,DATEVALUE("1-"&amp;$J9)&gt;=W$83),"●",""),""))</f>
        <v/>
      </c>
      <c r="X9" s="80" t="str">
        <f>IF(OR($I9="",$J9=""),"",IFERROR(IF(AND(DATEVALUE("1-"&amp;$I9)&lt;=X$83,DATEVALUE("1-"&amp;$J9)&gt;=X$83),"●",""),""))</f>
        <v/>
      </c>
      <c r="Y9" s="80" t="str">
        <f>IF(OR($I9="",$J9=""),"",IFERROR(IF(AND(DATEVALUE("1-"&amp;$I9)&lt;=Y$83,DATEVALUE("1-"&amp;$J9)&gt;=Y$83),"●",""),""))</f>
        <v/>
      </c>
      <c r="Z9" s="80" t="str">
        <f>IF(OR($I9="",$J9=""),"",IFERROR(IF(AND(DATEVALUE("1-"&amp;$I9)&lt;=Z$83,DATEVALUE("1-"&amp;$J9)&gt;=Z$83),"●",""),""))</f>
        <v/>
      </c>
      <c r="AA9" s="80" t="str">
        <f>IF(OR($I9="",$J9=""),"",IFERROR(IF(AND(DATEVALUE("1-"&amp;$I9)&lt;=AA$83,DATEVALUE("1-"&amp;$J9)&gt;=AA$83),"●",""),""))</f>
        <v/>
      </c>
      <c r="AB9" s="80" t="str">
        <f>IF(OR($I9="",$J9=""),"",IFERROR(IF(AND(DATEVALUE("1-"&amp;$I9)&lt;=AB$83,DATEVALUE("1-"&amp;$J9)&gt;=AB$83),"●",""),""))</f>
        <v/>
      </c>
      <c r="AC9" s="80" t="str">
        <f>IF(OR($I9="",$J9=""),"",IFERROR(IF(AND(DATEVALUE("1-"&amp;$I9)&lt;=AC$83,DATEVALUE("1-"&amp;$J9)&gt;=AC$83),"●",""),""))</f>
        <v/>
      </c>
      <c r="AD9" s="80" t="str">
        <f>IF(OR($I9="",$J9=""),"",IFERROR(IF(AND(DATEVALUE("1-"&amp;$I9)&lt;=AD$83,DATEVALUE("1-"&amp;$J9)&gt;=AD$83),"●",""),""))</f>
        <v/>
      </c>
      <c r="AE9" s="80" t="str">
        <f>IF(OR($I9="",$J9=""),"",IFERROR(IF(AND(DATEVALUE("1-"&amp;$I9)&lt;=AE$83,DATEVALUE("1-"&amp;$J9)&gt;=AE$83),"●",""),""))</f>
        <v/>
      </c>
      <c r="AF9" s="80" t="str">
        <f>IF(OR($I9="",$J9=""),"",IFERROR(IF(AND(DATEVALUE("1-"&amp;$I9)&lt;=AF$83,DATEVALUE("1-"&amp;$J9)&gt;=AF$83),"●",""),""))</f>
        <v/>
      </c>
      <c r="AG9" s="80" t="str">
        <f>IF(OR($I9="",$J9=""),"",IFERROR(IF(AND(DATEVALUE("1-"&amp;$I9)&lt;=AG$83,DATEVALUE("1-"&amp;$J9)&gt;=AG$83),"●",""),""))</f>
        <v/>
      </c>
      <c r="AH9" s="80" t="str">
        <f>IF(OR($I9="",$J9=""),"",IFERROR(IF(AND(DATEVALUE("1-"&amp;$I9)&lt;=AH$83,DATEVALUE("1-"&amp;$J9)&gt;=AH$83),"●",""),""))</f>
        <v/>
      </c>
      <c r="AI9" s="80" t="str">
        <f>IF(OR($I9="",$J9=""),"",IFERROR(IF(AND(DATEVALUE("1-"&amp;$I9)&lt;=AI$83,DATEVALUE("1-"&amp;$J9)&gt;=AI$83),"●",""),""))</f>
        <v/>
      </c>
      <c r="AJ9" s="80" t="str">
        <f>IF(OR($I9="",$J9=""),"",IFERROR(IF(AND(DATEVALUE("1-"&amp;$I9)&lt;=AJ$83,DATEVALUE("1-"&amp;$J9)&gt;=AJ$83),"●",""),""))</f>
        <v/>
      </c>
      <c r="AK9" s="80" t="str">
        <f>IF(OR($I9="",$J9=""),"",IFERROR(IF(AND(DATEVALUE("1-"&amp;$I9)&lt;=AK$83,DATEVALUE("1-"&amp;$J9)&gt;=AK$83),"●",""),""))</f>
        <v/>
      </c>
    </row>
    <row r="10" spans="1:40" ht="15" customHeight="1">
      <c r="A10" s="514"/>
      <c r="B10" s="3" t="s">
        <v>2570</v>
      </c>
      <c r="C10" s="3" t="s">
        <v>2541</v>
      </c>
      <c r="D10" s="3" t="s">
        <v>2542</v>
      </c>
      <c r="E10" s="3" t="s">
        <v>2543</v>
      </c>
      <c r="F10" s="307"/>
      <c r="G10" s="78" t="s">
        <v>2544</v>
      </c>
      <c r="H10" s="3" t="s">
        <v>2545</v>
      </c>
      <c r="I10" s="79" t="s">
        <v>2566</v>
      </c>
      <c r="J10" s="79" t="s">
        <v>2571</v>
      </c>
      <c r="K10" s="80" t="str">
        <f>IF(OR($I10="",$J10=""),"개발 시작전",IFERROR(IF(AND(DATEVALUE("1-"&amp;$I10)&lt;=K$83,DATEVALUE("1-"&amp;$J10)&gt;=K$83),"●",""),"개발 시작전"))</f>
        <v/>
      </c>
      <c r="L10" s="80" t="str">
        <f>IF(OR($I10="",$J10=""),"",IFERROR(IF(AND(DATEVALUE("1-"&amp;$I10)&lt;=L$83,DATEVALUE("1-"&amp;$J10)&gt;=L$83),"●",""),""))</f>
        <v/>
      </c>
      <c r="M10" s="80" t="str">
        <f>IF(OR($I10="",$J10=""),"",IFERROR(IF(AND(DATEVALUE("1-"&amp;$I10)&lt;=M$83,DATEVALUE("1-"&amp;$J10)&gt;=M$83),"●",""),""))</f>
        <v/>
      </c>
      <c r="N10" s="80" t="str">
        <f>IF(OR($I10="",$J10=""),"",IFERROR(IF(AND(DATEVALUE("1-"&amp;$I10)&lt;=N$83,DATEVALUE("1-"&amp;$J10)&gt;=N$83),"●",""),""))</f>
        <v/>
      </c>
      <c r="O10" s="80" t="str">
        <f>IF(OR($I10="",$J10=""),"",IFERROR(IF(AND(DATEVALUE("1-"&amp;$I10)&lt;=O$83,DATEVALUE("1-"&amp;$J10)&gt;=O$83),"●",""),""))</f>
        <v/>
      </c>
      <c r="P10" s="80" t="str">
        <f>IF(OR($I10="",$J10=""),"",IFERROR(IF(AND(DATEVALUE("1-"&amp;$I10)&lt;=P$83,DATEVALUE("1-"&amp;$J10)&gt;=P$83),"●",""),""))</f>
        <v/>
      </c>
      <c r="Q10" s="80" t="str">
        <f>IF(OR($I10="",$J10=""),"",IFERROR(IF(AND(DATEVALUE("1-"&amp;$I10)&lt;=Q$83,DATEVALUE("1-"&amp;$J10)&gt;=Q$83),"●",""),""))</f>
        <v/>
      </c>
      <c r="R10" s="80" t="str">
        <f>IF(OR($I10="",$J10=""),"",IFERROR(IF(AND(DATEVALUE("1-"&amp;$I10)&lt;=R$83,DATEVALUE("1-"&amp;$J10)&gt;=R$83),"●",""),""))</f>
        <v/>
      </c>
      <c r="S10" s="80" t="str">
        <f>IF(OR($I10="",$J10=""),"",IFERROR(IF(AND(DATEVALUE("1-"&amp;$I10)&lt;=S$83,DATEVALUE("1-"&amp;$J10)&gt;=S$83),"●",""),""))</f>
        <v/>
      </c>
      <c r="T10" s="80" t="str">
        <f>IF(OR($I10="",$J10=""),"",IFERROR(IF(AND(DATEVALUE("1-"&amp;$I10)&lt;=T$83,DATEVALUE("1-"&amp;$J10)&gt;=T$83),"●",""),""))</f>
        <v/>
      </c>
      <c r="U10" s="80" t="str">
        <f>IF(OR($I10="",$J10=""),"",IFERROR(IF(AND(DATEVALUE("1-"&amp;$I10)&lt;=U$83,DATEVALUE("1-"&amp;$J10)&gt;=U$83),"●",""),""))</f>
        <v/>
      </c>
      <c r="V10" s="80" t="str">
        <f>IF(OR($I10="",$J10=""),"",IFERROR(IF(AND(DATEVALUE("1-"&amp;$I10)&lt;=V$83,DATEVALUE("1-"&amp;$J10)&gt;=V$83),"●",""),""))</f>
        <v/>
      </c>
      <c r="W10" s="80" t="str">
        <f>IF(OR($I10="",$J10=""),"",IFERROR(IF(AND(DATEVALUE("1-"&amp;$I10)&lt;=W$83,DATEVALUE("1-"&amp;$J10)&gt;=W$83),"●",""),""))</f>
        <v>●</v>
      </c>
      <c r="X10" s="80" t="str">
        <f>IF(OR($I10="",$J10=""),"",IFERROR(IF(AND(DATEVALUE("1-"&amp;$I10)&lt;=X$83,DATEVALUE("1-"&amp;$J10)&gt;=X$83),"●",""),""))</f>
        <v>●</v>
      </c>
      <c r="Y10" s="80" t="str">
        <f>IF(OR($I10="",$J10=""),"",IFERROR(IF(AND(DATEVALUE("1-"&amp;$I10)&lt;=Y$83,DATEVALUE("1-"&amp;$J10)&gt;=Y$83),"●",""),""))</f>
        <v>●</v>
      </c>
      <c r="Z10" s="80" t="str">
        <f>IF(OR($I10="",$J10=""),"",IFERROR(IF(AND(DATEVALUE("1-"&amp;$I10)&lt;=Z$83,DATEVALUE("1-"&amp;$J10)&gt;=Z$83),"●",""),""))</f>
        <v/>
      </c>
      <c r="AA10" s="80" t="str">
        <f>IF(OR($I10="",$J10=""),"",IFERROR(IF(AND(DATEVALUE("1-"&amp;$I10)&lt;=AA$83,DATEVALUE("1-"&amp;$J10)&gt;=AA$83),"●",""),""))</f>
        <v/>
      </c>
      <c r="AB10" s="80" t="str">
        <f>IF(OR($I10="",$J10=""),"",IFERROR(IF(AND(DATEVALUE("1-"&amp;$I10)&lt;=AB$83,DATEVALUE("1-"&amp;$J10)&gt;=AB$83),"●",""),""))</f>
        <v/>
      </c>
      <c r="AC10" s="80" t="str">
        <f>IF(OR($I10="",$J10=""),"",IFERROR(IF(AND(DATEVALUE("1-"&amp;$I10)&lt;=AC$83,DATEVALUE("1-"&amp;$J10)&gt;=AC$83),"●",""),""))</f>
        <v/>
      </c>
      <c r="AD10" s="80" t="str">
        <f>IF(OR($I10="",$J10=""),"",IFERROR(IF(AND(DATEVALUE("1-"&amp;$I10)&lt;=AD$83,DATEVALUE("1-"&amp;$J10)&gt;=AD$83),"●",""),""))</f>
        <v/>
      </c>
      <c r="AE10" s="80" t="str">
        <f>IF(OR($I10="",$J10=""),"",IFERROR(IF(AND(DATEVALUE("1-"&amp;$I10)&lt;=AE$83,DATEVALUE("1-"&amp;$J10)&gt;=AE$83),"●",""),""))</f>
        <v/>
      </c>
      <c r="AF10" s="80" t="str">
        <f>IF(OR($I10="",$J10=""),"",IFERROR(IF(AND(DATEVALUE("1-"&amp;$I10)&lt;=AF$83,DATEVALUE("1-"&amp;$J10)&gt;=AF$83),"●",""),""))</f>
        <v/>
      </c>
      <c r="AG10" s="80" t="str">
        <f>IF(OR($I10="",$J10=""),"",IFERROR(IF(AND(DATEVALUE("1-"&amp;$I10)&lt;=AG$83,DATEVALUE("1-"&amp;$J10)&gt;=AG$83),"●",""),""))</f>
        <v/>
      </c>
      <c r="AH10" s="80" t="str">
        <f>IF(OR($I10="",$J10=""),"",IFERROR(IF(AND(DATEVALUE("1-"&amp;$I10)&lt;=AH$83,DATEVALUE("1-"&amp;$J10)&gt;=AH$83),"●",""),""))</f>
        <v/>
      </c>
      <c r="AI10" s="80" t="str">
        <f>IF(OR($I10="",$J10=""),"",IFERROR(IF(AND(DATEVALUE("1-"&amp;$I10)&lt;=AI$83,DATEVALUE("1-"&amp;$J10)&gt;=AI$83),"●",""),""))</f>
        <v/>
      </c>
      <c r="AJ10" s="80" t="str">
        <f>IF(OR($I10="",$J10=""),"",IFERROR(IF(AND(DATEVALUE("1-"&amp;$I10)&lt;=AJ$83,DATEVALUE("1-"&amp;$J10)&gt;=AJ$83),"●",""),""))</f>
        <v/>
      </c>
      <c r="AK10" s="80" t="str">
        <f>IF(OR($I10="",$J10=""),"",IFERROR(IF(AND(DATEVALUE("1-"&amp;$I10)&lt;=AK$83,DATEVALUE("1-"&amp;$J10)&gt;=AK$83),"●",""),""))</f>
        <v/>
      </c>
    </row>
    <row r="11" spans="1:40" ht="15" customHeight="1">
      <c r="A11" s="514"/>
      <c r="B11" s="3" t="s">
        <v>2572</v>
      </c>
      <c r="C11" s="3" t="s">
        <v>2541</v>
      </c>
      <c r="D11" s="3" t="s">
        <v>2542</v>
      </c>
      <c r="E11" s="3" t="s">
        <v>2543</v>
      </c>
      <c r="F11" s="307"/>
      <c r="G11" s="78" t="s">
        <v>2544</v>
      </c>
      <c r="H11" s="3" t="s">
        <v>2545</v>
      </c>
      <c r="I11" s="79" t="s">
        <v>2573</v>
      </c>
      <c r="J11" s="79" t="s">
        <v>2571</v>
      </c>
      <c r="K11" s="80" t="str">
        <f>IF(OR($I11="",$J11=""),"개발 시작전",IFERROR(IF(AND(DATEVALUE("1-"&amp;$I11)&lt;=K$83,DATEVALUE("1-"&amp;$J11)&gt;=K$83),"●",""),"개발 시작전"))</f>
        <v/>
      </c>
      <c r="L11" s="80" t="str">
        <f>IF(OR($I11="",$J11=""),"",IFERROR(IF(AND(DATEVALUE("1-"&amp;$I11)&lt;=L$83,DATEVALUE("1-"&amp;$J11)&gt;=L$83),"●",""),""))</f>
        <v/>
      </c>
      <c r="M11" s="80" t="str">
        <f>IF(OR($I11="",$J11=""),"",IFERROR(IF(AND(DATEVALUE("1-"&amp;$I11)&lt;=M$83,DATEVALUE("1-"&amp;$J11)&gt;=M$83),"●",""),""))</f>
        <v/>
      </c>
      <c r="N11" s="80" t="str">
        <f>IF(OR($I11="",$J11=""),"",IFERROR(IF(AND(DATEVALUE("1-"&amp;$I11)&lt;=N$83,DATEVALUE("1-"&amp;$J11)&gt;=N$83),"●",""),""))</f>
        <v/>
      </c>
      <c r="O11" s="80" t="str">
        <f>IF(OR($I11="",$J11=""),"",IFERROR(IF(AND(DATEVALUE("1-"&amp;$I11)&lt;=O$83,DATEVALUE("1-"&amp;$J11)&gt;=O$83),"●",""),""))</f>
        <v/>
      </c>
      <c r="P11" s="80" t="str">
        <f>IF(OR($I11="",$J11=""),"",IFERROR(IF(AND(DATEVALUE("1-"&amp;$I11)&lt;=P$83,DATEVALUE("1-"&amp;$J11)&gt;=P$83),"●",""),""))</f>
        <v/>
      </c>
      <c r="Q11" s="80" t="str">
        <f>IF(OR($I11="",$J11=""),"",IFERROR(IF(AND(DATEVALUE("1-"&amp;$I11)&lt;=Q$83,DATEVALUE("1-"&amp;$J11)&gt;=Q$83),"●",""),""))</f>
        <v/>
      </c>
      <c r="R11" s="80" t="str">
        <f>IF(OR($I11="",$J11=""),"",IFERROR(IF(AND(DATEVALUE("1-"&amp;$I11)&lt;=R$83,DATEVALUE("1-"&amp;$J11)&gt;=R$83),"●",""),""))</f>
        <v/>
      </c>
      <c r="S11" s="80" t="str">
        <f>IF(OR($I11="",$J11=""),"",IFERROR(IF(AND(DATEVALUE("1-"&amp;$I11)&lt;=S$83,DATEVALUE("1-"&amp;$J11)&gt;=S$83),"●",""),""))</f>
        <v/>
      </c>
      <c r="T11" s="80" t="str">
        <f>IF(OR($I11="",$J11=""),"",IFERROR(IF(AND(DATEVALUE("1-"&amp;$I11)&lt;=T$83,DATEVALUE("1-"&amp;$J11)&gt;=T$83),"●",""),""))</f>
        <v/>
      </c>
      <c r="U11" s="80" t="str">
        <f>IF(OR($I11="",$J11=""),"",IFERROR(IF(AND(DATEVALUE("1-"&amp;$I11)&lt;=U$83,DATEVALUE("1-"&amp;$J11)&gt;=U$83),"●",""),""))</f>
        <v/>
      </c>
      <c r="V11" s="80" t="str">
        <f>IF(OR($I11="",$J11=""),"",IFERROR(IF(AND(DATEVALUE("1-"&amp;$I11)&lt;=V$83,DATEVALUE("1-"&amp;$J11)&gt;=V$83),"●",""),""))</f>
        <v/>
      </c>
      <c r="W11" s="80" t="str">
        <f>IF(OR($I11="",$J11=""),"",IFERROR(IF(AND(DATEVALUE("1-"&amp;$I11)&lt;=W$83,DATEVALUE("1-"&amp;$J11)&gt;=W$83),"●",""),""))</f>
        <v>●</v>
      </c>
      <c r="X11" s="80" t="str">
        <f>IF(OR($I11="",$J11=""),"",IFERROR(IF(AND(DATEVALUE("1-"&amp;$I11)&lt;=X$83,DATEVALUE("1-"&amp;$J11)&gt;=X$83),"●",""),""))</f>
        <v>●</v>
      </c>
      <c r="Y11" s="80" t="str">
        <f>IF(OR($I11="",$J11=""),"",IFERROR(IF(AND(DATEVALUE("1-"&amp;$I11)&lt;=Y$83,DATEVALUE("1-"&amp;$J11)&gt;=Y$83),"●",""),""))</f>
        <v>●</v>
      </c>
      <c r="Z11" s="80" t="str">
        <f>IF(OR($I11="",$J11=""),"",IFERROR(IF(AND(DATEVALUE("1-"&amp;$I11)&lt;=Z$83,DATEVALUE("1-"&amp;$J11)&gt;=Z$83),"●",""),""))</f>
        <v/>
      </c>
      <c r="AA11" s="80" t="str">
        <f>IF(OR($I11="",$J11=""),"",IFERROR(IF(AND(DATEVALUE("1-"&amp;$I11)&lt;=AA$83,DATEVALUE("1-"&amp;$J11)&gt;=AA$83),"●",""),""))</f>
        <v/>
      </c>
      <c r="AB11" s="80" t="str">
        <f>IF(OR($I11="",$J11=""),"",IFERROR(IF(AND(DATEVALUE("1-"&amp;$I11)&lt;=AB$83,DATEVALUE("1-"&amp;$J11)&gt;=AB$83),"●",""),""))</f>
        <v/>
      </c>
      <c r="AC11" s="80" t="str">
        <f>IF(OR($I11="",$J11=""),"",IFERROR(IF(AND(DATEVALUE("1-"&amp;$I11)&lt;=AC$83,DATEVALUE("1-"&amp;$J11)&gt;=AC$83),"●",""),""))</f>
        <v/>
      </c>
      <c r="AD11" s="80" t="str">
        <f>IF(OR($I11="",$J11=""),"",IFERROR(IF(AND(DATEVALUE("1-"&amp;$I11)&lt;=AD$83,DATEVALUE("1-"&amp;$J11)&gt;=AD$83),"●",""),""))</f>
        <v/>
      </c>
      <c r="AE11" s="80" t="str">
        <f>IF(OR($I11="",$J11=""),"",IFERROR(IF(AND(DATEVALUE("1-"&amp;$I11)&lt;=AE$83,DATEVALUE("1-"&amp;$J11)&gt;=AE$83),"●",""),""))</f>
        <v/>
      </c>
      <c r="AF11" s="80" t="str">
        <f>IF(OR($I11="",$J11=""),"",IFERROR(IF(AND(DATEVALUE("1-"&amp;$I11)&lt;=AF$83,DATEVALUE("1-"&amp;$J11)&gt;=AF$83),"●",""),""))</f>
        <v/>
      </c>
      <c r="AG11" s="80" t="str">
        <f>IF(OR($I11="",$J11=""),"",IFERROR(IF(AND(DATEVALUE("1-"&amp;$I11)&lt;=AG$83,DATEVALUE("1-"&amp;$J11)&gt;=AG$83),"●",""),""))</f>
        <v/>
      </c>
      <c r="AH11" s="80" t="str">
        <f>IF(OR($I11="",$J11=""),"",IFERROR(IF(AND(DATEVALUE("1-"&amp;$I11)&lt;=AH$83,DATEVALUE("1-"&amp;$J11)&gt;=AH$83),"●",""),""))</f>
        <v/>
      </c>
      <c r="AI11" s="80" t="str">
        <f>IF(OR($I11="",$J11=""),"",IFERROR(IF(AND(DATEVALUE("1-"&amp;$I11)&lt;=AI$83,DATEVALUE("1-"&amp;$J11)&gt;=AI$83),"●",""),""))</f>
        <v/>
      </c>
      <c r="AJ11" s="80" t="str">
        <f>IF(OR($I11="",$J11=""),"",IFERROR(IF(AND(DATEVALUE("1-"&amp;$I11)&lt;=AJ$83,DATEVALUE("1-"&amp;$J11)&gt;=AJ$83),"●",""),""))</f>
        <v/>
      </c>
      <c r="AK11" s="80" t="str">
        <f>IF(OR($I11="",$J11=""),"",IFERROR(IF(AND(DATEVALUE("1-"&amp;$I11)&lt;=AK$83,DATEVALUE("1-"&amp;$J11)&gt;=AK$83),"●",""),""))</f>
        <v/>
      </c>
    </row>
    <row r="12" spans="1:40" ht="15" customHeight="1">
      <c r="A12" s="514"/>
      <c r="B12" s="3" t="s">
        <v>2574</v>
      </c>
      <c r="C12" s="3" t="s">
        <v>2541</v>
      </c>
      <c r="D12" s="3" t="s">
        <v>2542</v>
      </c>
      <c r="E12" s="3" t="s">
        <v>2543</v>
      </c>
      <c r="F12" s="307"/>
      <c r="G12" s="78" t="s">
        <v>2544</v>
      </c>
      <c r="H12" s="3" t="s">
        <v>2545</v>
      </c>
      <c r="I12" s="79" t="s">
        <v>2573</v>
      </c>
      <c r="J12" s="79" t="s">
        <v>2571</v>
      </c>
      <c r="K12" s="80" t="str">
        <f>IF(OR($I12="",$J12=""),"개발 시작전",IFERROR(IF(AND(DATEVALUE("1-"&amp;$I12)&lt;=K$83,DATEVALUE("1-"&amp;$J12)&gt;=K$83),"●",""),"개발 시작전"))</f>
        <v/>
      </c>
      <c r="L12" s="80" t="str">
        <f>IF(OR($I12="",$J12=""),"",IFERROR(IF(AND(DATEVALUE("1-"&amp;$I12)&lt;=L$83,DATEVALUE("1-"&amp;$J12)&gt;=L$83),"●",""),""))</f>
        <v/>
      </c>
      <c r="M12" s="80" t="str">
        <f>IF(OR($I12="",$J12=""),"",IFERROR(IF(AND(DATEVALUE("1-"&amp;$I12)&lt;=M$83,DATEVALUE("1-"&amp;$J12)&gt;=M$83),"●",""),""))</f>
        <v/>
      </c>
      <c r="N12" s="80" t="str">
        <f>IF(OR($I12="",$J12=""),"",IFERROR(IF(AND(DATEVALUE("1-"&amp;$I12)&lt;=N$83,DATEVALUE("1-"&amp;$J12)&gt;=N$83),"●",""),""))</f>
        <v/>
      </c>
      <c r="O12" s="80" t="str">
        <f>IF(OR($I12="",$J12=""),"",IFERROR(IF(AND(DATEVALUE("1-"&amp;$I12)&lt;=O$83,DATEVALUE("1-"&amp;$J12)&gt;=O$83),"●",""),""))</f>
        <v/>
      </c>
      <c r="P12" s="80" t="str">
        <f>IF(OR($I12="",$J12=""),"",IFERROR(IF(AND(DATEVALUE("1-"&amp;$I12)&lt;=P$83,DATEVALUE("1-"&amp;$J12)&gt;=P$83),"●",""),""))</f>
        <v/>
      </c>
      <c r="Q12" s="80" t="str">
        <f>IF(OR($I12="",$J12=""),"",IFERROR(IF(AND(DATEVALUE("1-"&amp;$I12)&lt;=Q$83,DATEVALUE("1-"&amp;$J12)&gt;=Q$83),"●",""),""))</f>
        <v/>
      </c>
      <c r="R12" s="80" t="str">
        <f>IF(OR($I12="",$J12=""),"",IFERROR(IF(AND(DATEVALUE("1-"&amp;$I12)&lt;=R$83,DATEVALUE("1-"&amp;$J12)&gt;=R$83),"●",""),""))</f>
        <v/>
      </c>
      <c r="S12" s="80" t="str">
        <f>IF(OR($I12="",$J12=""),"",IFERROR(IF(AND(DATEVALUE("1-"&amp;$I12)&lt;=S$83,DATEVALUE("1-"&amp;$J12)&gt;=S$83),"●",""),""))</f>
        <v/>
      </c>
      <c r="T12" s="80" t="str">
        <f>IF(OR($I12="",$J12=""),"",IFERROR(IF(AND(DATEVALUE("1-"&amp;$I12)&lt;=T$83,DATEVALUE("1-"&amp;$J12)&gt;=T$83),"●",""),""))</f>
        <v/>
      </c>
      <c r="U12" s="80" t="str">
        <f>IF(OR($I12="",$J12=""),"",IFERROR(IF(AND(DATEVALUE("1-"&amp;$I12)&lt;=U$83,DATEVALUE("1-"&amp;$J12)&gt;=U$83),"●",""),""))</f>
        <v/>
      </c>
      <c r="V12" s="80" t="str">
        <f>IF(OR($I12="",$J12=""),"",IFERROR(IF(AND(DATEVALUE("1-"&amp;$I12)&lt;=V$83,DATEVALUE("1-"&amp;$J12)&gt;=V$83),"●",""),""))</f>
        <v/>
      </c>
      <c r="W12" s="80" t="str">
        <f>IF(OR($I12="",$J12=""),"",IFERROR(IF(AND(DATEVALUE("1-"&amp;$I12)&lt;=W$83,DATEVALUE("1-"&amp;$J12)&gt;=W$83),"●",""),""))</f>
        <v>●</v>
      </c>
      <c r="X12" s="80" t="str">
        <f>IF(OR($I12="",$J12=""),"",IFERROR(IF(AND(DATEVALUE("1-"&amp;$I12)&lt;=X$83,DATEVALUE("1-"&amp;$J12)&gt;=X$83),"●",""),""))</f>
        <v>●</v>
      </c>
      <c r="Y12" s="80" t="str">
        <f>IF(OR($I12="",$J12=""),"",IFERROR(IF(AND(DATEVALUE("1-"&amp;$I12)&lt;=Y$83,DATEVALUE("1-"&amp;$J12)&gt;=Y$83),"●",""),""))</f>
        <v>●</v>
      </c>
      <c r="Z12" s="80" t="str">
        <f>IF(OR($I12="",$J12=""),"",IFERROR(IF(AND(DATEVALUE("1-"&amp;$I12)&lt;=Z$83,DATEVALUE("1-"&amp;$J12)&gt;=Z$83),"●",""),""))</f>
        <v/>
      </c>
      <c r="AA12" s="80" t="str">
        <f>IF(OR($I12="",$J12=""),"",IFERROR(IF(AND(DATEVALUE("1-"&amp;$I12)&lt;=AA$83,DATEVALUE("1-"&amp;$J12)&gt;=AA$83),"●",""),""))</f>
        <v/>
      </c>
      <c r="AB12" s="80" t="str">
        <f>IF(OR($I12="",$J12=""),"",IFERROR(IF(AND(DATEVALUE("1-"&amp;$I12)&lt;=AB$83,DATEVALUE("1-"&amp;$J12)&gt;=AB$83),"●",""),""))</f>
        <v/>
      </c>
      <c r="AC12" s="80" t="str">
        <f>IF(OR($I12="",$J12=""),"",IFERROR(IF(AND(DATEVALUE("1-"&amp;$I12)&lt;=AC$83,DATEVALUE("1-"&amp;$J12)&gt;=AC$83),"●",""),""))</f>
        <v/>
      </c>
      <c r="AD12" s="80" t="str">
        <f>IF(OR($I12="",$J12=""),"",IFERROR(IF(AND(DATEVALUE("1-"&amp;$I12)&lt;=AD$83,DATEVALUE("1-"&amp;$J12)&gt;=AD$83),"●",""),""))</f>
        <v/>
      </c>
      <c r="AE12" s="80" t="str">
        <f>IF(OR($I12="",$J12=""),"",IFERROR(IF(AND(DATEVALUE("1-"&amp;$I12)&lt;=AE$83,DATEVALUE("1-"&amp;$J12)&gt;=AE$83),"●",""),""))</f>
        <v/>
      </c>
      <c r="AF12" s="80" t="str">
        <f>IF(OR($I12="",$J12=""),"",IFERROR(IF(AND(DATEVALUE("1-"&amp;$I12)&lt;=AF$83,DATEVALUE("1-"&amp;$J12)&gt;=AF$83),"●",""),""))</f>
        <v/>
      </c>
      <c r="AG12" s="80" t="str">
        <f>IF(OR($I12="",$J12=""),"",IFERROR(IF(AND(DATEVALUE("1-"&amp;$I12)&lt;=AG$83,DATEVALUE("1-"&amp;$J12)&gt;=AG$83),"●",""),""))</f>
        <v/>
      </c>
      <c r="AH12" s="80" t="str">
        <f>IF(OR($I12="",$J12=""),"",IFERROR(IF(AND(DATEVALUE("1-"&amp;$I12)&lt;=AH$83,DATEVALUE("1-"&amp;$J12)&gt;=AH$83),"●",""),""))</f>
        <v/>
      </c>
      <c r="AI12" s="80" t="str">
        <f>IF(OR($I12="",$J12=""),"",IFERROR(IF(AND(DATEVALUE("1-"&amp;$I12)&lt;=AI$83,DATEVALUE("1-"&amp;$J12)&gt;=AI$83),"●",""),""))</f>
        <v/>
      </c>
      <c r="AJ12" s="80" t="str">
        <f>IF(OR($I12="",$J12=""),"",IFERROR(IF(AND(DATEVALUE("1-"&amp;$I12)&lt;=AJ$83,DATEVALUE("1-"&amp;$J12)&gt;=AJ$83),"●",""),""))</f>
        <v/>
      </c>
      <c r="AK12" s="80" t="str">
        <f>IF(OR($I12="",$J12=""),"",IFERROR(IF(AND(DATEVALUE("1-"&amp;$I12)&lt;=AK$83,DATEVALUE("1-"&amp;$J12)&gt;=AK$83),"●",""),""))</f>
        <v/>
      </c>
    </row>
    <row r="13" spans="1:40" ht="15" customHeight="1">
      <c r="A13" s="518" t="s">
        <v>2575</v>
      </c>
      <c r="B13" s="81" t="s">
        <v>2576</v>
      </c>
      <c r="C13" s="3" t="s">
        <v>2577</v>
      </c>
      <c r="D13" s="3" t="s">
        <v>23</v>
      </c>
      <c r="E13" s="3" t="s">
        <v>2578</v>
      </c>
      <c r="F13" s="3"/>
      <c r="G13" s="78" t="s">
        <v>2565</v>
      </c>
      <c r="H13" s="82" t="s">
        <v>2579</v>
      </c>
      <c r="I13" s="83" t="s">
        <v>2580</v>
      </c>
      <c r="J13" s="83" t="s">
        <v>2581</v>
      </c>
      <c r="K13" s="80" t="str">
        <f>IF(OR($I13="",$J13=""),"개발 시작전",IFERROR(IF(AND(DATEVALUE("1-"&amp;$I13)&lt;=K$83,DATEVALUE("1-"&amp;$J13)&gt;=K$83),"●",""),"개발 시작전"))</f>
        <v>●</v>
      </c>
      <c r="L13" s="80" t="str">
        <f>IF(OR($I13="",$J13=""),"",IFERROR(IF(AND(DATEVALUE("1-"&amp;$I13)&lt;=L$83,DATEVALUE("1-"&amp;$J13)&gt;=L$83),"●",""),""))</f>
        <v>●</v>
      </c>
      <c r="M13" s="80" t="s">
        <v>2582</v>
      </c>
      <c r="N13" s="80" t="str">
        <f>IF(OR($I13="",$J13=""),"",IFERROR(IF(AND(DATEVALUE("1-"&amp;$I13)&lt;=N$83,DATEVALUE("1-"&amp;$J13)&gt;=N$83),"●",""),""))</f>
        <v/>
      </c>
      <c r="O13" s="80" t="str">
        <f>IF(OR($I13="",$J13=""),"",IFERROR(IF(AND(DATEVALUE("1-"&amp;$I13)&lt;=O$83,DATEVALUE("1-"&amp;$J13)&gt;=O$83),"●",""),""))</f>
        <v/>
      </c>
      <c r="P13" s="80" t="str">
        <f>IF(OR($I13="",$J13=""),"",IFERROR(IF(AND(DATEVALUE("1-"&amp;$I13)&lt;=P$83,DATEVALUE("1-"&amp;$J13)&gt;=P$83),"●",""),""))</f>
        <v/>
      </c>
      <c r="Q13" s="80" t="str">
        <f>IF(OR($I13="",$J13=""),"",IFERROR(IF(AND(DATEVALUE("1-"&amp;$I13)&lt;=Q$83,DATEVALUE("1-"&amp;$J13)&gt;=Q$83),"●",""),""))</f>
        <v/>
      </c>
      <c r="R13" s="80" t="str">
        <f>IF(OR($I13="",$J13=""),"",IFERROR(IF(AND(DATEVALUE("1-"&amp;$I13)&lt;=R$83,DATEVALUE("1-"&amp;$J13)&gt;=R$83),"●",""),""))</f>
        <v/>
      </c>
      <c r="S13" s="80" t="str">
        <f>IF(OR($I13="",$J13=""),"",IFERROR(IF(AND(DATEVALUE("1-"&amp;$I13)&lt;=S$83,DATEVALUE("1-"&amp;$J13)&gt;=S$83),"●",""),""))</f>
        <v/>
      </c>
      <c r="T13" s="80" t="str">
        <f>IF(OR($I13="",$J13=""),"",IFERROR(IF(AND(DATEVALUE("1-"&amp;$I13)&lt;=T$83,DATEVALUE("1-"&amp;$J13)&gt;=T$83),"●",""),""))</f>
        <v/>
      </c>
      <c r="U13" s="80" t="str">
        <f>IF(OR($I13="",$J13=""),"",IFERROR(IF(AND(DATEVALUE("1-"&amp;$I13)&lt;=U$83,DATEVALUE("1-"&amp;$J13)&gt;=U$83),"●",""),""))</f>
        <v/>
      </c>
      <c r="V13" s="80" t="str">
        <f>IF(OR($I13="",$J13=""),"",IFERROR(IF(AND(DATEVALUE("1-"&amp;$I13)&lt;=V$83,DATEVALUE("1-"&amp;$J13)&gt;=V$83),"●",""),""))</f>
        <v/>
      </c>
      <c r="W13" s="80" t="str">
        <f>IF(OR($I13="",$J13=""),"",IFERROR(IF(AND(DATEVALUE("1-"&amp;$I13)&lt;=W$83,DATEVALUE("1-"&amp;$J13)&gt;=W$83),"●",""),""))</f>
        <v/>
      </c>
      <c r="X13" s="80" t="str">
        <f>IF(OR($I13="",$J13=""),"",IFERROR(IF(AND(DATEVALUE("1-"&amp;$I13)&lt;=X$83,DATEVALUE("1-"&amp;$J13)&gt;=X$83),"●",""),""))</f>
        <v/>
      </c>
      <c r="Y13" s="80" t="str">
        <f>IF(OR($I13="",$J13=""),"",IFERROR(IF(AND(DATEVALUE("1-"&amp;$I13)&lt;=Y$83,DATEVALUE("1-"&amp;$J13)&gt;=Y$83),"●",""),""))</f>
        <v/>
      </c>
      <c r="Z13" s="80" t="str">
        <f>IF(OR($I13="",$J13=""),"",IFERROR(IF(AND(DATEVALUE("1-"&amp;$I13)&lt;=Z$83,DATEVALUE("1-"&amp;$J13)&gt;=Z$83),"●",""),""))</f>
        <v/>
      </c>
      <c r="AA13" s="80" t="str">
        <f>IF(OR($I13="",$J13=""),"",IFERROR(IF(AND(DATEVALUE("1-"&amp;$I13)&lt;=AA$83,DATEVALUE("1-"&amp;$J13)&gt;=AA$83),"●",""),""))</f>
        <v/>
      </c>
      <c r="AB13" s="80" t="str">
        <f>IF(OR($I13="",$J13=""),"",IFERROR(IF(AND(DATEVALUE("1-"&amp;$I13)&lt;=AB$83,DATEVALUE("1-"&amp;$J13)&gt;=AB$83),"●",""),""))</f>
        <v/>
      </c>
      <c r="AC13" s="80" t="str">
        <f>IF(OR($I13="",$J13=""),"",IFERROR(IF(AND(DATEVALUE("1-"&amp;$I13)&lt;=AC$83,DATEVALUE("1-"&amp;$J13)&gt;=AC$83),"●",""),""))</f>
        <v/>
      </c>
      <c r="AD13" s="80" t="str">
        <f>IF(OR($I13="",$J13=""),"",IFERROR(IF(AND(DATEVALUE("1-"&amp;$I13)&lt;=AD$83,DATEVALUE("1-"&amp;$J13)&gt;=AD$83),"●",""),""))</f>
        <v/>
      </c>
      <c r="AE13" s="80" t="str">
        <f>IF(OR($I13="",$J13=""),"",IFERROR(IF(AND(DATEVALUE("1-"&amp;$I13)&lt;=AE$83,DATEVALUE("1-"&amp;$J13)&gt;=AE$83),"●",""),""))</f>
        <v/>
      </c>
      <c r="AF13" s="80" t="str">
        <f>IF(OR($I13="",$J13=""),"",IFERROR(IF(AND(DATEVALUE("1-"&amp;$I13)&lt;=AF$83,DATEVALUE("1-"&amp;$J13)&gt;=AF$83),"●",""),""))</f>
        <v/>
      </c>
      <c r="AG13" s="80" t="str">
        <f>IF(OR($I13="",$J13=""),"",IFERROR(IF(AND(DATEVALUE("1-"&amp;$I13)&lt;=AG$83,DATEVALUE("1-"&amp;$J13)&gt;=AG$83),"●",""),""))</f>
        <v/>
      </c>
      <c r="AH13" s="80" t="str">
        <f>IF(OR($I13="",$J13=""),"",IFERROR(IF(AND(DATEVALUE("1-"&amp;$I13)&lt;=AH$83,DATEVALUE("1-"&amp;$J13)&gt;=AH$83),"●",""),""))</f>
        <v/>
      </c>
      <c r="AI13" s="80" t="str">
        <f>IF(OR($I13="",$J13=""),"",IFERROR(IF(AND(DATEVALUE("1-"&amp;$I13)&lt;=AI$83,DATEVALUE("1-"&amp;$J13)&gt;=AI$83),"●",""),""))</f>
        <v/>
      </c>
      <c r="AJ13" s="80" t="str">
        <f>IF(OR($I13="",$J13=""),"",IFERROR(IF(AND(DATEVALUE("1-"&amp;$I13)&lt;=AJ$83,DATEVALUE("1-"&amp;$J13)&gt;=AJ$83),"●",""),""))</f>
        <v/>
      </c>
      <c r="AK13" s="80" t="str">
        <f>IF(OR($I13="",$J13=""),"",IFERROR(IF(AND(DATEVALUE("1-"&amp;$I13)&lt;=AK$83,DATEVALUE("1-"&amp;$J13)&gt;=AK$83),"●",""),""))</f>
        <v/>
      </c>
    </row>
    <row r="14" spans="1:40" ht="15" customHeight="1">
      <c r="A14" s="519"/>
      <c r="B14" s="81" t="s">
        <v>2583</v>
      </c>
      <c r="C14" s="3" t="s">
        <v>2577</v>
      </c>
      <c r="D14" s="3" t="s">
        <v>23</v>
      </c>
      <c r="E14" s="3" t="s">
        <v>2584</v>
      </c>
      <c r="F14" s="3"/>
      <c r="G14" s="78" t="s">
        <v>2565</v>
      </c>
      <c r="H14" s="86" t="s">
        <v>2579</v>
      </c>
      <c r="I14" s="79" t="s">
        <v>2585</v>
      </c>
      <c r="J14" s="83" t="s">
        <v>2581</v>
      </c>
      <c r="K14" s="80" t="str">
        <f>IF(OR($I14="",$J14=""),"개발 시작전",IFERROR(IF(AND(DATEVALUE("1-"&amp;$I14)&lt;=K$83,DATEVALUE("1-"&amp;$J14)&gt;=K$83),"●",""),"개발 시작전"))</f>
        <v>●</v>
      </c>
      <c r="L14" s="80" t="str">
        <f>IF(OR($I14="",$J14=""),"",IFERROR(IF(AND(DATEVALUE("1-"&amp;$I14)&lt;=L$83,DATEVALUE("1-"&amp;$J14)&gt;=L$83),"●",""),""))</f>
        <v>●</v>
      </c>
      <c r="M14" s="80" t="s">
        <v>2582</v>
      </c>
      <c r="N14" s="80" t="str">
        <f>IF(OR($I14="",$J14=""),"",IFERROR(IF(AND(DATEVALUE("1-"&amp;$I14)&lt;=N$83,DATEVALUE("1-"&amp;$J14)&gt;=N$83),"●",""),""))</f>
        <v/>
      </c>
      <c r="O14" s="80" t="str">
        <f>IF(OR($I14="",$J14=""),"",IFERROR(IF(AND(DATEVALUE("1-"&amp;$I14)&lt;=O$83,DATEVALUE("1-"&amp;$J14)&gt;=O$83),"●",""),""))</f>
        <v/>
      </c>
      <c r="P14" s="80" t="str">
        <f>IF(OR($I14="",$J14=""),"",IFERROR(IF(AND(DATEVALUE("1-"&amp;$I14)&lt;=P$83,DATEVALUE("1-"&amp;$J14)&gt;=P$83),"●",""),""))</f>
        <v/>
      </c>
      <c r="Q14" s="80" t="str">
        <f>IF(OR($I14="",$J14=""),"",IFERROR(IF(AND(DATEVALUE("1-"&amp;$I14)&lt;=Q$83,DATEVALUE("1-"&amp;$J14)&gt;=Q$83),"●",""),""))</f>
        <v/>
      </c>
      <c r="R14" s="80" t="str">
        <f>IF(OR($I14="",$J14=""),"",IFERROR(IF(AND(DATEVALUE("1-"&amp;$I14)&lt;=R$83,DATEVALUE("1-"&amp;$J14)&gt;=R$83),"●",""),""))</f>
        <v/>
      </c>
      <c r="S14" s="80" t="str">
        <f>IF(OR($I14="",$J14=""),"",IFERROR(IF(AND(DATEVALUE("1-"&amp;$I14)&lt;=S$83,DATEVALUE("1-"&amp;$J14)&gt;=S$83),"●",""),""))</f>
        <v/>
      </c>
      <c r="T14" s="80" t="str">
        <f>IF(OR($I14="",$J14=""),"",IFERROR(IF(AND(DATEVALUE("1-"&amp;$I14)&lt;=T$83,DATEVALUE("1-"&amp;$J14)&gt;=T$83),"●",""),""))</f>
        <v/>
      </c>
      <c r="U14" s="80" t="str">
        <f>IF(OR($I14="",$J14=""),"",IFERROR(IF(AND(DATEVALUE("1-"&amp;$I14)&lt;=U$83,DATEVALUE("1-"&amp;$J14)&gt;=U$83),"●",""),""))</f>
        <v/>
      </c>
      <c r="V14" s="80" t="str">
        <f>IF(OR($I14="",$J14=""),"",IFERROR(IF(AND(DATEVALUE("1-"&amp;$I14)&lt;=V$83,DATEVALUE("1-"&amp;$J14)&gt;=V$83),"●",""),""))</f>
        <v/>
      </c>
      <c r="W14" s="80" t="str">
        <f>IF(OR($I14="",$J14=""),"",IFERROR(IF(AND(DATEVALUE("1-"&amp;$I14)&lt;=W$83,DATEVALUE("1-"&amp;$J14)&gt;=W$83),"●",""),""))</f>
        <v/>
      </c>
      <c r="X14" s="80" t="str">
        <f>IF(OR($I14="",$J14=""),"",IFERROR(IF(AND(DATEVALUE("1-"&amp;$I14)&lt;=X$83,DATEVALUE("1-"&amp;$J14)&gt;=X$83),"●",""),""))</f>
        <v/>
      </c>
      <c r="Y14" s="80" t="str">
        <f>IF(OR($I14="",$J14=""),"",IFERROR(IF(AND(DATEVALUE("1-"&amp;$I14)&lt;=Y$83,DATEVALUE("1-"&amp;$J14)&gt;=Y$83),"●",""),""))</f>
        <v/>
      </c>
      <c r="Z14" s="80" t="str">
        <f>IF(OR($I14="",$J14=""),"",IFERROR(IF(AND(DATEVALUE("1-"&amp;$I14)&lt;=Z$83,DATEVALUE("1-"&amp;$J14)&gt;=Z$83),"●",""),""))</f>
        <v/>
      </c>
      <c r="AA14" s="80" t="str">
        <f>IF(OR($I14="",$J14=""),"",IFERROR(IF(AND(DATEVALUE("1-"&amp;$I14)&lt;=AA$83,DATEVALUE("1-"&amp;$J14)&gt;=AA$83),"●",""),""))</f>
        <v/>
      </c>
      <c r="AB14" s="80" t="str">
        <f>IF(OR($I14="",$J14=""),"",IFERROR(IF(AND(DATEVALUE("1-"&amp;$I14)&lt;=AB$83,DATEVALUE("1-"&amp;$J14)&gt;=AB$83),"●",""),""))</f>
        <v/>
      </c>
      <c r="AC14" s="80" t="str">
        <f>IF(OR($I14="",$J14=""),"",IFERROR(IF(AND(DATEVALUE("1-"&amp;$I14)&lt;=AC$83,DATEVALUE("1-"&amp;$J14)&gt;=AC$83),"●",""),""))</f>
        <v/>
      </c>
      <c r="AD14" s="80" t="str">
        <f>IF(OR($I14="",$J14=""),"",IFERROR(IF(AND(DATEVALUE("1-"&amp;$I14)&lt;=AD$83,DATEVALUE("1-"&amp;$J14)&gt;=AD$83),"●",""),""))</f>
        <v/>
      </c>
      <c r="AE14" s="80" t="str">
        <f>IF(OR($I14="",$J14=""),"",IFERROR(IF(AND(DATEVALUE("1-"&amp;$I14)&lt;=AE$83,DATEVALUE("1-"&amp;$J14)&gt;=AE$83),"●",""),""))</f>
        <v/>
      </c>
      <c r="AF14" s="80" t="str">
        <f>IF(OR($I14="",$J14=""),"",IFERROR(IF(AND(DATEVALUE("1-"&amp;$I14)&lt;=AF$83,DATEVALUE("1-"&amp;$J14)&gt;=AF$83),"●",""),""))</f>
        <v/>
      </c>
      <c r="AG14" s="80" t="str">
        <f>IF(OR($I14="",$J14=""),"",IFERROR(IF(AND(DATEVALUE("1-"&amp;$I14)&lt;=AG$83,DATEVALUE("1-"&amp;$J14)&gt;=AG$83),"●",""),""))</f>
        <v/>
      </c>
      <c r="AH14" s="80" t="str">
        <f>IF(OR($I14="",$J14=""),"",IFERROR(IF(AND(DATEVALUE("1-"&amp;$I14)&lt;=AH$83,DATEVALUE("1-"&amp;$J14)&gt;=AH$83),"●",""),""))</f>
        <v/>
      </c>
      <c r="AI14" s="80" t="str">
        <f>IF(OR($I14="",$J14=""),"",IFERROR(IF(AND(DATEVALUE("1-"&amp;$I14)&lt;=AI$83,DATEVALUE("1-"&amp;$J14)&gt;=AI$83),"●",""),""))</f>
        <v/>
      </c>
      <c r="AJ14" s="80" t="str">
        <f>IF(OR($I14="",$J14=""),"",IFERROR(IF(AND(DATEVALUE("1-"&amp;$I14)&lt;=AJ$83,DATEVALUE("1-"&amp;$J14)&gt;=AJ$83),"●",""),""))</f>
        <v/>
      </c>
      <c r="AK14" s="80" t="str">
        <f>IF(OR($I14="",$J14=""),"",IFERROR(IF(AND(DATEVALUE("1-"&amp;$I14)&lt;=AK$83,DATEVALUE("1-"&amp;$J14)&gt;=AK$83),"●",""),""))</f>
        <v/>
      </c>
    </row>
    <row r="15" spans="1:40" ht="15" customHeight="1">
      <c r="A15" s="519"/>
      <c r="B15" s="3" t="s">
        <v>2586</v>
      </c>
      <c r="C15" s="3" t="s">
        <v>2577</v>
      </c>
      <c r="D15" s="3" t="s">
        <v>20</v>
      </c>
      <c r="E15" s="3" t="s">
        <v>2586</v>
      </c>
      <c r="F15" s="3"/>
      <c r="G15" s="78" t="s">
        <v>2565</v>
      </c>
      <c r="H15" s="82" t="s">
        <v>2579</v>
      </c>
      <c r="I15" s="83" t="s">
        <v>2581</v>
      </c>
      <c r="J15" s="79" t="s">
        <v>2587</v>
      </c>
      <c r="K15" s="80" t="str">
        <f>IF(OR($I15="",$J15=""),"개발 시작전",IFERROR(IF(AND(DATEVALUE("1-"&amp;$I15)&lt;=K$83,DATEVALUE("1-"&amp;$J15)&gt;=K$83),"●",""),"개발 시작전"))</f>
        <v/>
      </c>
      <c r="L15" s="80" t="str">
        <f>IF(OR($I15="",$J15=""),"",IFERROR(IF(AND(DATEVALUE("1-"&amp;$I15)&lt;=L$83,DATEVALUE("1-"&amp;$J15)&gt;=L$83),"●",""),""))</f>
        <v>●</v>
      </c>
      <c r="M15" s="80" t="str">
        <f>IF(OR($I15="",$J15=""),"",IFERROR(IF(AND(DATEVALUE("1-"&amp;$I15)&lt;=M$83,DATEVALUE("1-"&amp;$J15)&gt;=M$83),"●",""),""))</f>
        <v>●</v>
      </c>
      <c r="N15" s="80" t="s">
        <v>2582</v>
      </c>
      <c r="O15" s="80" t="str">
        <f>IF(OR($I15="",$J15=""),"",IFERROR(IF(AND(DATEVALUE("1-"&amp;$I15)&lt;=O$83,DATEVALUE("1-"&amp;$J15)&gt;=O$83),"●",""),""))</f>
        <v/>
      </c>
      <c r="P15" s="80" t="str">
        <f>IF(OR($I15="",$J15=""),"",IFERROR(IF(AND(DATEVALUE("1-"&amp;$I15)&lt;=P$83,DATEVALUE("1-"&amp;$J15)&gt;=P$83),"●",""),""))</f>
        <v/>
      </c>
      <c r="Q15" s="80" t="str">
        <f>IF(OR($I15="",$J15=""),"",IFERROR(IF(AND(DATEVALUE("1-"&amp;$I15)&lt;=Q$83,DATEVALUE("1-"&amp;$J15)&gt;=Q$83),"●",""),""))</f>
        <v/>
      </c>
      <c r="R15" s="80" t="str">
        <f>IF(OR($I15="",$J15=""),"",IFERROR(IF(AND(DATEVALUE("1-"&amp;$I15)&lt;=R$83,DATEVALUE("1-"&amp;$J15)&gt;=R$83),"●",""),""))</f>
        <v/>
      </c>
      <c r="S15" s="80" t="str">
        <f>IF(OR($I15="",$J15=""),"",IFERROR(IF(AND(DATEVALUE("1-"&amp;$I15)&lt;=S$83,DATEVALUE("1-"&amp;$J15)&gt;=S$83),"●",""),""))</f>
        <v/>
      </c>
      <c r="T15" s="80" t="str">
        <f>IF(OR($I15="",$J15=""),"",IFERROR(IF(AND(DATEVALUE("1-"&amp;$I15)&lt;=T$83,DATEVALUE("1-"&amp;$J15)&gt;=T$83),"●",""),""))</f>
        <v/>
      </c>
      <c r="U15" s="80" t="str">
        <f>IF(OR($I15="",$J15=""),"",IFERROR(IF(AND(DATEVALUE("1-"&amp;$I15)&lt;=U$83,DATEVALUE("1-"&amp;$J15)&gt;=U$83),"●",""),""))</f>
        <v/>
      </c>
      <c r="V15" s="80" t="str">
        <f>IF(OR($I15="",$J15=""),"",IFERROR(IF(AND(DATEVALUE("1-"&amp;$I15)&lt;=V$83,DATEVALUE("1-"&amp;$J15)&gt;=V$83),"●",""),""))</f>
        <v/>
      </c>
      <c r="W15" s="80" t="str">
        <f>IF(OR($I15="",$J15=""),"",IFERROR(IF(AND(DATEVALUE("1-"&amp;$I15)&lt;=W$83,DATEVALUE("1-"&amp;$J15)&gt;=W$83),"●",""),""))</f>
        <v/>
      </c>
      <c r="X15" s="80" t="str">
        <f>IF(OR($I15="",$J15=""),"",IFERROR(IF(AND(DATEVALUE("1-"&amp;$I15)&lt;=X$83,DATEVALUE("1-"&amp;$J15)&gt;=X$83),"●",""),""))</f>
        <v/>
      </c>
      <c r="Y15" s="80" t="str">
        <f>IF(OR($I15="",$J15=""),"",IFERROR(IF(AND(DATEVALUE("1-"&amp;$I15)&lt;=Y$83,DATEVALUE("1-"&amp;$J15)&gt;=Y$83),"●",""),""))</f>
        <v/>
      </c>
      <c r="Z15" s="80" t="str">
        <f>IF(OR($I15="",$J15=""),"",IFERROR(IF(AND(DATEVALUE("1-"&amp;$I15)&lt;=Z$83,DATEVALUE("1-"&amp;$J15)&gt;=Z$83),"●",""),""))</f>
        <v/>
      </c>
      <c r="AA15" s="80" t="str">
        <f>IF(OR($I15="",$J15=""),"",IFERROR(IF(AND(DATEVALUE("1-"&amp;$I15)&lt;=AA$83,DATEVALUE("1-"&amp;$J15)&gt;=AA$83),"●",""),""))</f>
        <v/>
      </c>
      <c r="AB15" s="80" t="str">
        <f>IF(OR($I15="",$J15=""),"",IFERROR(IF(AND(DATEVALUE("1-"&amp;$I15)&lt;=AB$83,DATEVALUE("1-"&amp;$J15)&gt;=AB$83),"●",""),""))</f>
        <v/>
      </c>
      <c r="AC15" s="80" t="str">
        <f>IF(OR($I15="",$J15=""),"",IFERROR(IF(AND(DATEVALUE("1-"&amp;$I15)&lt;=AC$83,DATEVALUE("1-"&amp;$J15)&gt;=AC$83),"●",""),""))</f>
        <v/>
      </c>
      <c r="AD15" s="80" t="str">
        <f>IF(OR($I15="",$J15=""),"",IFERROR(IF(AND(DATEVALUE("1-"&amp;$I15)&lt;=AD$83,DATEVALUE("1-"&amp;$J15)&gt;=AD$83),"●",""),""))</f>
        <v/>
      </c>
      <c r="AE15" s="80" t="str">
        <f>IF(OR($I15="",$J15=""),"",IFERROR(IF(AND(DATEVALUE("1-"&amp;$I15)&lt;=AE$83,DATEVALUE("1-"&amp;$J15)&gt;=AE$83),"●",""),""))</f>
        <v/>
      </c>
      <c r="AF15" s="80" t="str">
        <f>IF(OR($I15="",$J15=""),"",IFERROR(IF(AND(DATEVALUE("1-"&amp;$I15)&lt;=AF$83,DATEVALUE("1-"&amp;$J15)&gt;=AF$83),"●",""),""))</f>
        <v/>
      </c>
      <c r="AG15" s="80" t="str">
        <f>IF(OR($I15="",$J15=""),"",IFERROR(IF(AND(DATEVALUE("1-"&amp;$I15)&lt;=AG$83,DATEVALUE("1-"&amp;$J15)&gt;=AG$83),"●",""),""))</f>
        <v/>
      </c>
      <c r="AH15" s="80" t="str">
        <f>IF(OR($I15="",$J15=""),"",IFERROR(IF(AND(DATEVALUE("1-"&amp;$I15)&lt;=AH$83,DATEVALUE("1-"&amp;$J15)&gt;=AH$83),"●",""),""))</f>
        <v/>
      </c>
      <c r="AI15" s="80" t="str">
        <f>IF(OR($I15="",$J15=""),"",IFERROR(IF(AND(DATEVALUE("1-"&amp;$I15)&lt;=AI$83,DATEVALUE("1-"&amp;$J15)&gt;=AI$83),"●",""),""))</f>
        <v/>
      </c>
      <c r="AJ15" s="80" t="str">
        <f>IF(OR($I15="",$J15=""),"",IFERROR(IF(AND(DATEVALUE("1-"&amp;$I15)&lt;=AJ$83,DATEVALUE("1-"&amp;$J15)&gt;=AJ$83),"●",""),""))</f>
        <v/>
      </c>
      <c r="AK15" s="80" t="str">
        <f>IF(OR($I15="",$J15=""),"",IFERROR(IF(AND(DATEVALUE("1-"&amp;$I15)&lt;=AK$83,DATEVALUE("1-"&amp;$J15)&gt;=AK$83),"●",""),""))</f>
        <v/>
      </c>
    </row>
    <row r="16" spans="1:40" ht="15" customHeight="1">
      <c r="A16" s="519"/>
      <c r="B16" s="3" t="s">
        <v>2588</v>
      </c>
      <c r="C16" s="3" t="s">
        <v>2577</v>
      </c>
      <c r="D16" s="3" t="s">
        <v>20</v>
      </c>
      <c r="E16" s="3" t="s">
        <v>983</v>
      </c>
      <c r="F16" s="3"/>
      <c r="G16" s="78" t="s">
        <v>2565</v>
      </c>
      <c r="H16" s="3" t="s">
        <v>2579</v>
      </c>
      <c r="I16" s="78" t="s">
        <v>2589</v>
      </c>
      <c r="J16" s="78" t="s">
        <v>2590</v>
      </c>
      <c r="K16" s="80" t="str">
        <f>IF(OR($I16="",$J16=""),"개발 시작전",IFERROR(IF(AND(DATEVALUE("1-"&amp;$I16)&lt;=K$83,DATEVALUE("1-"&amp;$J16)&gt;=K$83),"●",""),"개발 시작전"))</f>
        <v/>
      </c>
      <c r="L16" s="80" t="str">
        <f>IF(OR($I16="",$J16=""),"",IFERROR(IF(AND(DATEVALUE("1-"&amp;$I16)&lt;=L$83,DATEVALUE("1-"&amp;$J16)&gt;=L$83),"●",""),""))</f>
        <v/>
      </c>
      <c r="M16" s="80" t="str">
        <f>IF(OR($I16="",$J16=""),"",IFERROR(IF(AND(DATEVALUE("1-"&amp;$I16)&lt;=M$83,DATEVALUE("1-"&amp;$J16)&gt;=M$83),"●",""),""))</f>
        <v/>
      </c>
      <c r="N16" s="80" t="str">
        <f>IF(OR($I16="",$J16=""),"",IFERROR(IF(AND(DATEVALUE("1-"&amp;$I16)&lt;=N$83,DATEVALUE("1-"&amp;$J16)&gt;=N$83),"●",""),""))</f>
        <v/>
      </c>
      <c r="O16" s="80" t="str">
        <f>IF(OR($I16="",$J16=""),"",IFERROR(IF(AND(DATEVALUE("1-"&amp;$I16)&lt;=O$83,DATEVALUE("1-"&amp;$J16)&gt;=O$83),"●",""),""))</f>
        <v/>
      </c>
      <c r="P16" s="80" t="str">
        <f>IF(OR($I16="",$J16=""),"",IFERROR(IF(AND(DATEVALUE("1-"&amp;$I16)&lt;=P$83,DATEVALUE("1-"&amp;$J16)&gt;=P$83),"●",""),""))</f>
        <v/>
      </c>
      <c r="Q16" s="80" t="str">
        <f>IF(OR($I16="",$J16=""),"",IFERROR(IF(AND(DATEVALUE("1-"&amp;$I16)&lt;=Q$83,DATEVALUE("1-"&amp;$J16)&gt;=Q$83),"●",""),""))</f>
        <v>●</v>
      </c>
      <c r="R16" s="80" t="str">
        <f>IF(OR($I16="",$J16=""),"",IFERROR(IF(AND(DATEVALUE("1-"&amp;$I16)&lt;=R$83,DATEVALUE("1-"&amp;$J16)&gt;=R$83),"●",""),""))</f>
        <v>●</v>
      </c>
      <c r="S16" s="80" t="s">
        <v>2582</v>
      </c>
      <c r="T16" s="80" t="str">
        <f>IF(OR($I16="",$J16=""),"",IFERROR(IF(AND(DATEVALUE("1-"&amp;$I16)&lt;=T$83,DATEVALUE("1-"&amp;$J16)&gt;=T$83),"●",""),""))</f>
        <v/>
      </c>
      <c r="U16" s="80" t="str">
        <f>IF(OR($I16="",$J16=""),"",IFERROR(IF(AND(DATEVALUE("1-"&amp;$I16)&lt;=U$83,DATEVALUE("1-"&amp;$J16)&gt;=U$83),"●",""),""))</f>
        <v/>
      </c>
      <c r="V16" s="80" t="str">
        <f>IF(OR($I16="",$J16=""),"",IFERROR(IF(AND(DATEVALUE("1-"&amp;$I16)&lt;=V$83,DATEVALUE("1-"&amp;$J16)&gt;=V$83),"●",""),""))</f>
        <v/>
      </c>
      <c r="W16" s="80" t="str">
        <f>IF(OR($I16="",$J16=""),"",IFERROR(IF(AND(DATEVALUE("1-"&amp;$I16)&lt;=W$83,DATEVALUE("1-"&amp;$J16)&gt;=W$83),"●",""),""))</f>
        <v/>
      </c>
      <c r="X16" s="80" t="str">
        <f>IF(OR($I16="",$J16=""),"",IFERROR(IF(AND(DATEVALUE("1-"&amp;$I16)&lt;=X$83,DATEVALUE("1-"&amp;$J16)&gt;=X$83),"●",""),""))</f>
        <v/>
      </c>
      <c r="Y16" s="80" t="str">
        <f>IF(OR($I16="",$J16=""),"",IFERROR(IF(AND(DATEVALUE("1-"&amp;$I16)&lt;=Y$83,DATEVALUE("1-"&amp;$J16)&gt;=Y$83),"●",""),""))</f>
        <v/>
      </c>
      <c r="Z16" s="80" t="str">
        <f>IF(OR($I16="",$J16=""),"",IFERROR(IF(AND(DATEVALUE("1-"&amp;$I16)&lt;=Z$83,DATEVALUE("1-"&amp;$J16)&gt;=Z$83),"●",""),""))</f>
        <v/>
      </c>
      <c r="AA16" s="80" t="str">
        <f>IF(OR($I16="",$J16=""),"",IFERROR(IF(AND(DATEVALUE("1-"&amp;$I16)&lt;=AA$83,DATEVALUE("1-"&amp;$J16)&gt;=AA$83),"●",""),""))</f>
        <v/>
      </c>
      <c r="AB16" s="80" t="str">
        <f>IF(OR($I16="",$J16=""),"",IFERROR(IF(AND(DATEVALUE("1-"&amp;$I16)&lt;=AB$83,DATEVALUE("1-"&amp;$J16)&gt;=AB$83),"●",""),""))</f>
        <v/>
      </c>
      <c r="AC16" s="80" t="str">
        <f>IF(OR($I16="",$J16=""),"",IFERROR(IF(AND(DATEVALUE("1-"&amp;$I16)&lt;=AC$83,DATEVALUE("1-"&amp;$J16)&gt;=AC$83),"●",""),""))</f>
        <v/>
      </c>
      <c r="AD16" s="80" t="str">
        <f>IF(OR($I16="",$J16=""),"",IFERROR(IF(AND(DATEVALUE("1-"&amp;$I16)&lt;=AD$83,DATEVALUE("1-"&amp;$J16)&gt;=AD$83),"●",""),""))</f>
        <v/>
      </c>
      <c r="AE16" s="80" t="str">
        <f>IF(OR($I16="",$J16=""),"",IFERROR(IF(AND(DATEVALUE("1-"&amp;$I16)&lt;=AE$83,DATEVALUE("1-"&amp;$J16)&gt;=AE$83),"●",""),""))</f>
        <v/>
      </c>
      <c r="AF16" s="80" t="str">
        <f>IF(OR($I16="",$J16=""),"",IFERROR(IF(AND(DATEVALUE("1-"&amp;$I16)&lt;=AF$83,DATEVALUE("1-"&amp;$J16)&gt;=AF$83),"●",""),""))</f>
        <v/>
      </c>
      <c r="AG16" s="80" t="str">
        <f>IF(OR($I16="",$J16=""),"",IFERROR(IF(AND(DATEVALUE("1-"&amp;$I16)&lt;=AG$83,DATEVALUE("1-"&amp;$J16)&gt;=AG$83),"●",""),""))</f>
        <v/>
      </c>
      <c r="AH16" s="80" t="str">
        <f>IF(OR($I16="",$J16=""),"",IFERROR(IF(AND(DATEVALUE("1-"&amp;$I16)&lt;=AH$83,DATEVALUE("1-"&amp;$J16)&gt;=AH$83),"●",""),""))</f>
        <v/>
      </c>
      <c r="AI16" s="80" t="str">
        <f>IF(OR($I16="",$J16=""),"",IFERROR(IF(AND(DATEVALUE("1-"&amp;$I16)&lt;=AI$83,DATEVALUE("1-"&amp;$J16)&gt;=AI$83),"●",""),""))</f>
        <v/>
      </c>
      <c r="AJ16" s="80" t="str">
        <f>IF(OR($I16="",$J16=""),"",IFERROR(IF(AND(DATEVALUE("1-"&amp;$I16)&lt;=AJ$83,DATEVALUE("1-"&amp;$J16)&gt;=AJ$83),"●",""),""))</f>
        <v/>
      </c>
      <c r="AK16" s="80" t="str">
        <f>IF(OR($I16="",$J16=""),"",IFERROR(IF(AND(DATEVALUE("1-"&amp;$I16)&lt;=AK$83,DATEVALUE("1-"&amp;$J16)&gt;=AK$83),"●",""),""))</f>
        <v/>
      </c>
    </row>
    <row r="17" spans="1:37" ht="15" customHeight="1">
      <c r="A17" s="519"/>
      <c r="B17" s="3" t="s">
        <v>2591</v>
      </c>
      <c r="C17" s="3" t="s">
        <v>2577</v>
      </c>
      <c r="D17" s="3" t="s">
        <v>20</v>
      </c>
      <c r="E17" s="3" t="s">
        <v>2592</v>
      </c>
      <c r="F17" s="3"/>
      <c r="G17" s="78" t="s">
        <v>2565</v>
      </c>
      <c r="H17" s="82" t="s">
        <v>2579</v>
      </c>
      <c r="I17" s="78" t="s">
        <v>2593</v>
      </c>
      <c r="J17" s="78" t="s">
        <v>2594</v>
      </c>
      <c r="K17" s="80" t="str">
        <f>IF(OR($I17="",$J17=""),"개발 시작전",IFERROR(IF(AND(DATEVALUE("1-"&amp;$I17)&lt;=K$83,DATEVALUE("1-"&amp;$J17)&gt;=K$83),"●",""),"개발 시작전"))</f>
        <v/>
      </c>
      <c r="L17" s="80" t="str">
        <f>IF(OR($I17="",$J17=""),"",IFERROR(IF(AND(DATEVALUE("1-"&amp;$I17)&lt;=L$83,DATEVALUE("1-"&amp;$J17)&gt;=L$83),"●",""),""))</f>
        <v/>
      </c>
      <c r="M17" s="80" t="str">
        <f>IF(OR($I17="",$J17=""),"",IFERROR(IF(AND(DATEVALUE("1-"&amp;$I17)&lt;=M$83,DATEVALUE("1-"&amp;$J17)&gt;=M$83),"●",""),""))</f>
        <v/>
      </c>
      <c r="N17" s="80" t="str">
        <f>IF(OR($I17="",$J17=""),"",IFERROR(IF(AND(DATEVALUE("1-"&amp;$I17)&lt;=N$83,DATEVALUE("1-"&amp;$J17)&gt;=N$83),"●",""),""))</f>
        <v>●</v>
      </c>
      <c r="O17" s="80" t="str">
        <f>IF(OR($I17="",$J17=""),"",IFERROR(IF(AND(DATEVALUE("1-"&amp;$I17)&lt;=O$83,DATEVALUE("1-"&amp;$J17)&gt;=O$83),"●",""),""))</f>
        <v>●</v>
      </c>
      <c r="P17" s="80" t="s">
        <v>2582</v>
      </c>
      <c r="Q17" s="80" t="str">
        <f>IF(OR($I17="",$J17=""),"",IFERROR(IF(AND(DATEVALUE("1-"&amp;$I17)&lt;=Q$83,DATEVALUE("1-"&amp;$J17)&gt;=Q$83),"●",""),""))</f>
        <v/>
      </c>
      <c r="R17" s="80" t="str">
        <f>IF(OR($I17="",$J17=""),"",IFERROR(IF(AND(DATEVALUE("1-"&amp;$I17)&lt;=R$83,DATEVALUE("1-"&amp;$J17)&gt;=R$83),"●",""),""))</f>
        <v/>
      </c>
      <c r="S17" s="80" t="str">
        <f>IF(OR($I17="",$J17=""),"",IFERROR(IF(AND(DATEVALUE("1-"&amp;$I17)&lt;=S$83,DATEVALUE("1-"&amp;$J17)&gt;=S$83),"●",""),""))</f>
        <v/>
      </c>
      <c r="T17" s="80" t="str">
        <f>IF(OR($I17="",$J17=""),"",IFERROR(IF(AND(DATEVALUE("1-"&amp;$I17)&lt;=T$83,DATEVALUE("1-"&amp;$J17)&gt;=T$83),"●",""),""))</f>
        <v/>
      </c>
      <c r="U17" s="80" t="str">
        <f>IF(OR($I17="",$J17=""),"",IFERROR(IF(AND(DATEVALUE("1-"&amp;$I17)&lt;=U$83,DATEVALUE("1-"&amp;$J17)&gt;=U$83),"●",""),""))</f>
        <v/>
      </c>
      <c r="V17" s="80" t="str">
        <f>IF(OR($I17="",$J17=""),"",IFERROR(IF(AND(DATEVALUE("1-"&amp;$I17)&lt;=V$83,DATEVALUE("1-"&amp;$J17)&gt;=V$83),"●",""),""))</f>
        <v/>
      </c>
      <c r="W17" s="80" t="str">
        <f>IF(OR($I17="",$J17=""),"",IFERROR(IF(AND(DATEVALUE("1-"&amp;$I17)&lt;=W$83,DATEVALUE("1-"&amp;$J17)&gt;=W$83),"●",""),""))</f>
        <v/>
      </c>
      <c r="X17" s="80" t="str">
        <f>IF(OR($I17="",$J17=""),"",IFERROR(IF(AND(DATEVALUE("1-"&amp;$I17)&lt;=X$83,DATEVALUE("1-"&amp;$J17)&gt;=X$83),"●",""),""))</f>
        <v/>
      </c>
      <c r="Y17" s="80" t="str">
        <f>IF(OR($I17="",$J17=""),"",IFERROR(IF(AND(DATEVALUE("1-"&amp;$I17)&lt;=Y$83,DATEVALUE("1-"&amp;$J17)&gt;=Y$83),"●",""),""))</f>
        <v/>
      </c>
      <c r="Z17" s="80" t="str">
        <f>IF(OR($I17="",$J17=""),"",IFERROR(IF(AND(DATEVALUE("1-"&amp;$I17)&lt;=Z$83,DATEVALUE("1-"&amp;$J17)&gt;=Z$83),"●",""),""))</f>
        <v/>
      </c>
      <c r="AA17" s="80" t="str">
        <f>IF(OR($I17="",$J17=""),"",IFERROR(IF(AND(DATEVALUE("1-"&amp;$I17)&lt;=AA$83,DATEVALUE("1-"&amp;$J17)&gt;=AA$83),"●",""),""))</f>
        <v/>
      </c>
      <c r="AB17" s="80" t="str">
        <f>IF(OR($I17="",$J17=""),"",IFERROR(IF(AND(DATEVALUE("1-"&amp;$I17)&lt;=AB$83,DATEVALUE("1-"&amp;$J17)&gt;=AB$83),"●",""),""))</f>
        <v/>
      </c>
      <c r="AC17" s="80" t="str">
        <f>IF(OR($I17="",$J17=""),"",IFERROR(IF(AND(DATEVALUE("1-"&amp;$I17)&lt;=AC$83,DATEVALUE("1-"&amp;$J17)&gt;=AC$83),"●",""),""))</f>
        <v/>
      </c>
      <c r="AD17" s="80" t="str">
        <f>IF(OR($I17="",$J17=""),"",IFERROR(IF(AND(DATEVALUE("1-"&amp;$I17)&lt;=AD$83,DATEVALUE("1-"&amp;$J17)&gt;=AD$83),"●",""),""))</f>
        <v/>
      </c>
      <c r="AE17" s="80" t="str">
        <f>IF(OR($I17="",$J17=""),"",IFERROR(IF(AND(DATEVALUE("1-"&amp;$I17)&lt;=AE$83,DATEVALUE("1-"&amp;$J17)&gt;=AE$83),"●",""),""))</f>
        <v/>
      </c>
      <c r="AF17" s="80" t="str">
        <f>IF(OR($I17="",$J17=""),"",IFERROR(IF(AND(DATEVALUE("1-"&amp;$I17)&lt;=AF$83,DATEVALUE("1-"&amp;$J17)&gt;=AF$83),"●",""),""))</f>
        <v/>
      </c>
      <c r="AG17" s="80" t="str">
        <f>IF(OR($I17="",$J17=""),"",IFERROR(IF(AND(DATEVALUE("1-"&amp;$I17)&lt;=AG$83,DATEVALUE("1-"&amp;$J17)&gt;=AG$83),"●",""),""))</f>
        <v/>
      </c>
      <c r="AH17" s="80" t="str">
        <f>IF(OR($I17="",$J17=""),"",IFERROR(IF(AND(DATEVALUE("1-"&amp;$I17)&lt;=AH$83,DATEVALUE("1-"&amp;$J17)&gt;=AH$83),"●",""),""))</f>
        <v/>
      </c>
      <c r="AI17" s="80" t="str">
        <f>IF(OR($I17="",$J17=""),"",IFERROR(IF(AND(DATEVALUE("1-"&amp;$I17)&lt;=AI$83,DATEVALUE("1-"&amp;$J17)&gt;=AI$83),"●",""),""))</f>
        <v/>
      </c>
      <c r="AJ17" s="80" t="str">
        <f>IF(OR($I17="",$J17=""),"",IFERROR(IF(AND(DATEVALUE("1-"&amp;$I17)&lt;=AJ$83,DATEVALUE("1-"&amp;$J17)&gt;=AJ$83),"●",""),""))</f>
        <v/>
      </c>
      <c r="AK17" s="80" t="str">
        <f>IF(OR($I17="",$J17=""),"",IFERROR(IF(AND(DATEVALUE("1-"&amp;$I17)&lt;=AK$83,DATEVALUE("1-"&amp;$J17)&gt;=AK$83),"●",""),""))</f>
        <v/>
      </c>
    </row>
    <row r="18" spans="1:37" ht="15" customHeight="1">
      <c r="A18" s="519"/>
      <c r="B18" s="84" t="s">
        <v>731</v>
      </c>
      <c r="C18" s="92" t="s">
        <v>2577</v>
      </c>
      <c r="D18" s="92" t="s">
        <v>20</v>
      </c>
      <c r="E18" s="84" t="s">
        <v>731</v>
      </c>
      <c r="F18" s="84"/>
      <c r="G18" s="78" t="s">
        <v>2565</v>
      </c>
      <c r="H18" s="87" t="s">
        <v>2579</v>
      </c>
      <c r="I18" s="78" t="s">
        <v>2595</v>
      </c>
      <c r="J18" s="78" t="s">
        <v>2596</v>
      </c>
      <c r="K18" s="80" t="str">
        <f>IF(AND($I18&lt;&gt;"",$J18&lt;&gt;""),IF(AND(DATEVALUE("1-"&amp;$I18)&lt;=K$83,DATEVALUE("1-"&amp;$J18)&gt;=K$83),"●",""),"")</f>
        <v/>
      </c>
      <c r="L18" s="80" t="str">
        <f>IF(AND($I18&lt;&gt;"",$J18&lt;&gt;""),IF(AND(DATEVALUE("1-"&amp;$I18)&lt;=L$83,DATEVALUE("1-"&amp;$J18)&gt;=L$83),"●",""),"")</f>
        <v/>
      </c>
      <c r="M18" s="80" t="str">
        <f>IF(AND($I18&lt;&gt;"",$J18&lt;&gt;""),IF(AND(DATEVALUE("1-"&amp;$I18)&lt;=M$83,DATEVALUE("1-"&amp;$J18)&gt;=M$83),"●",""),"")</f>
        <v/>
      </c>
      <c r="N18" s="80" t="str">
        <f>IF(AND($I18&lt;&gt;"",$J18&lt;&gt;""),IF(AND(DATEVALUE("1-"&amp;$I18)&lt;=N$83,DATEVALUE("1-"&amp;$J18)&gt;=N$83),"●",""),"")</f>
        <v/>
      </c>
      <c r="O18" s="80" t="str">
        <f>IF(AND($I18&lt;&gt;"",$J18&lt;&gt;""),IF(AND(DATEVALUE("1-"&amp;$I18)&lt;=O$83,DATEVALUE("1-"&amp;$J18)&gt;=O$83),"●",""),"")</f>
        <v>●</v>
      </c>
      <c r="P18" s="80" t="str">
        <f>IF(AND($I18&lt;&gt;"",$J18&lt;&gt;""),IF(AND(DATEVALUE("1-"&amp;$I18)&lt;=P$83,DATEVALUE("1-"&amp;$J18)&gt;=P$83),"●",""),"")</f>
        <v>●</v>
      </c>
      <c r="Q18" s="80" t="s">
        <v>2582</v>
      </c>
      <c r="R18" s="80" t="str">
        <f>IF(AND($I18&lt;&gt;"",$J18&lt;&gt;""),IF(AND(DATEVALUE("1-"&amp;$I18)&lt;=R$83,DATEVALUE("1-"&amp;$J18)&gt;=R$83),"●",""),"")</f>
        <v/>
      </c>
      <c r="S18" s="80" t="str">
        <f>IF(AND($I18&lt;&gt;"",$J18&lt;&gt;""),IF(AND(DATEVALUE("1-"&amp;$I18)&lt;=S$83,DATEVALUE("1-"&amp;$J18)&gt;=S$83),"●",""),"")</f>
        <v/>
      </c>
      <c r="T18" s="80" t="str">
        <f>IF(AND($I18&lt;&gt;"",$J18&lt;&gt;""),IF(AND(DATEVALUE("1-"&amp;$I18)&lt;=T$83,DATEVALUE("1-"&amp;$J18)&gt;=T$83),"●",""),"")</f>
        <v/>
      </c>
      <c r="U18" s="80" t="str">
        <f>IF(AND($I18&lt;&gt;"",$J18&lt;&gt;""),IF(AND(DATEVALUE("1-"&amp;$I18)&lt;=U$83,DATEVALUE("1-"&amp;$J18)&gt;=U$83),"●",""),"")</f>
        <v/>
      </c>
      <c r="V18" s="80" t="str">
        <f>IF(AND($I18&lt;&gt;"",$J18&lt;&gt;""),IF(AND(DATEVALUE("1-"&amp;$I18)&lt;=V$83,DATEVALUE("1-"&amp;$J18)&gt;=V$83),"●",""),"")</f>
        <v/>
      </c>
      <c r="W18" s="80" t="str">
        <f>IF(AND($I18&lt;&gt;"",$J18&lt;&gt;""),IF(AND(DATEVALUE("1-"&amp;$I18)&lt;=W$83,DATEVALUE("1-"&amp;$J18)&gt;=W$83),"●",""),"")</f>
        <v/>
      </c>
      <c r="X18" s="80" t="str">
        <f>IF(AND($I18&lt;&gt;"",$J18&lt;&gt;""),IF(AND(DATEVALUE("1-"&amp;$I18)&lt;=X$83,DATEVALUE("1-"&amp;$J18)&gt;=X$83),"●",""),"")</f>
        <v/>
      </c>
      <c r="Y18" s="80" t="str">
        <f>IF(AND($I18&lt;&gt;"",$J18&lt;&gt;""),IF(AND(DATEVALUE("1-"&amp;$I18)&lt;=Y$83,DATEVALUE("1-"&amp;$J18)&gt;=Y$83),"●",""),"")</f>
        <v/>
      </c>
      <c r="Z18" s="80" t="str">
        <f>IF(AND($I18&lt;&gt;"",$J18&lt;&gt;""),IF(AND(DATEVALUE("1-"&amp;$I18)&lt;=Z$83,DATEVALUE("1-"&amp;$J18)&gt;=Z$83),"●",""),"")</f>
        <v/>
      </c>
      <c r="AA18" s="80" t="str">
        <f>IF(AND($I18&lt;&gt;"",$J18&lt;&gt;""),IF(AND(DATEVALUE("1-"&amp;$I18)&lt;=AA$83,DATEVALUE("1-"&amp;$J18)&gt;=AA$83),"●",""),"")</f>
        <v/>
      </c>
      <c r="AB18" s="80" t="str">
        <f>IF(AND($I18&lt;&gt;"",$J18&lt;&gt;""),IF(AND(DATEVALUE("1-"&amp;$I18)&lt;=AB$83,DATEVALUE("1-"&amp;$J18)&gt;=AB$83),"●",""),"")</f>
        <v/>
      </c>
      <c r="AC18" s="80" t="str">
        <f>IF(AND($I18&lt;&gt;"",$J18&lt;&gt;""),IF(AND(DATEVALUE("1-"&amp;$I18)&lt;=AC$83,DATEVALUE("1-"&amp;$J18)&gt;=AC$83),"●",""),"")</f>
        <v/>
      </c>
      <c r="AD18" s="80" t="str">
        <f>IF(AND($I18&lt;&gt;"",$J18&lt;&gt;""),IF(AND(DATEVALUE("1-"&amp;$I18)&lt;=AD$83,DATEVALUE("1-"&amp;$J18)&gt;=AD$83),"●",""),"")</f>
        <v/>
      </c>
      <c r="AE18" s="80" t="str">
        <f>IF(AND($I18&lt;&gt;"",$J18&lt;&gt;""),IF(AND(DATEVALUE("1-"&amp;$I18)&lt;=AE$83,DATEVALUE("1-"&amp;$J18)&gt;=AE$83),"●",""),"")</f>
        <v/>
      </c>
      <c r="AF18" s="80" t="str">
        <f>IF(AND($I18&lt;&gt;"",$J18&lt;&gt;""),IF(AND(DATEVALUE("1-"&amp;$I18)&lt;=AF$83,DATEVALUE("1-"&amp;$J18)&gt;=AF$83),"●",""),"")</f>
        <v/>
      </c>
      <c r="AG18" s="80" t="str">
        <f>IF(AND($I18&lt;&gt;"",$J18&lt;&gt;""),IF(AND(DATEVALUE("1-"&amp;$I18)&lt;=AG$83,DATEVALUE("1-"&amp;$J18)&gt;=AG$83),"●",""),"")</f>
        <v/>
      </c>
      <c r="AH18" s="80" t="str">
        <f>IF(AND($I18&lt;&gt;"",$J18&lt;&gt;""),IF(AND(DATEVALUE("1-"&amp;$I18)&lt;=AH$83,DATEVALUE("1-"&amp;$J18)&gt;=AH$83),"●",""),"")</f>
        <v/>
      </c>
      <c r="AI18" s="80" t="str">
        <f>IF(AND($I18&lt;&gt;"",$J18&lt;&gt;""),IF(AND(DATEVALUE("1-"&amp;$I18)&lt;=AI$83,DATEVALUE("1-"&amp;$J18)&gt;=AI$83),"●",""),"")</f>
        <v/>
      </c>
      <c r="AJ18" s="80" t="str">
        <f>IF(AND($I18&lt;&gt;"",$J18&lt;&gt;""),IF(AND(DATEVALUE("1-"&amp;$I18)&lt;=AJ$83,DATEVALUE("1-"&amp;$J18)&gt;=AJ$83),"●",""),"")</f>
        <v/>
      </c>
      <c r="AK18" s="80" t="str">
        <f>IF(AND($I18&lt;&gt;"",$J18&lt;&gt;""),IF(AND(DATEVALUE("1-"&amp;$I18)&lt;=AK$83,DATEVALUE("1-"&amp;$J18)&gt;=AK$83),"●",""),"")</f>
        <v/>
      </c>
    </row>
    <row r="19" spans="1:37" ht="15" customHeight="1">
      <c r="A19" s="519"/>
      <c r="B19" s="84" t="s">
        <v>1481</v>
      </c>
      <c r="C19" s="92" t="s">
        <v>2577</v>
      </c>
      <c r="D19" s="92" t="s">
        <v>20</v>
      </c>
      <c r="E19" s="84" t="s">
        <v>1481</v>
      </c>
      <c r="F19" s="84"/>
      <c r="G19" s="78" t="s">
        <v>2565</v>
      </c>
      <c r="H19" s="3" t="s">
        <v>2579</v>
      </c>
      <c r="I19" s="78" t="s">
        <v>2556</v>
      </c>
      <c r="J19" s="78" t="s">
        <v>2597</v>
      </c>
      <c r="K19" s="80" t="str">
        <f>IF(AND($I19&lt;&gt;"",$J19&lt;&gt;""),IF(AND(DATEVALUE("1-"&amp;$I19)&lt;=K$83,DATEVALUE("1-"&amp;$J19)&gt;=K$83),"●",""),"")</f>
        <v/>
      </c>
      <c r="L19" s="80" t="str">
        <f>IF(AND($I19&lt;&gt;"",$J19&lt;&gt;""),IF(AND(DATEVALUE("1-"&amp;$I19)&lt;=L$83,DATEVALUE("1-"&amp;$J19)&gt;=L$83),"●",""),"")</f>
        <v/>
      </c>
      <c r="M19" s="80" t="str">
        <f>IF(AND($I19&lt;&gt;"",$J19&lt;&gt;""),IF(AND(DATEVALUE("1-"&amp;$I19)&lt;=M$83,DATEVALUE("1-"&amp;$J19)&gt;=M$83),"●",""),"")</f>
        <v/>
      </c>
      <c r="N19" s="80" t="str">
        <f>IF(AND($I19&lt;&gt;"",$J19&lt;&gt;""),IF(AND(DATEVALUE("1-"&amp;$I19)&lt;=N$83,DATEVALUE("1-"&amp;$J19)&gt;=N$83),"●",""),"")</f>
        <v/>
      </c>
      <c r="O19" s="80" t="str">
        <f>IF(AND($I19&lt;&gt;"",$J19&lt;&gt;""),IF(AND(DATEVALUE("1-"&amp;$I19)&lt;=O$83,DATEVALUE("1-"&amp;$J19)&gt;=O$83),"●",""),"")</f>
        <v/>
      </c>
      <c r="P19" s="80" t="str">
        <f>IF(AND($I19&lt;&gt;"",$J19&lt;&gt;""),IF(AND(DATEVALUE("1-"&amp;$I19)&lt;=P$83,DATEVALUE("1-"&amp;$J19)&gt;=P$83),"●",""),"")</f>
        <v>●</v>
      </c>
      <c r="Q19" s="80" t="str">
        <f>IF(AND($I19&lt;&gt;"",$J19&lt;&gt;""),IF(AND(DATEVALUE("1-"&amp;$I19)&lt;=Q$83,DATEVALUE("1-"&amp;$J19)&gt;=Q$83),"●",""),"")</f>
        <v>●</v>
      </c>
      <c r="R19" s="80" t="s">
        <v>2582</v>
      </c>
      <c r="S19" s="80" t="str">
        <f>IF(AND($I19&lt;&gt;"",$J19&lt;&gt;""),IF(AND(DATEVALUE("1-"&amp;$I19)&lt;=S$83,DATEVALUE("1-"&amp;$J19)&gt;=S$83),"●",""),"")</f>
        <v/>
      </c>
      <c r="T19" s="80" t="str">
        <f>IF(AND($I19&lt;&gt;"",$J19&lt;&gt;""),IF(AND(DATEVALUE("1-"&amp;$I19)&lt;=T$83,DATEVALUE("1-"&amp;$J19)&gt;=T$83),"●",""),"")</f>
        <v/>
      </c>
      <c r="U19" s="80" t="str">
        <f>IF(AND($I19&lt;&gt;"",$J19&lt;&gt;""),IF(AND(DATEVALUE("1-"&amp;$I19)&lt;=U$83,DATEVALUE("1-"&amp;$J19)&gt;=U$83),"●",""),"")</f>
        <v/>
      </c>
      <c r="V19" s="80" t="str">
        <f>IF(AND($I19&lt;&gt;"",$J19&lt;&gt;""),IF(AND(DATEVALUE("1-"&amp;$I19)&lt;=V$83,DATEVALUE("1-"&amp;$J19)&gt;=V$83),"●",""),"")</f>
        <v/>
      </c>
      <c r="W19" s="80" t="str">
        <f>IF(AND($I19&lt;&gt;"",$J19&lt;&gt;""),IF(AND(DATEVALUE("1-"&amp;$I19)&lt;=W$83,DATEVALUE("1-"&amp;$J19)&gt;=W$83),"●",""),"")</f>
        <v/>
      </c>
      <c r="X19" s="80" t="str">
        <f>IF(AND($I19&lt;&gt;"",$J19&lt;&gt;""),IF(AND(DATEVALUE("1-"&amp;$I19)&lt;=X$83,DATEVALUE("1-"&amp;$J19)&gt;=X$83),"●",""),"")</f>
        <v/>
      </c>
      <c r="Y19" s="80" t="str">
        <f>IF(AND($I19&lt;&gt;"",$J19&lt;&gt;""),IF(AND(DATEVALUE("1-"&amp;$I19)&lt;=Y$83,DATEVALUE("1-"&amp;$J19)&gt;=Y$83),"●",""),"")</f>
        <v/>
      </c>
      <c r="Z19" s="80" t="str">
        <f>IF(AND($I19&lt;&gt;"",$J19&lt;&gt;""),IF(AND(DATEVALUE("1-"&amp;$I19)&lt;=Z$83,DATEVALUE("1-"&amp;$J19)&gt;=Z$83),"●",""),"")</f>
        <v/>
      </c>
      <c r="AA19" s="80" t="str">
        <f>IF(AND($I19&lt;&gt;"",$J19&lt;&gt;""),IF(AND(DATEVALUE("1-"&amp;$I19)&lt;=AA$83,DATEVALUE("1-"&amp;$J19)&gt;=AA$83),"●",""),"")</f>
        <v/>
      </c>
      <c r="AB19" s="80" t="str">
        <f>IF(AND($I19&lt;&gt;"",$J19&lt;&gt;""),IF(AND(DATEVALUE("1-"&amp;$I19)&lt;=AB$83,DATEVALUE("1-"&amp;$J19)&gt;=AB$83),"●",""),"")</f>
        <v/>
      </c>
      <c r="AC19" s="80" t="str">
        <f>IF(AND($I19&lt;&gt;"",$J19&lt;&gt;""),IF(AND(DATEVALUE("1-"&amp;$I19)&lt;=AC$83,DATEVALUE("1-"&amp;$J19)&gt;=AC$83),"●",""),"")</f>
        <v/>
      </c>
      <c r="AD19" s="80" t="str">
        <f>IF(AND($I19&lt;&gt;"",$J19&lt;&gt;""),IF(AND(DATEVALUE("1-"&amp;$I19)&lt;=AD$83,DATEVALUE("1-"&amp;$J19)&gt;=AD$83),"●",""),"")</f>
        <v/>
      </c>
      <c r="AE19" s="80" t="str">
        <f>IF(AND($I19&lt;&gt;"",$J19&lt;&gt;""),IF(AND(DATEVALUE("1-"&amp;$I19)&lt;=AE$83,DATEVALUE("1-"&amp;$J19)&gt;=AE$83),"●",""),"")</f>
        <v/>
      </c>
      <c r="AF19" s="80" t="str">
        <f>IF(AND($I19&lt;&gt;"",$J19&lt;&gt;""),IF(AND(DATEVALUE("1-"&amp;$I19)&lt;=AF$83,DATEVALUE("1-"&amp;$J19)&gt;=AF$83),"●",""),"")</f>
        <v/>
      </c>
      <c r="AG19" s="80" t="str">
        <f>IF(AND($I19&lt;&gt;"",$J19&lt;&gt;""),IF(AND(DATEVALUE("1-"&amp;$I19)&lt;=AG$83,DATEVALUE("1-"&amp;$J19)&gt;=AG$83),"●",""),"")</f>
        <v/>
      </c>
      <c r="AH19" s="80" t="str">
        <f>IF(AND($I19&lt;&gt;"",$J19&lt;&gt;""),IF(AND(DATEVALUE("1-"&amp;$I19)&lt;=AH$83,DATEVALUE("1-"&amp;$J19)&gt;=AH$83),"●",""),"")</f>
        <v/>
      </c>
      <c r="AI19" s="80" t="str">
        <f>IF(AND($I19&lt;&gt;"",$J19&lt;&gt;""),IF(AND(DATEVALUE("1-"&amp;$I19)&lt;=AI$83,DATEVALUE("1-"&amp;$J19)&gt;=AI$83),"●",""),"")</f>
        <v/>
      </c>
      <c r="AJ19" s="80" t="str">
        <f>IF(AND($I19&lt;&gt;"",$J19&lt;&gt;""),IF(AND(DATEVALUE("1-"&amp;$I19)&lt;=AJ$83,DATEVALUE("1-"&amp;$J19)&gt;=AJ$83),"●",""),"")</f>
        <v/>
      </c>
      <c r="AK19" s="80" t="str">
        <f>IF(AND($I19&lt;&gt;"",$J19&lt;&gt;""),IF(AND(DATEVALUE("1-"&amp;$I19)&lt;=AK$83,DATEVALUE("1-"&amp;$J19)&gt;=AK$83),"●",""),"")</f>
        <v/>
      </c>
    </row>
    <row r="20" spans="1:37" ht="15" customHeight="1">
      <c r="A20" s="519"/>
      <c r="B20" s="230" t="s">
        <v>2598</v>
      </c>
      <c r="C20" s="3" t="s">
        <v>2577</v>
      </c>
      <c r="D20" s="3" t="s">
        <v>2599</v>
      </c>
      <c r="E20" s="3" t="s">
        <v>2543</v>
      </c>
      <c r="F20" s="3"/>
      <c r="G20" s="78" t="s">
        <v>2544</v>
      </c>
      <c r="H20" s="87" t="s">
        <v>2600</v>
      </c>
      <c r="I20" s="83" t="s">
        <v>2581</v>
      </c>
      <c r="J20" s="88" t="s">
        <v>2601</v>
      </c>
      <c r="K20" s="80" t="str">
        <f>IF(OR($I20="",$J20=""),"개발 시작전",IFERROR(IF(AND(DATEVALUE("1-"&amp;$I20)&lt;=K$83,DATEVALUE("1-"&amp;$J20)&gt;=K$83),"●",""),"개발 시작전"))</f>
        <v/>
      </c>
      <c r="L20" s="80" t="str">
        <f>IF(OR($I20="",$J20=""),"",IFERROR(IF(AND(DATEVALUE("1-"&amp;$I20)&lt;=L$83,DATEVALUE("1-"&amp;$J20)&gt;=L$83),"●",""),""))</f>
        <v>●</v>
      </c>
      <c r="M20" s="80" t="str">
        <f>IF(OR($I20="",$J20=""),"",IFERROR(IF(AND(DATEVALUE("1-"&amp;$I20)&lt;=M$83,DATEVALUE("1-"&amp;$J20)&gt;=M$83),"●",""),""))</f>
        <v>●</v>
      </c>
      <c r="N20" s="80" t="str">
        <f>IF(OR($I20="",$J20=""),"",IFERROR(IF(AND(DATEVALUE("1-"&amp;$I20)&lt;=N$83,DATEVALUE("1-"&amp;$J20)&gt;=N$83),"●",""),""))</f>
        <v>●</v>
      </c>
      <c r="O20" s="80" t="str">
        <f>IF(OR($I20="",$J20=""),"",IFERROR(IF(AND(DATEVALUE("1-"&amp;$I20)&lt;=O$83,DATEVALUE("1-"&amp;$J20)&gt;=O$83),"●",""),""))</f>
        <v>●</v>
      </c>
      <c r="P20" s="80" t="str">
        <f>IF(OR($I20="",$J20=""),"",IFERROR(IF(AND(DATEVALUE("1-"&amp;$I20)&lt;=P$83,DATEVALUE("1-"&amp;$J20)&gt;=P$83),"●",""),""))</f>
        <v>●</v>
      </c>
      <c r="Q20" s="80" t="str">
        <f>IF(OR($I20="",$J20=""),"",IFERROR(IF(AND(DATEVALUE("1-"&amp;$I20)&lt;=Q$83,DATEVALUE("1-"&amp;$J20)&gt;=Q$83),"●",""),""))</f>
        <v>●</v>
      </c>
      <c r="R20" s="80" t="str">
        <f>IF(OR($I20="",$J20=""),"",IFERROR(IF(AND(DATEVALUE("1-"&amp;$I20)&lt;=R$83,DATEVALUE("1-"&amp;$J20)&gt;=R$83),"●",""),""))</f>
        <v>●</v>
      </c>
      <c r="S20" s="80" t="str">
        <f>IF(OR($I20="",$J20=""),"",IFERROR(IF(AND(DATEVALUE("1-"&amp;$I20)&lt;=S$83,DATEVALUE("1-"&amp;$J20)&gt;=S$83),"●",""),""))</f>
        <v>●</v>
      </c>
      <c r="T20" s="80" t="str">
        <f>IF(OR($I20="",$J20=""),"",IFERROR(IF(AND(DATEVALUE("1-"&amp;$I20)&lt;=T$83,DATEVALUE("1-"&amp;$J20)&gt;=T$83),"●",""),""))</f>
        <v>●</v>
      </c>
      <c r="U20" s="80" t="str">
        <f>IF(OR($I20="",$J20=""),"",IFERROR(IF(AND(DATEVALUE("1-"&amp;$I20)&lt;=U$83,DATEVALUE("1-"&amp;$J20)&gt;=U$83),"●",""),""))</f>
        <v>●</v>
      </c>
      <c r="V20" s="80" t="str">
        <f>IF(OR($I20="",$J20=""),"",IFERROR(IF(AND(DATEVALUE("1-"&amp;$I20)&lt;=V$83,DATEVALUE("1-"&amp;$J20)&gt;=V$83),"●",""),""))</f>
        <v/>
      </c>
      <c r="W20" s="80" t="str">
        <f>IF(OR($I20="",$J20=""),"",IFERROR(IF(AND(DATEVALUE("1-"&amp;$I20)&lt;=W$83,DATEVALUE("1-"&amp;$J20)&gt;=W$83),"●",""),""))</f>
        <v/>
      </c>
      <c r="X20" s="80" t="str">
        <f>IF(OR($I20="",$J20=""),"",IFERROR(IF(AND(DATEVALUE("1-"&amp;$I20)&lt;=X$83,DATEVALUE("1-"&amp;$J20)&gt;=X$83),"●",""),""))</f>
        <v/>
      </c>
      <c r="Y20" s="80" t="str">
        <f>IF(OR($I20="",$J20=""),"",IFERROR(IF(AND(DATEVALUE("1-"&amp;$I20)&lt;=Y$83,DATEVALUE("1-"&amp;$J20)&gt;=Y$83),"●",""),""))</f>
        <v/>
      </c>
      <c r="Z20" s="80" t="str">
        <f>IF(OR($I20="",$J20=""),"",IFERROR(IF(AND(DATEVALUE("1-"&amp;$I20)&lt;=Z$83,DATEVALUE("1-"&amp;$J20)&gt;=Z$83),"●",""),""))</f>
        <v/>
      </c>
      <c r="AA20" s="80" t="str">
        <f>IF(OR($I20="",$J20=""),"",IFERROR(IF(AND(DATEVALUE("1-"&amp;$I20)&lt;=AA$83,DATEVALUE("1-"&amp;$J20)&gt;=AA$83),"●",""),""))</f>
        <v/>
      </c>
      <c r="AB20" s="80" t="str">
        <f>IF(OR($I20="",$J20=""),"",IFERROR(IF(AND(DATEVALUE("1-"&amp;$I20)&lt;=AB$83,DATEVALUE("1-"&amp;$J20)&gt;=AB$83),"●",""),""))</f>
        <v/>
      </c>
      <c r="AC20" s="80" t="str">
        <f>IF(OR($I20="",$J20=""),"",IFERROR(IF(AND(DATEVALUE("1-"&amp;$I20)&lt;=AC$83,DATEVALUE("1-"&amp;$J20)&gt;=AC$83),"●",""),""))</f>
        <v/>
      </c>
      <c r="AD20" s="80" t="str">
        <f>IF(OR($I20="",$J20=""),"",IFERROR(IF(AND(DATEVALUE("1-"&amp;$I20)&lt;=AD$83,DATEVALUE("1-"&amp;$J20)&gt;=AD$83),"●",""),""))</f>
        <v/>
      </c>
      <c r="AE20" s="80" t="str">
        <f>IF(OR($I20="",$J20=""),"",IFERROR(IF(AND(DATEVALUE("1-"&amp;$I20)&lt;=AE$83,DATEVALUE("1-"&amp;$J20)&gt;=AE$83),"●",""),""))</f>
        <v/>
      </c>
      <c r="AF20" s="80" t="str">
        <f>IF(OR($I20="",$J20=""),"",IFERROR(IF(AND(DATEVALUE("1-"&amp;$I20)&lt;=AF$83,DATEVALUE("1-"&amp;$J20)&gt;=AF$83),"●",""),""))</f>
        <v/>
      </c>
      <c r="AG20" s="80" t="str">
        <f>IF(OR($I20="",$J20=""),"",IFERROR(IF(AND(DATEVALUE("1-"&amp;$I20)&lt;=AG$83,DATEVALUE("1-"&amp;$J20)&gt;=AG$83),"●",""),""))</f>
        <v/>
      </c>
      <c r="AH20" s="80" t="str">
        <f>IF(OR($I20="",$J20=""),"",IFERROR(IF(AND(DATEVALUE("1-"&amp;$I20)&lt;=AH$83,DATEVALUE("1-"&amp;$J20)&gt;=AH$83),"●",""),""))</f>
        <v/>
      </c>
      <c r="AI20" s="80" t="str">
        <f>IF(OR($I20="",$J20=""),"",IFERROR(IF(AND(DATEVALUE("1-"&amp;$I20)&lt;=AI$83,DATEVALUE("1-"&amp;$J20)&gt;=AI$83),"●",""),""))</f>
        <v/>
      </c>
      <c r="AJ20" s="80" t="str">
        <f>IF(OR($I20="",$J20=""),"",IFERROR(IF(AND(DATEVALUE("1-"&amp;$I20)&lt;=AJ$83,DATEVALUE("1-"&amp;$J20)&gt;=AJ$83),"●",""),""))</f>
        <v/>
      </c>
      <c r="AK20" s="80" t="str">
        <f>IF(OR($I20="",$J20=""),"",IFERROR(IF(AND(DATEVALUE("1-"&amp;$I20)&lt;=AK$83,DATEVALUE("1-"&amp;$J20)&gt;=AK$83),"●",""),""))</f>
        <v/>
      </c>
    </row>
    <row r="21" spans="1:37" ht="15" customHeight="1">
      <c r="A21" s="519"/>
      <c r="B21" s="3" t="s">
        <v>2602</v>
      </c>
      <c r="C21" s="3" t="s">
        <v>2577</v>
      </c>
      <c r="D21" s="132" t="s">
        <v>2603</v>
      </c>
      <c r="E21" s="3" t="s">
        <v>2543</v>
      </c>
      <c r="F21" s="3"/>
      <c r="G21" s="78" t="s">
        <v>2544</v>
      </c>
      <c r="H21" s="3" t="s">
        <v>2555</v>
      </c>
      <c r="I21" s="89" t="s">
        <v>2594</v>
      </c>
      <c r="J21" s="89" t="s">
        <v>2604</v>
      </c>
      <c r="K21" s="80" t="str">
        <f>IF(OR($I21="",$J21=""),"개발 시작전",IFERROR(IF(AND(DATEVALUE("1-"&amp;$I21)&lt;=K$83,DATEVALUE("1-"&amp;$J21)&gt;=K$83),"●",""),"개발 시작전"))</f>
        <v/>
      </c>
      <c r="L21" s="80" t="str">
        <f>IF(OR($I21="",$J21=""),"",IFERROR(IF(AND(DATEVALUE("1-"&amp;$I21)&lt;=L$83,DATEVALUE("1-"&amp;$J21)&gt;=L$83),"●",""),""))</f>
        <v/>
      </c>
      <c r="M21" s="80" t="str">
        <f>IF(OR($I21="",$J21=""),"",IFERROR(IF(AND(DATEVALUE("1-"&amp;$I21)&lt;=M$83,DATEVALUE("1-"&amp;$J21)&gt;=M$83),"●",""),""))</f>
        <v/>
      </c>
      <c r="N21" s="80" t="str">
        <f>IF(OR($I21="",$J21=""),"",IFERROR(IF(AND(DATEVALUE("1-"&amp;$I21)&lt;=N$83,DATEVALUE("1-"&amp;$J21)&gt;=N$83),"●",""),""))</f>
        <v/>
      </c>
      <c r="O21" s="80" t="str">
        <f>IF(OR($I21="",$J21=""),"",IFERROR(IF(AND(DATEVALUE("1-"&amp;$I21)&lt;=O$83,DATEVALUE("1-"&amp;$J21)&gt;=O$83),"●",""),""))</f>
        <v>●</v>
      </c>
      <c r="P21" s="80" t="str">
        <f>IF(OR($I21="",$J21=""),"",IFERROR(IF(AND(DATEVALUE("1-"&amp;$I21)&lt;=P$83,DATEVALUE("1-"&amp;$J21)&gt;=P$83),"●",""),""))</f>
        <v>●</v>
      </c>
      <c r="Q21" s="80" t="str">
        <f>IF(OR($I21="",$J21=""),"",IFERROR(IF(AND(DATEVALUE("1-"&amp;$I21)&lt;=Q$83,DATEVALUE("1-"&amp;$J21)&gt;=Q$83),"●",""),""))</f>
        <v>●</v>
      </c>
      <c r="R21" s="80" t="str">
        <f>IF(OR($I21="",$J21=""),"",IFERROR(IF(AND(DATEVALUE("1-"&amp;$I21)&lt;=R$83,DATEVALUE("1-"&amp;$J21)&gt;=R$83),"●",""),""))</f>
        <v>●</v>
      </c>
      <c r="S21" s="80" t="str">
        <f>IF(OR($I21="",$J21=""),"",IFERROR(IF(AND(DATEVALUE("1-"&amp;$I21)&lt;=S$83,DATEVALUE("1-"&amp;$J21)&gt;=S$83),"●",""),""))</f>
        <v>●</v>
      </c>
      <c r="T21" s="80" t="str">
        <f>IF(OR($I21="",$J21=""),"",IFERROR(IF(AND(DATEVALUE("1-"&amp;$I21)&lt;=T$83,DATEVALUE("1-"&amp;$J21)&gt;=T$83),"●",""),""))</f>
        <v>●</v>
      </c>
      <c r="U21" s="80" t="str">
        <f>IF(OR($I21="",$J21=""),"",IFERROR(IF(AND(DATEVALUE("1-"&amp;$I21)&lt;=U$83,DATEVALUE("1-"&amp;$J21)&gt;=U$83),"●",""),""))</f>
        <v>●</v>
      </c>
      <c r="V21" s="80" t="str">
        <f>IF(OR($I21="",$J21=""),"",IFERROR(IF(AND(DATEVALUE("1-"&amp;$I21)&lt;=V$83,DATEVALUE("1-"&amp;$J21)&gt;=V$83),"●",""),""))</f>
        <v/>
      </c>
      <c r="W21" s="80" t="str">
        <f>IF(OR($I21="",$J21=""),"",IFERROR(IF(AND(DATEVALUE("1-"&amp;$I21)&lt;=W$83,DATEVALUE("1-"&amp;$J21)&gt;=W$83),"●",""),""))</f>
        <v/>
      </c>
      <c r="X21" s="80" t="str">
        <f>IF(OR($I21="",$J21=""),"",IFERROR(IF(AND(DATEVALUE("1-"&amp;$I21)&lt;=X$83,DATEVALUE("1-"&amp;$J21)&gt;=X$83),"●",""),""))</f>
        <v/>
      </c>
      <c r="Y21" s="80" t="str">
        <f>IF(OR($I21="",$J21=""),"",IFERROR(IF(AND(DATEVALUE("1-"&amp;$I21)&lt;=Y$83,DATEVALUE("1-"&amp;$J21)&gt;=Y$83),"●",""),""))</f>
        <v/>
      </c>
      <c r="Z21" s="80" t="str">
        <f>IF(OR($I21="",$J21=""),"",IFERROR(IF(AND(DATEVALUE("1-"&amp;$I21)&lt;=Z$83,DATEVALUE("1-"&amp;$J21)&gt;=Z$83),"●",""),""))</f>
        <v/>
      </c>
      <c r="AA21" s="80" t="str">
        <f>IF(OR($I21="",$J21=""),"",IFERROR(IF(AND(DATEVALUE("1-"&amp;$I21)&lt;=AA$83,DATEVALUE("1-"&amp;$J21)&gt;=AA$83),"●",""),""))</f>
        <v/>
      </c>
      <c r="AB21" s="80" t="str">
        <f>IF(OR($I21="",$J21=""),"",IFERROR(IF(AND(DATEVALUE("1-"&amp;$I21)&lt;=AB$83,DATEVALUE("1-"&amp;$J21)&gt;=AB$83),"●",""),""))</f>
        <v/>
      </c>
      <c r="AC21" s="80" t="str">
        <f>IF(OR($I21="",$J21=""),"",IFERROR(IF(AND(DATEVALUE("1-"&amp;$I21)&lt;=AC$83,DATEVALUE("1-"&amp;$J21)&gt;=AC$83),"●",""),""))</f>
        <v/>
      </c>
      <c r="AD21" s="80" t="str">
        <f>IF(OR($I21="",$J21=""),"",IFERROR(IF(AND(DATEVALUE("1-"&amp;$I21)&lt;=AD$83,DATEVALUE("1-"&amp;$J21)&gt;=AD$83),"●",""),""))</f>
        <v/>
      </c>
      <c r="AE21" s="80" t="str">
        <f>IF(OR($I21="",$J21=""),"",IFERROR(IF(AND(DATEVALUE("1-"&amp;$I21)&lt;=AE$83,DATEVALUE("1-"&amp;$J21)&gt;=AE$83),"●",""),""))</f>
        <v/>
      </c>
      <c r="AF21" s="80" t="str">
        <f>IF(OR($I21="",$J21=""),"",IFERROR(IF(AND(DATEVALUE("1-"&amp;$I21)&lt;=AF$83,DATEVALUE("1-"&amp;$J21)&gt;=AF$83),"●",""),""))</f>
        <v/>
      </c>
      <c r="AG21" s="80" t="str">
        <f>IF(OR($I21="",$J21=""),"",IFERROR(IF(AND(DATEVALUE("1-"&amp;$I21)&lt;=AG$83,DATEVALUE("1-"&amp;$J21)&gt;=AG$83),"●",""),""))</f>
        <v/>
      </c>
      <c r="AH21" s="80" t="str">
        <f>IF(OR($I21="",$J21=""),"",IFERROR(IF(AND(DATEVALUE("1-"&amp;$I21)&lt;=AH$83,DATEVALUE("1-"&amp;$J21)&gt;=AH$83),"●",""),""))</f>
        <v/>
      </c>
      <c r="AI21" s="80" t="str">
        <f>IF(OR($I21="",$J21=""),"",IFERROR(IF(AND(DATEVALUE("1-"&amp;$I21)&lt;=AI$83,DATEVALUE("1-"&amp;$J21)&gt;=AI$83),"●",""),""))</f>
        <v/>
      </c>
      <c r="AJ21" s="80" t="str">
        <f>IF(OR($I21="",$J21=""),"",IFERROR(IF(AND(DATEVALUE("1-"&amp;$I21)&lt;=AJ$83,DATEVALUE("1-"&amp;$J21)&gt;=AJ$83),"●",""),""))</f>
        <v/>
      </c>
      <c r="AK21" s="80" t="str">
        <f>IF(OR($I21="",$J21=""),"",IFERROR(IF(AND(DATEVALUE("1-"&amp;$I21)&lt;=AK$83,DATEVALUE("1-"&amp;$J21)&gt;=AK$83),"●",""),""))</f>
        <v/>
      </c>
    </row>
    <row r="22" spans="1:37" ht="15" customHeight="1">
      <c r="A22" s="519"/>
      <c r="B22" s="3" t="s">
        <v>2605</v>
      </c>
      <c r="C22" s="3" t="s">
        <v>2577</v>
      </c>
      <c r="D22" s="133" t="s">
        <v>2606</v>
      </c>
      <c r="E22" s="3" t="s">
        <v>2543</v>
      </c>
      <c r="F22" s="3"/>
      <c r="G22" s="78" t="s">
        <v>2544</v>
      </c>
      <c r="H22" s="3" t="s">
        <v>2545</v>
      </c>
      <c r="I22" s="89" t="s">
        <v>2601</v>
      </c>
      <c r="J22" s="89" t="s">
        <v>2607</v>
      </c>
      <c r="K22" s="80" t="str">
        <f>IF(OR($I22="",$J22=""),"개발 시작전",IFERROR(IF(AND(DATEVALUE("1-"&amp;$I22)&lt;=K$83,DATEVALUE("1-"&amp;$J22)&gt;=K$83),"●",""),"개발 시작전"))</f>
        <v/>
      </c>
      <c r="L22" s="80" t="str">
        <f>IF(OR($I22="",$J22=""),"",IFERROR(IF(AND(DATEVALUE("1-"&amp;$I22)&lt;=L$83,DATEVALUE("1-"&amp;$J22)&gt;=L$83),"●",""),""))</f>
        <v/>
      </c>
      <c r="M22" s="80" t="str">
        <f>IF(OR($I22="",$J22=""),"",IFERROR(IF(AND(DATEVALUE("1-"&amp;$I22)&lt;=M$83,DATEVALUE("1-"&amp;$J22)&gt;=M$83),"●",""),""))</f>
        <v/>
      </c>
      <c r="N22" s="80" t="str">
        <f>IF(OR($I22="",$J22=""),"",IFERROR(IF(AND(DATEVALUE("1-"&amp;$I22)&lt;=N$83,DATEVALUE("1-"&amp;$J22)&gt;=N$83),"●",""),""))</f>
        <v/>
      </c>
      <c r="O22" s="80" t="str">
        <f>IF(OR($I22="",$J22=""),"",IFERROR(IF(AND(DATEVALUE("1-"&amp;$I22)&lt;=O$83,DATEVALUE("1-"&amp;$J22)&gt;=O$83),"●",""),""))</f>
        <v/>
      </c>
      <c r="P22" s="80" t="str">
        <f>IF(OR($I22="",$J22=""),"",IFERROR(IF(AND(DATEVALUE("1-"&amp;$I22)&lt;=P$83,DATEVALUE("1-"&amp;$J22)&gt;=P$83),"●",""),""))</f>
        <v/>
      </c>
      <c r="Q22" s="80" t="str">
        <f>IF(OR($I22="",$J22=""),"",IFERROR(IF(AND(DATEVALUE("1-"&amp;$I22)&lt;=Q$83,DATEVALUE("1-"&amp;$J22)&gt;=Q$83),"●",""),""))</f>
        <v/>
      </c>
      <c r="R22" s="80" t="str">
        <f>IF(OR($I22="",$J22=""),"",IFERROR(IF(AND(DATEVALUE("1-"&amp;$I22)&lt;=R$83,DATEVALUE("1-"&amp;$J22)&gt;=R$83),"●",""),""))</f>
        <v/>
      </c>
      <c r="S22" s="80" t="str">
        <f>IF(OR($I22="",$J22=""),"",IFERROR(IF(AND(DATEVALUE("1-"&amp;$I22)&lt;=S$83,DATEVALUE("1-"&amp;$J22)&gt;=S$83),"●",""),""))</f>
        <v/>
      </c>
      <c r="T22" s="80" t="str">
        <f>IF(OR($I22="",$J22=""),"",IFERROR(IF(AND(DATEVALUE("1-"&amp;$I22)&lt;=T$83,DATEVALUE("1-"&amp;$J22)&gt;=T$83),"●",""),""))</f>
        <v/>
      </c>
      <c r="U22" s="80" t="str">
        <f>IF(OR($I22="",$J22=""),"",IFERROR(IF(AND(DATEVALUE("1-"&amp;$I22)&lt;=U$83,DATEVALUE("1-"&amp;$J22)&gt;=U$83),"●",""),""))</f>
        <v>●</v>
      </c>
      <c r="V22" s="80" t="str">
        <f>IF(OR($I22="",$J22=""),"",IFERROR(IF(AND(DATEVALUE("1-"&amp;$I22)&lt;=V$83,DATEVALUE("1-"&amp;$J22)&gt;=V$83),"●",""),""))</f>
        <v>●</v>
      </c>
      <c r="W22" s="80" t="str">
        <f>IF(OR($I22="",$J22=""),"",IFERROR(IF(AND(DATEVALUE("1-"&amp;$I22)&lt;=W$83,DATEVALUE("1-"&amp;$J22)&gt;=W$83),"●",""),""))</f>
        <v>●</v>
      </c>
      <c r="X22" s="80" t="str">
        <f>IF(OR($I22="",$J22=""),"",IFERROR(IF(AND(DATEVALUE("1-"&amp;$I22)&lt;=X$83,DATEVALUE("1-"&amp;$J22)&gt;=X$83),"●",""),""))</f>
        <v>●</v>
      </c>
      <c r="Y22" s="80" t="str">
        <f>IF(OR($I22="",$J22=""),"",IFERROR(IF(AND(DATEVALUE("1-"&amp;$I22)&lt;=Y$83,DATEVALUE("1-"&amp;$J22)&gt;=Y$83),"●",""),""))</f>
        <v/>
      </c>
      <c r="Z22" s="80" t="str">
        <f>IF(OR($I22="",$J22=""),"",IFERROR(IF(AND(DATEVALUE("1-"&amp;$I22)&lt;=Z$83,DATEVALUE("1-"&amp;$J22)&gt;=Z$83),"●",""),""))</f>
        <v/>
      </c>
      <c r="AA22" s="80" t="str">
        <f>IF(OR($I22="",$J22=""),"",IFERROR(IF(AND(DATEVALUE("1-"&amp;$I22)&lt;=AA$83,DATEVALUE("1-"&amp;$J22)&gt;=AA$83),"●",""),""))</f>
        <v/>
      </c>
      <c r="AB22" s="80" t="str">
        <f>IF(OR($I22="",$J22=""),"",IFERROR(IF(AND(DATEVALUE("1-"&amp;$I22)&lt;=AB$83,DATEVALUE("1-"&amp;$J22)&gt;=AB$83),"●",""),""))</f>
        <v/>
      </c>
      <c r="AC22" s="80" t="str">
        <f>IF(OR($I22="",$J22=""),"",IFERROR(IF(AND(DATEVALUE("1-"&amp;$I22)&lt;=AC$83,DATEVALUE("1-"&amp;$J22)&gt;=AC$83),"●",""),""))</f>
        <v/>
      </c>
      <c r="AD22" s="80" t="str">
        <f>IF(OR($I22="",$J22=""),"",IFERROR(IF(AND(DATEVALUE("1-"&amp;$I22)&lt;=AD$83,DATEVALUE("1-"&amp;$J22)&gt;=AD$83),"●",""),""))</f>
        <v/>
      </c>
      <c r="AE22" s="80" t="str">
        <f>IF(OR($I22="",$J22=""),"",IFERROR(IF(AND(DATEVALUE("1-"&amp;$I22)&lt;=AE$83,DATEVALUE("1-"&amp;$J22)&gt;=AE$83),"●",""),""))</f>
        <v/>
      </c>
      <c r="AF22" s="80" t="str">
        <f>IF(OR($I22="",$J22=""),"",IFERROR(IF(AND(DATEVALUE("1-"&amp;$I22)&lt;=AF$83,DATEVALUE("1-"&amp;$J22)&gt;=AF$83),"●",""),""))</f>
        <v/>
      </c>
      <c r="AG22" s="80" t="str">
        <f>IF(OR($I22="",$J22=""),"",IFERROR(IF(AND(DATEVALUE("1-"&amp;$I22)&lt;=AG$83,DATEVALUE("1-"&amp;$J22)&gt;=AG$83),"●",""),""))</f>
        <v/>
      </c>
      <c r="AH22" s="80" t="str">
        <f>IF(OR($I22="",$J22=""),"",IFERROR(IF(AND(DATEVALUE("1-"&amp;$I22)&lt;=AH$83,DATEVALUE("1-"&amp;$J22)&gt;=AH$83),"●",""),""))</f>
        <v/>
      </c>
      <c r="AI22" s="80" t="str">
        <f>IF(OR($I22="",$J22=""),"",IFERROR(IF(AND(DATEVALUE("1-"&amp;$I22)&lt;=AI$83,DATEVALUE("1-"&amp;$J22)&gt;=AI$83),"●",""),""))</f>
        <v/>
      </c>
      <c r="AJ22" s="80" t="str">
        <f>IF(OR($I22="",$J22=""),"",IFERROR(IF(AND(DATEVALUE("1-"&amp;$I22)&lt;=AJ$83,DATEVALUE("1-"&amp;$J22)&gt;=AJ$83),"●",""),""))</f>
        <v/>
      </c>
      <c r="AK22" s="80" t="str">
        <f>IF(OR($I22="",$J22=""),"",IFERROR(IF(AND(DATEVALUE("1-"&amp;$I22)&lt;=AK$83,DATEVALUE("1-"&amp;$J22)&gt;=AK$83),"●",""),""))</f>
        <v/>
      </c>
    </row>
    <row r="23" spans="1:37" ht="15" customHeight="1">
      <c r="A23" s="519"/>
      <c r="B23" s="81" t="s">
        <v>2608</v>
      </c>
      <c r="C23" s="3" t="s">
        <v>2577</v>
      </c>
      <c r="D23" s="3" t="s">
        <v>2609</v>
      </c>
      <c r="E23" s="3" t="s">
        <v>2543</v>
      </c>
      <c r="F23" s="3"/>
      <c r="G23" s="78" t="s">
        <v>2544</v>
      </c>
      <c r="H23" s="3" t="s">
        <v>2560</v>
      </c>
      <c r="I23" s="89" t="s">
        <v>2594</v>
      </c>
      <c r="J23" s="89" t="s">
        <v>2546</v>
      </c>
      <c r="K23" s="80" t="str">
        <f>IF(OR($I23="",$J23=""),"개발 시작전",IFERROR(IF(AND(DATEVALUE("1-"&amp;$I23)&lt;=K$83,DATEVALUE("1-"&amp;$J23)&gt;=K$83),"●",""),"개발 시작전"))</f>
        <v/>
      </c>
      <c r="L23" s="80" t="str">
        <f>IF(OR($I23="",$J23=""),"",IFERROR(IF(AND(DATEVALUE("1-"&amp;$I23)&lt;=L$83,DATEVALUE("1-"&amp;$J23)&gt;=L$83),"●",""),""))</f>
        <v/>
      </c>
      <c r="M23" s="80" t="str">
        <f>IF(OR($I23="",$J23=""),"",IFERROR(IF(AND(DATEVALUE("1-"&amp;$I23)&lt;=M$83,DATEVALUE("1-"&amp;$J23)&gt;=M$83),"●",""),""))</f>
        <v/>
      </c>
      <c r="N23" s="80" t="str">
        <f>IF(OR($I23="",$J23=""),"",IFERROR(IF(AND(DATEVALUE("1-"&amp;$I23)&lt;=N$83,DATEVALUE("1-"&amp;$J23)&gt;=N$83),"●",""),""))</f>
        <v/>
      </c>
      <c r="O23" s="80" t="str">
        <f>IF(OR($I23="",$J23=""),"",IFERROR(IF(AND(DATEVALUE("1-"&amp;$I23)&lt;=O$83,DATEVALUE("1-"&amp;$J23)&gt;=O$83),"●",""),""))</f>
        <v>●</v>
      </c>
      <c r="P23" s="80" t="str">
        <f>IF(OR($I23="",$J23=""),"",IFERROR(IF(AND(DATEVALUE("1-"&amp;$I23)&lt;=P$83,DATEVALUE("1-"&amp;$J23)&gt;=P$83),"●",""),""))</f>
        <v>●</v>
      </c>
      <c r="Q23" s="80" t="str">
        <f>IF(OR($I23="",$J23=""),"",IFERROR(IF(AND(DATEVALUE("1-"&amp;$I23)&lt;=Q$83,DATEVALUE("1-"&amp;$J23)&gt;=Q$83),"●",""),""))</f>
        <v>●</v>
      </c>
      <c r="R23" s="80" t="str">
        <f>IF(OR($I23="",$J23=""),"",IFERROR(IF(AND(DATEVALUE("1-"&amp;$I23)&lt;=R$83,DATEVALUE("1-"&amp;$J23)&gt;=R$83),"●",""),""))</f>
        <v>●</v>
      </c>
      <c r="S23" s="80" t="str">
        <f>IF(OR($I23="",$J23=""),"",IFERROR(IF(AND(DATEVALUE("1-"&amp;$I23)&lt;=S$83,DATEVALUE("1-"&amp;$J23)&gt;=S$83),"●",""),""))</f>
        <v>●</v>
      </c>
      <c r="T23" s="80" t="str">
        <f>IF(OR($I23="",$J23=""),"",IFERROR(IF(AND(DATEVALUE("1-"&amp;$I23)&lt;=T$83,DATEVALUE("1-"&amp;$J23)&gt;=T$83),"●",""),""))</f>
        <v>●</v>
      </c>
      <c r="U23" s="80" t="str">
        <f>IF(OR($I23="",$J23=""),"",IFERROR(IF(AND(DATEVALUE("1-"&amp;$I23)&lt;=U$83,DATEVALUE("1-"&amp;$J23)&gt;=U$83),"●",""),""))</f>
        <v/>
      </c>
      <c r="V23" s="80" t="str">
        <f>IF(OR($I23="",$J23=""),"",IFERROR(IF(AND(DATEVALUE("1-"&amp;$I23)&lt;=V$83,DATEVALUE("1-"&amp;$J23)&gt;=V$83),"●",""),""))</f>
        <v/>
      </c>
      <c r="W23" s="80" t="str">
        <f>IF(OR($I23="",$J23=""),"",IFERROR(IF(AND(DATEVALUE("1-"&amp;$I23)&lt;=W$83,DATEVALUE("1-"&amp;$J23)&gt;=W$83),"●",""),""))</f>
        <v/>
      </c>
      <c r="X23" s="80" t="str">
        <f>IF(OR($I23="",$J23=""),"",IFERROR(IF(AND(DATEVALUE("1-"&amp;$I23)&lt;=X$83,DATEVALUE("1-"&amp;$J23)&gt;=X$83),"●",""),""))</f>
        <v/>
      </c>
      <c r="Y23" s="80" t="str">
        <f>IF(OR($I23="",$J23=""),"",IFERROR(IF(AND(DATEVALUE("1-"&amp;$I23)&lt;=Y$83,DATEVALUE("1-"&amp;$J23)&gt;=Y$83),"●",""),""))</f>
        <v/>
      </c>
      <c r="Z23" s="80" t="str">
        <f>IF(OR($I23="",$J23=""),"",IFERROR(IF(AND(DATEVALUE("1-"&amp;$I23)&lt;=Z$83,DATEVALUE("1-"&amp;$J23)&gt;=Z$83),"●",""),""))</f>
        <v/>
      </c>
      <c r="AA23" s="80" t="str">
        <f>IF(OR($I23="",$J23=""),"",IFERROR(IF(AND(DATEVALUE("1-"&amp;$I23)&lt;=AA$83,DATEVALUE("1-"&amp;$J23)&gt;=AA$83),"●",""),""))</f>
        <v/>
      </c>
      <c r="AB23" s="80" t="str">
        <f>IF(OR($I23="",$J23=""),"",IFERROR(IF(AND(DATEVALUE("1-"&amp;$I23)&lt;=AB$83,DATEVALUE("1-"&amp;$J23)&gt;=AB$83),"●",""),""))</f>
        <v/>
      </c>
      <c r="AC23" s="80" t="str">
        <f>IF(OR($I23="",$J23=""),"",IFERROR(IF(AND(DATEVALUE("1-"&amp;$I23)&lt;=AC$83,DATEVALUE("1-"&amp;$J23)&gt;=AC$83),"●",""),""))</f>
        <v/>
      </c>
      <c r="AD23" s="80" t="str">
        <f>IF(OR($I23="",$J23=""),"",IFERROR(IF(AND(DATEVALUE("1-"&amp;$I23)&lt;=AD$83,DATEVALUE("1-"&amp;$J23)&gt;=AD$83),"●",""),""))</f>
        <v/>
      </c>
      <c r="AE23" s="80" t="str">
        <f>IF(OR($I23="",$J23=""),"",IFERROR(IF(AND(DATEVALUE("1-"&amp;$I23)&lt;=AE$83,DATEVALUE("1-"&amp;$J23)&gt;=AE$83),"●",""),""))</f>
        <v/>
      </c>
      <c r="AF23" s="80" t="str">
        <f>IF(OR($I23="",$J23=""),"",IFERROR(IF(AND(DATEVALUE("1-"&amp;$I23)&lt;=AF$83,DATEVALUE("1-"&amp;$J23)&gt;=AF$83),"●",""),""))</f>
        <v/>
      </c>
      <c r="AG23" s="80" t="str">
        <f>IF(OR($I23="",$J23=""),"",IFERROR(IF(AND(DATEVALUE("1-"&amp;$I23)&lt;=AG$83,DATEVALUE("1-"&amp;$J23)&gt;=AG$83),"●",""),""))</f>
        <v/>
      </c>
      <c r="AH23" s="80" t="str">
        <f>IF(OR($I23="",$J23=""),"",IFERROR(IF(AND(DATEVALUE("1-"&amp;$I23)&lt;=AH$83,DATEVALUE("1-"&amp;$J23)&gt;=AH$83),"●",""),""))</f>
        <v/>
      </c>
      <c r="AI23" s="80" t="str">
        <f>IF(OR($I23="",$J23=""),"",IFERROR(IF(AND(DATEVALUE("1-"&amp;$I23)&lt;=AI$83,DATEVALUE("1-"&amp;$J23)&gt;=AI$83),"●",""),""))</f>
        <v/>
      </c>
      <c r="AJ23" s="80" t="str">
        <f>IF(OR($I23="",$J23=""),"",IFERROR(IF(AND(DATEVALUE("1-"&amp;$I23)&lt;=AJ$83,DATEVALUE("1-"&amp;$J23)&gt;=AJ$83),"●",""),""))</f>
        <v/>
      </c>
      <c r="AK23" s="80" t="str">
        <f>IF(OR($I23="",$J23=""),"",IFERROR(IF(AND(DATEVALUE("1-"&amp;$I23)&lt;=AK$83,DATEVALUE("1-"&amp;$J23)&gt;=AK$83),"●",""),""))</f>
        <v/>
      </c>
    </row>
    <row r="24" spans="1:37" ht="15" customHeight="1">
      <c r="A24" s="519"/>
      <c r="B24" s="3" t="s">
        <v>2610</v>
      </c>
      <c r="C24" s="3" t="s">
        <v>2577</v>
      </c>
      <c r="D24" s="3" t="s">
        <v>22</v>
      </c>
      <c r="E24" s="3" t="s">
        <v>2543</v>
      </c>
      <c r="F24" s="3"/>
      <c r="G24" s="78" t="s">
        <v>2544</v>
      </c>
      <c r="H24" s="3" t="s">
        <v>2560</v>
      </c>
      <c r="I24" s="89" t="s">
        <v>2601</v>
      </c>
      <c r="J24" s="89" t="s">
        <v>2611</v>
      </c>
      <c r="K24" s="80" t="str">
        <f>IF(OR($I24="",$J24=""),"개발 시작전",IFERROR(IF(AND(DATEVALUE("1-"&amp;$I24)&lt;=K$83,DATEVALUE("1-"&amp;$J24)&gt;=K$83),"●",""),"개발 시작전"))</f>
        <v/>
      </c>
      <c r="L24" s="80" t="str">
        <f>IF(OR($I24="",$J24=""),"",IFERROR(IF(AND(DATEVALUE("1-"&amp;$I24)&lt;=L$83,DATEVALUE("1-"&amp;$J24)&gt;=L$83),"●",""),""))</f>
        <v/>
      </c>
      <c r="M24" s="80" t="str">
        <f>IF(OR($I24="",$J24=""),"",IFERROR(IF(AND(DATEVALUE("1-"&amp;$I24)&lt;=M$83,DATEVALUE("1-"&amp;$J24)&gt;=M$83),"●",""),""))</f>
        <v/>
      </c>
      <c r="N24" s="80" t="str">
        <f>IF(OR($I24="",$J24=""),"",IFERROR(IF(AND(DATEVALUE("1-"&amp;$I24)&lt;=N$83,DATEVALUE("1-"&amp;$J24)&gt;=N$83),"●",""),""))</f>
        <v/>
      </c>
      <c r="O24" s="80" t="str">
        <f>IF(OR($I24="",$J24=""),"",IFERROR(IF(AND(DATEVALUE("1-"&amp;$I24)&lt;=O$83,DATEVALUE("1-"&amp;$J24)&gt;=O$83),"●",""),""))</f>
        <v/>
      </c>
      <c r="P24" s="80" t="str">
        <f>IF(OR($I24="",$J24=""),"",IFERROR(IF(AND(DATEVALUE("1-"&amp;$I24)&lt;=P$83,DATEVALUE("1-"&amp;$J24)&gt;=P$83),"●",""),""))</f>
        <v/>
      </c>
      <c r="Q24" s="80" t="str">
        <f>IF(OR($I24="",$J24=""),"",IFERROR(IF(AND(DATEVALUE("1-"&amp;$I24)&lt;=Q$83,DATEVALUE("1-"&amp;$J24)&gt;=Q$83),"●",""),""))</f>
        <v/>
      </c>
      <c r="R24" s="80" t="str">
        <f>IF(OR($I24="",$J24=""),"",IFERROR(IF(AND(DATEVALUE("1-"&amp;$I24)&lt;=R$83,DATEVALUE("1-"&amp;$J24)&gt;=R$83),"●",""),""))</f>
        <v/>
      </c>
      <c r="S24" s="80" t="str">
        <f>IF(OR($I24="",$J24=""),"",IFERROR(IF(AND(DATEVALUE("1-"&amp;$I24)&lt;=S$83,DATEVALUE("1-"&amp;$J24)&gt;=S$83),"●",""),""))</f>
        <v/>
      </c>
      <c r="T24" s="80" t="str">
        <f>IF(OR($I24="",$J24=""),"",IFERROR(IF(AND(DATEVALUE("1-"&amp;$I24)&lt;=T$83,DATEVALUE("1-"&amp;$J24)&gt;=T$83),"●",""),""))</f>
        <v/>
      </c>
      <c r="U24" s="80" t="str">
        <f>IF(OR($I24="",$J24=""),"",IFERROR(IF(AND(DATEVALUE("1-"&amp;$I24)&lt;=U$83,DATEVALUE("1-"&amp;$J24)&gt;=U$83),"●",""),""))</f>
        <v>●</v>
      </c>
      <c r="V24" s="80" t="str">
        <f>IF(OR($I24="",$J24=""),"",IFERROR(IF(AND(DATEVALUE("1-"&amp;$I24)&lt;=V$83,DATEVALUE("1-"&amp;$J24)&gt;=V$83),"●",""),""))</f>
        <v>●</v>
      </c>
      <c r="W24" s="80" t="str">
        <f>IF(OR($I24="",$J24=""),"",IFERROR(IF(AND(DATEVALUE("1-"&amp;$I24)&lt;=W$83,DATEVALUE("1-"&amp;$J24)&gt;=W$83),"●",""),""))</f>
        <v>●</v>
      </c>
      <c r="X24" s="80" t="str">
        <f>IF(OR($I24="",$J24=""),"",IFERROR(IF(AND(DATEVALUE("1-"&amp;$I24)&lt;=X$83,DATEVALUE("1-"&amp;$J24)&gt;=X$83),"●",""),""))</f>
        <v/>
      </c>
      <c r="Y24" s="80" t="str">
        <f>IF(OR($I24="",$J24=""),"",IFERROR(IF(AND(DATEVALUE("1-"&amp;$I24)&lt;=Y$83,DATEVALUE("1-"&amp;$J24)&gt;=Y$83),"●",""),""))</f>
        <v/>
      </c>
      <c r="Z24" s="80" t="str">
        <f>IF(OR($I24="",$J24=""),"",IFERROR(IF(AND(DATEVALUE("1-"&amp;$I24)&lt;=Z$83,DATEVALUE("1-"&amp;$J24)&gt;=Z$83),"●",""),""))</f>
        <v/>
      </c>
      <c r="AA24" s="80" t="str">
        <f>IF(OR($I24="",$J24=""),"",IFERROR(IF(AND(DATEVALUE("1-"&amp;$I24)&lt;=AA$83,DATEVALUE("1-"&amp;$J24)&gt;=AA$83),"●",""),""))</f>
        <v/>
      </c>
      <c r="AB24" s="80" t="str">
        <f>IF(OR($I24="",$J24=""),"",IFERROR(IF(AND(DATEVALUE("1-"&amp;$I24)&lt;=AB$83,DATEVALUE("1-"&amp;$J24)&gt;=AB$83),"●",""),""))</f>
        <v/>
      </c>
      <c r="AC24" s="80" t="str">
        <f>IF(OR($I24="",$J24=""),"",IFERROR(IF(AND(DATEVALUE("1-"&amp;$I24)&lt;=AC$83,DATEVALUE("1-"&amp;$J24)&gt;=AC$83),"●",""),""))</f>
        <v/>
      </c>
      <c r="AD24" s="80" t="str">
        <f>IF(OR($I24="",$J24=""),"",IFERROR(IF(AND(DATEVALUE("1-"&amp;$I24)&lt;=AD$83,DATEVALUE("1-"&amp;$J24)&gt;=AD$83),"●",""),""))</f>
        <v/>
      </c>
      <c r="AE24" s="80" t="str">
        <f>IF(OR($I24="",$J24=""),"",IFERROR(IF(AND(DATEVALUE("1-"&amp;$I24)&lt;=AE$83,DATEVALUE("1-"&amp;$J24)&gt;=AE$83),"●",""),""))</f>
        <v/>
      </c>
      <c r="AF24" s="80" t="str">
        <f>IF(OR($I24="",$J24=""),"",IFERROR(IF(AND(DATEVALUE("1-"&amp;$I24)&lt;=AF$83,DATEVALUE("1-"&amp;$J24)&gt;=AF$83),"●",""),""))</f>
        <v/>
      </c>
      <c r="AG24" s="80" t="str">
        <f>IF(OR($I24="",$J24=""),"",IFERROR(IF(AND(DATEVALUE("1-"&amp;$I24)&lt;=AG$83,DATEVALUE("1-"&amp;$J24)&gt;=AG$83),"●",""),""))</f>
        <v/>
      </c>
      <c r="AH24" s="80" t="str">
        <f>IF(OR($I24="",$J24=""),"",IFERROR(IF(AND(DATEVALUE("1-"&amp;$I24)&lt;=AH$83,DATEVALUE("1-"&amp;$J24)&gt;=AH$83),"●",""),""))</f>
        <v/>
      </c>
      <c r="AI24" s="80" t="str">
        <f>IF(OR($I24="",$J24=""),"",IFERROR(IF(AND(DATEVALUE("1-"&amp;$I24)&lt;=AI$83,DATEVALUE("1-"&amp;$J24)&gt;=AI$83),"●",""),""))</f>
        <v/>
      </c>
      <c r="AJ24" s="80" t="str">
        <f>IF(OR($I24="",$J24=""),"",IFERROR(IF(AND(DATEVALUE("1-"&amp;$I24)&lt;=AJ$83,DATEVALUE("1-"&amp;$J24)&gt;=AJ$83),"●",""),""))</f>
        <v/>
      </c>
      <c r="AK24" s="80" t="str">
        <f>IF(OR($I24="",$J24=""),"",IFERROR(IF(AND(DATEVALUE("1-"&amp;$I24)&lt;=AK$83,DATEVALUE("1-"&amp;$J24)&gt;=AK$83),"●",""),""))</f>
        <v/>
      </c>
    </row>
    <row r="25" spans="1:37" ht="15" customHeight="1">
      <c r="A25" s="519"/>
      <c r="B25" s="3" t="s">
        <v>2102</v>
      </c>
      <c r="C25" s="3" t="s">
        <v>2577</v>
      </c>
      <c r="D25" s="3" t="s">
        <v>22</v>
      </c>
      <c r="E25" s="3" t="s">
        <v>2612</v>
      </c>
      <c r="F25" s="3"/>
      <c r="G25" s="78" t="s">
        <v>2565</v>
      </c>
      <c r="H25" s="3" t="s">
        <v>2560</v>
      </c>
      <c r="I25" s="89" t="s">
        <v>2601</v>
      </c>
      <c r="J25" s="89" t="s">
        <v>2611</v>
      </c>
      <c r="K25" s="80"/>
      <c r="L25" s="80"/>
      <c r="M25" s="80"/>
      <c r="N25" s="80"/>
      <c r="O25" s="80"/>
      <c r="P25" s="80"/>
      <c r="Q25" s="80"/>
      <c r="R25" s="80"/>
      <c r="S25" s="80"/>
      <c r="T25" s="80"/>
      <c r="U25" s="80"/>
      <c r="V25" s="80"/>
      <c r="W25" s="80"/>
      <c r="X25" s="80"/>
      <c r="Y25" s="80"/>
      <c r="Z25" s="80"/>
      <c r="AA25" s="80"/>
      <c r="AB25" s="80"/>
      <c r="AC25" s="80"/>
      <c r="AD25" s="80"/>
      <c r="AE25" s="80"/>
      <c r="AF25" s="80"/>
      <c r="AG25" s="80"/>
      <c r="AH25" s="80"/>
      <c r="AI25" s="80"/>
      <c r="AJ25" s="80"/>
      <c r="AK25" s="80"/>
    </row>
    <row r="26" spans="1:37" ht="15" customHeight="1">
      <c r="A26" s="519"/>
      <c r="B26" s="3" t="s">
        <v>2613</v>
      </c>
      <c r="C26" s="3" t="s">
        <v>2577</v>
      </c>
      <c r="D26" s="3" t="s">
        <v>22</v>
      </c>
      <c r="E26" s="3" t="s">
        <v>2613</v>
      </c>
      <c r="F26" s="3"/>
      <c r="G26" s="78" t="s">
        <v>2614</v>
      </c>
      <c r="H26" s="3" t="s">
        <v>2560</v>
      </c>
      <c r="I26" s="89" t="s">
        <v>2601</v>
      </c>
      <c r="J26" s="89" t="s">
        <v>2611</v>
      </c>
      <c r="K26" s="80"/>
      <c r="L26" s="80"/>
      <c r="M26" s="80"/>
      <c r="N26" s="80"/>
      <c r="O26" s="80"/>
      <c r="P26" s="80"/>
      <c r="Q26" s="80"/>
      <c r="R26" s="80"/>
      <c r="S26" s="80"/>
      <c r="T26" s="80"/>
      <c r="U26" s="80"/>
      <c r="V26" s="80"/>
      <c r="W26" s="80"/>
      <c r="X26" s="80"/>
      <c r="Y26" s="80"/>
      <c r="Z26" s="80"/>
      <c r="AA26" s="80"/>
      <c r="AB26" s="80"/>
      <c r="AC26" s="80"/>
      <c r="AD26" s="80"/>
      <c r="AE26" s="80"/>
      <c r="AF26" s="80"/>
      <c r="AG26" s="80"/>
      <c r="AH26" s="80"/>
      <c r="AI26" s="80"/>
      <c r="AJ26" s="80"/>
      <c r="AK26" s="80"/>
    </row>
    <row r="27" spans="1:37" ht="15" customHeight="1">
      <c r="A27" s="519"/>
      <c r="B27" s="3" t="s">
        <v>2217</v>
      </c>
      <c r="C27" s="3" t="s">
        <v>2577</v>
      </c>
      <c r="D27" s="3" t="s">
        <v>22</v>
      </c>
      <c r="E27" s="3" t="s">
        <v>2612</v>
      </c>
      <c r="F27" s="3"/>
      <c r="G27" s="78" t="s">
        <v>2615</v>
      </c>
      <c r="H27" s="3" t="s">
        <v>2560</v>
      </c>
      <c r="I27" s="89" t="s">
        <v>2601</v>
      </c>
      <c r="J27" s="89" t="s">
        <v>2616</v>
      </c>
      <c r="K27" s="80"/>
      <c r="L27" s="80"/>
      <c r="M27" s="80"/>
      <c r="N27" s="80"/>
      <c r="O27" s="80"/>
      <c r="P27" s="80"/>
      <c r="Q27" s="80"/>
      <c r="R27" s="80"/>
      <c r="S27" s="80"/>
      <c r="T27" s="80"/>
      <c r="U27" s="80"/>
      <c r="V27" s="80"/>
      <c r="W27" s="80"/>
      <c r="X27" s="80"/>
      <c r="Y27" s="80"/>
      <c r="Z27" s="80"/>
      <c r="AA27" s="80"/>
      <c r="AB27" s="80"/>
      <c r="AC27" s="80"/>
      <c r="AD27" s="80"/>
      <c r="AE27" s="80"/>
      <c r="AF27" s="80"/>
      <c r="AG27" s="80"/>
      <c r="AH27" s="80"/>
      <c r="AI27" s="80"/>
      <c r="AJ27" s="80"/>
      <c r="AK27" s="80"/>
    </row>
    <row r="28" spans="1:37" ht="15" customHeight="1">
      <c r="A28" s="519"/>
      <c r="B28" s="3" t="s">
        <v>2617</v>
      </c>
      <c r="C28" s="3" t="s">
        <v>2577</v>
      </c>
      <c r="D28" s="3" t="s">
        <v>22</v>
      </c>
      <c r="E28" s="3" t="s">
        <v>2612</v>
      </c>
      <c r="F28" s="3"/>
      <c r="G28" s="78" t="s">
        <v>2618</v>
      </c>
      <c r="H28" s="3" t="s">
        <v>2560</v>
      </c>
      <c r="I28" s="89" t="s">
        <v>2601</v>
      </c>
      <c r="J28" s="89" t="s">
        <v>2616</v>
      </c>
      <c r="K28" s="80"/>
      <c r="L28" s="80"/>
      <c r="M28" s="80"/>
      <c r="N28" s="80"/>
      <c r="O28" s="80"/>
      <c r="P28" s="80"/>
      <c r="Q28" s="80"/>
      <c r="R28" s="80"/>
      <c r="S28" s="80"/>
      <c r="T28" s="80"/>
      <c r="U28" s="80"/>
      <c r="V28" s="80"/>
      <c r="W28" s="80"/>
      <c r="X28" s="80"/>
      <c r="Y28" s="80"/>
      <c r="Z28" s="80"/>
      <c r="AA28" s="80"/>
      <c r="AB28" s="80"/>
      <c r="AC28" s="80"/>
      <c r="AD28" s="80"/>
      <c r="AE28" s="80"/>
      <c r="AF28" s="80"/>
      <c r="AG28" s="80"/>
      <c r="AH28" s="80"/>
      <c r="AI28" s="80"/>
      <c r="AJ28" s="80"/>
      <c r="AK28" s="80"/>
    </row>
    <row r="29" spans="1:37" ht="15" customHeight="1">
      <c r="A29" s="519"/>
      <c r="B29" s="3" t="s">
        <v>2619</v>
      </c>
      <c r="C29" s="3" t="s">
        <v>2577</v>
      </c>
      <c r="D29" s="3" t="s">
        <v>22</v>
      </c>
      <c r="E29" s="3" t="s">
        <v>2612</v>
      </c>
      <c r="F29" s="3"/>
      <c r="G29" s="78" t="s">
        <v>2620</v>
      </c>
      <c r="H29" s="3" t="s">
        <v>2560</v>
      </c>
      <c r="I29" s="89" t="s">
        <v>2601</v>
      </c>
      <c r="J29" s="89" t="s">
        <v>2616</v>
      </c>
      <c r="K29" s="80"/>
      <c r="L29" s="80"/>
      <c r="M29" s="80"/>
      <c r="N29" s="80"/>
      <c r="O29" s="80"/>
      <c r="P29" s="80"/>
      <c r="Q29" s="80"/>
      <c r="R29" s="80"/>
      <c r="S29" s="80"/>
      <c r="T29" s="80"/>
      <c r="U29" s="80"/>
      <c r="V29" s="80"/>
      <c r="W29" s="80"/>
      <c r="X29" s="80"/>
      <c r="Y29" s="80"/>
      <c r="Z29" s="80"/>
      <c r="AA29" s="80"/>
      <c r="AB29" s="80"/>
      <c r="AC29" s="80"/>
      <c r="AD29" s="80"/>
      <c r="AE29" s="80"/>
      <c r="AF29" s="80"/>
      <c r="AG29" s="80"/>
      <c r="AH29" s="80"/>
      <c r="AI29" s="80"/>
      <c r="AJ29" s="80"/>
      <c r="AK29" s="80"/>
    </row>
    <row r="30" spans="1:37" ht="15" customHeight="1">
      <c r="A30" s="519"/>
      <c r="B30" s="3" t="s">
        <v>2621</v>
      </c>
      <c r="C30" s="3" t="s">
        <v>2577</v>
      </c>
      <c r="D30" s="3" t="s">
        <v>22</v>
      </c>
      <c r="E30" s="3" t="s">
        <v>2612</v>
      </c>
      <c r="F30" s="3"/>
      <c r="G30" s="78" t="s">
        <v>2622</v>
      </c>
      <c r="H30" s="3" t="s">
        <v>2560</v>
      </c>
      <c r="I30" s="89" t="s">
        <v>2601</v>
      </c>
      <c r="J30" s="89" t="s">
        <v>2616</v>
      </c>
      <c r="K30" s="80"/>
      <c r="L30" s="80"/>
      <c r="M30" s="80"/>
      <c r="N30" s="80"/>
      <c r="O30" s="80"/>
      <c r="P30" s="80"/>
      <c r="Q30" s="80"/>
      <c r="R30" s="80"/>
      <c r="S30" s="80"/>
      <c r="T30" s="80"/>
      <c r="U30" s="80"/>
      <c r="V30" s="80"/>
      <c r="W30" s="80"/>
      <c r="X30" s="80"/>
      <c r="Y30" s="80"/>
      <c r="Z30" s="80"/>
      <c r="AA30" s="80"/>
      <c r="AB30" s="80"/>
      <c r="AC30" s="80"/>
      <c r="AD30" s="80"/>
      <c r="AE30" s="80"/>
      <c r="AF30" s="80"/>
      <c r="AG30" s="80"/>
      <c r="AH30" s="80"/>
      <c r="AI30" s="80"/>
      <c r="AJ30" s="80"/>
      <c r="AK30" s="80"/>
    </row>
    <row r="31" spans="1:37" ht="15" customHeight="1">
      <c r="A31" s="519"/>
      <c r="B31" s="3" t="s">
        <v>1050</v>
      </c>
      <c r="C31" s="3" t="s">
        <v>2577</v>
      </c>
      <c r="D31" s="3" t="s">
        <v>22</v>
      </c>
      <c r="E31" s="3" t="s">
        <v>2612</v>
      </c>
      <c r="F31" s="3" t="s">
        <v>2623</v>
      </c>
      <c r="G31" s="78" t="s">
        <v>2624</v>
      </c>
      <c r="H31" s="3" t="s">
        <v>2560</v>
      </c>
      <c r="I31" s="89" t="s">
        <v>2601</v>
      </c>
      <c r="J31" s="89" t="s">
        <v>2616</v>
      </c>
      <c r="K31" s="80"/>
      <c r="L31" s="80"/>
      <c r="M31" s="80"/>
      <c r="N31" s="80"/>
      <c r="O31" s="80"/>
      <c r="P31" s="80"/>
      <c r="Q31" s="80"/>
      <c r="R31" s="80"/>
      <c r="S31" s="80"/>
      <c r="T31" s="80"/>
      <c r="U31" s="80"/>
      <c r="V31" s="80"/>
      <c r="W31" s="80"/>
      <c r="X31" s="80"/>
      <c r="Y31" s="80"/>
      <c r="Z31" s="80"/>
      <c r="AA31" s="80"/>
      <c r="AB31" s="80"/>
      <c r="AC31" s="80"/>
      <c r="AD31" s="80"/>
      <c r="AE31" s="80"/>
      <c r="AF31" s="80"/>
      <c r="AG31" s="80"/>
      <c r="AH31" s="80"/>
      <c r="AI31" s="80"/>
      <c r="AJ31" s="80"/>
      <c r="AK31" s="80"/>
    </row>
    <row r="32" spans="1:37" ht="15" customHeight="1">
      <c r="A32" s="519"/>
      <c r="B32" s="3" t="s">
        <v>2625</v>
      </c>
      <c r="C32" s="3" t="s">
        <v>2577</v>
      </c>
      <c r="D32" s="3" t="s">
        <v>22</v>
      </c>
      <c r="E32" s="3" t="s">
        <v>2625</v>
      </c>
      <c r="F32" s="3"/>
      <c r="G32" s="78" t="s">
        <v>2626</v>
      </c>
      <c r="H32" s="3" t="s">
        <v>2560</v>
      </c>
      <c r="I32" s="89" t="s">
        <v>2601</v>
      </c>
      <c r="J32" s="89" t="s">
        <v>2616</v>
      </c>
      <c r="K32" s="80"/>
      <c r="L32" s="80"/>
      <c r="M32" s="80"/>
      <c r="N32" s="80"/>
      <c r="O32" s="80"/>
      <c r="P32" s="80"/>
      <c r="Q32" s="80"/>
      <c r="R32" s="80"/>
      <c r="S32" s="80"/>
      <c r="T32" s="80"/>
      <c r="U32" s="80"/>
      <c r="V32" s="80"/>
      <c r="W32" s="80"/>
      <c r="X32" s="80"/>
      <c r="Y32" s="80"/>
      <c r="Z32" s="80"/>
      <c r="AA32" s="80"/>
      <c r="AB32" s="80"/>
      <c r="AC32" s="80"/>
      <c r="AD32" s="80"/>
      <c r="AE32" s="80"/>
      <c r="AF32" s="80"/>
      <c r="AG32" s="80"/>
      <c r="AH32" s="80"/>
      <c r="AI32" s="80"/>
      <c r="AJ32" s="80"/>
      <c r="AK32" s="80"/>
    </row>
    <row r="33" spans="1:37" ht="15" customHeight="1">
      <c r="A33" s="519"/>
      <c r="B33" s="3" t="s">
        <v>1790</v>
      </c>
      <c r="C33" s="3" t="s">
        <v>2577</v>
      </c>
      <c r="D33" s="3" t="s">
        <v>22</v>
      </c>
      <c r="E33" s="3" t="s">
        <v>2612</v>
      </c>
      <c r="F33" s="3"/>
      <c r="G33" s="78" t="s">
        <v>2626</v>
      </c>
      <c r="H33" s="3" t="s">
        <v>2560</v>
      </c>
      <c r="I33" s="89" t="s">
        <v>2601</v>
      </c>
      <c r="J33" s="89" t="s">
        <v>2616</v>
      </c>
      <c r="K33" s="80"/>
      <c r="L33" s="80"/>
      <c r="M33" s="80"/>
      <c r="N33" s="80"/>
      <c r="O33" s="80"/>
      <c r="P33" s="80"/>
      <c r="Q33" s="80"/>
      <c r="R33" s="80"/>
      <c r="S33" s="80"/>
      <c r="T33" s="80"/>
      <c r="U33" s="80"/>
      <c r="V33" s="80"/>
      <c r="W33" s="80"/>
      <c r="X33" s="80"/>
      <c r="Y33" s="80"/>
      <c r="Z33" s="80"/>
      <c r="AA33" s="80"/>
      <c r="AB33" s="80"/>
      <c r="AC33" s="80"/>
      <c r="AD33" s="80"/>
      <c r="AE33" s="80"/>
      <c r="AF33" s="80"/>
      <c r="AG33" s="80"/>
      <c r="AH33" s="80"/>
      <c r="AI33" s="80"/>
      <c r="AJ33" s="80"/>
      <c r="AK33" s="80"/>
    </row>
    <row r="34" spans="1:37" ht="15" customHeight="1">
      <c r="A34" s="519"/>
      <c r="B34" s="3" t="s">
        <v>2627</v>
      </c>
      <c r="C34" s="3" t="s">
        <v>2577</v>
      </c>
      <c r="D34" s="3" t="s">
        <v>23</v>
      </c>
      <c r="E34" s="3" t="s">
        <v>2628</v>
      </c>
      <c r="F34" s="3"/>
      <c r="G34" s="78" t="s">
        <v>2565</v>
      </c>
      <c r="H34" s="3" t="s">
        <v>2545</v>
      </c>
      <c r="I34" s="78" t="s">
        <v>2556</v>
      </c>
      <c r="J34" s="93" t="s">
        <v>2629</v>
      </c>
      <c r="K34" s="80" t="str">
        <f>IF(OR($I34="",$J34=""),"개발 시작전",IFERROR(IF(AND(DATEVALUE("1-"&amp;$I34)&lt;=K$83,DATEVALUE("1-"&amp;$J34)&gt;=K$83),"●",""),"개발 시작전"))</f>
        <v/>
      </c>
      <c r="L34" s="80" t="str">
        <f>IF(OR($I34="",$J34=""),"",IFERROR(IF(AND(DATEVALUE("1-"&amp;$I34)&lt;=L$83,DATEVALUE("1-"&amp;$J34)&gt;=L$83),"●",""),""))</f>
        <v/>
      </c>
      <c r="M34" s="80" t="str">
        <f>IF(OR($I34="",$J34=""),"",IFERROR(IF(AND(DATEVALUE("1-"&amp;$I34)&lt;=M$83,DATEVALUE("1-"&amp;$J34)&gt;=M$83),"●",""),""))</f>
        <v/>
      </c>
      <c r="N34" s="80" t="str">
        <f>IF(OR($I34="",$J34=""),"",IFERROR(IF(AND(DATEVALUE("1-"&amp;$I34)&lt;=N$83,DATEVALUE("1-"&amp;$J34)&gt;=N$83),"●",""),""))</f>
        <v/>
      </c>
      <c r="O34" s="80" t="str">
        <f>IF(OR($I34="",$J34=""),"",IFERROR(IF(AND(DATEVALUE("1-"&amp;$I34)&lt;=O$83,DATEVALUE("1-"&amp;$J34)&gt;=O$83),"●",""),""))</f>
        <v/>
      </c>
      <c r="P34" s="80" t="str">
        <f>IF(OR($I34="",$J34=""),"",IFERROR(IF(AND(DATEVALUE("1-"&amp;$I34)&lt;=P$83,DATEVALUE("1-"&amp;$J34)&gt;=P$83),"●",""),""))</f>
        <v>●</v>
      </c>
      <c r="Q34" s="80" t="str">
        <f>IF(OR($I34="",$J34=""),"",IFERROR(IF(AND(DATEVALUE("1-"&amp;$I34)&lt;=Q$83,DATEVALUE("1-"&amp;$J34)&gt;=Q$83),"●",""),""))</f>
        <v>●</v>
      </c>
      <c r="R34" s="80" t="str">
        <f>IF(OR($I34="",$J34=""),"",IFERROR(IF(AND(DATEVALUE("1-"&amp;$I34)&lt;=R$83,DATEVALUE("1-"&amp;$J34)&gt;=R$83),"●",""),""))</f>
        <v>●</v>
      </c>
      <c r="S34" s="80" t="str">
        <f>IF(OR($I34="",$J34=""),"",IFERROR(IF(AND(DATEVALUE("1-"&amp;$I34)&lt;=S$83,DATEVALUE("1-"&amp;$J34)&gt;=S$83),"●",""),""))</f>
        <v>●</v>
      </c>
      <c r="T34" s="80" t="str">
        <f>IF(OR($I34="",$J34=""),"",IFERROR(IF(AND(DATEVALUE("1-"&amp;$I34)&lt;=T$83,DATEVALUE("1-"&amp;$J34)&gt;=T$83),"●",""),""))</f>
        <v>●</v>
      </c>
      <c r="U34" s="80" t="str">
        <f>IF(OR($I34="",$J34=""),"",IFERROR(IF(AND(DATEVALUE("1-"&amp;$I34)&lt;=U$83,DATEVALUE("1-"&amp;$J34)&gt;=U$83),"●",""),""))</f>
        <v>●</v>
      </c>
      <c r="V34" s="80" t="str">
        <f>IF(OR($I34="",$J34=""),"",IFERROR(IF(AND(DATEVALUE("1-"&amp;$I34)&lt;=V$83,DATEVALUE("1-"&amp;$J34)&gt;=V$83),"●",""),""))</f>
        <v>●</v>
      </c>
      <c r="W34" s="80" t="str">
        <f>IF(OR($I34="",$J34=""),"",IFERROR(IF(AND(DATEVALUE("1-"&amp;$I34)&lt;=W$83,DATEVALUE("1-"&amp;$J34)&gt;=W$83),"●",""),""))</f>
        <v/>
      </c>
      <c r="X34" s="80" t="str">
        <f>IF(OR($I34="",$J34=""),"",IFERROR(IF(AND(DATEVALUE("1-"&amp;$I34)&lt;=X$83,DATEVALUE("1-"&amp;$J34)&gt;=X$83),"●",""),""))</f>
        <v/>
      </c>
      <c r="Y34" s="80" t="str">
        <f>IF(OR($I34="",$J34=""),"",IFERROR(IF(AND(DATEVALUE("1-"&amp;$I34)&lt;=Y$83,DATEVALUE("1-"&amp;$J34)&gt;=Y$83),"●",""),""))</f>
        <v/>
      </c>
      <c r="Z34" s="80" t="str">
        <f>IF(OR($I34="",$J34=""),"",IFERROR(IF(AND(DATEVALUE("1-"&amp;$I34)&lt;=Z$83,DATEVALUE("1-"&amp;$J34)&gt;=Z$83),"●",""),""))</f>
        <v/>
      </c>
      <c r="AA34" s="80" t="str">
        <f>IF(OR($I34="",$J34=""),"",IFERROR(IF(AND(DATEVALUE("1-"&amp;$I34)&lt;=AA$83,DATEVALUE("1-"&amp;$J34)&gt;=AA$83),"●",""),""))</f>
        <v/>
      </c>
      <c r="AB34" s="80" t="str">
        <f>IF(OR($I34="",$J34=""),"",IFERROR(IF(AND(DATEVALUE("1-"&amp;$I34)&lt;=AB$83,DATEVALUE("1-"&amp;$J34)&gt;=AB$83),"●",""),""))</f>
        <v/>
      </c>
      <c r="AC34" s="80" t="str">
        <f>IF(OR($I34="",$J34=""),"",IFERROR(IF(AND(DATEVALUE("1-"&amp;$I34)&lt;=AC$83,DATEVALUE("1-"&amp;$J34)&gt;=AC$83),"●",""),""))</f>
        <v/>
      </c>
      <c r="AD34" s="80" t="str">
        <f>IF(OR($I34="",$J34=""),"",IFERROR(IF(AND(DATEVALUE("1-"&amp;$I34)&lt;=AD$83,DATEVALUE("1-"&amp;$J34)&gt;=AD$83),"●",""),""))</f>
        <v/>
      </c>
      <c r="AE34" s="80" t="str">
        <f>IF(OR($I34="",$J34=""),"",IFERROR(IF(AND(DATEVALUE("1-"&amp;$I34)&lt;=AE$83,DATEVALUE("1-"&amp;$J34)&gt;=AE$83),"●",""),""))</f>
        <v/>
      </c>
      <c r="AF34" s="80" t="str">
        <f>IF(OR($I34="",$J34=""),"",IFERROR(IF(AND(DATEVALUE("1-"&amp;$I34)&lt;=AF$83,DATEVALUE("1-"&amp;$J34)&gt;=AF$83),"●",""),""))</f>
        <v/>
      </c>
      <c r="AG34" s="80" t="str">
        <f>IF(OR($I34="",$J34=""),"",IFERROR(IF(AND(DATEVALUE("1-"&amp;$I34)&lt;=AG$83,DATEVALUE("1-"&amp;$J34)&gt;=AG$83),"●",""),""))</f>
        <v/>
      </c>
      <c r="AH34" s="80" t="str">
        <f>IF(OR($I34="",$J34=""),"",IFERROR(IF(AND(DATEVALUE("1-"&amp;$I34)&lt;=AH$83,DATEVALUE("1-"&amp;$J34)&gt;=AH$83),"●",""),""))</f>
        <v/>
      </c>
      <c r="AI34" s="80" t="str">
        <f>IF(OR($I34="",$J34=""),"",IFERROR(IF(AND(DATEVALUE("1-"&amp;$I34)&lt;=AI$83,DATEVALUE("1-"&amp;$J34)&gt;=AI$83),"●",""),""))</f>
        <v/>
      </c>
      <c r="AJ34" s="80" t="str">
        <f>IF(OR($I34="",$J34=""),"",IFERROR(IF(AND(DATEVALUE("1-"&amp;$I34)&lt;=AJ$83,DATEVALUE("1-"&amp;$J34)&gt;=AJ$83),"●",""),""))</f>
        <v/>
      </c>
      <c r="AK34" s="80" t="str">
        <f>IF(OR($I34="",$J34=""),"",IFERROR(IF(AND(DATEVALUE("1-"&amp;$I34)&lt;=AK$83,DATEVALUE("1-"&amp;$J34)&gt;=AK$83),"●",""),""))</f>
        <v/>
      </c>
    </row>
    <row r="35" spans="1:37" ht="15" customHeight="1">
      <c r="A35" s="519"/>
      <c r="B35" s="3" t="s">
        <v>2630</v>
      </c>
      <c r="C35" s="3" t="s">
        <v>2577</v>
      </c>
      <c r="D35" s="3" t="s">
        <v>23</v>
      </c>
      <c r="E35" s="3" t="s">
        <v>2543</v>
      </c>
      <c r="F35" s="3" t="s">
        <v>1092</v>
      </c>
      <c r="G35" s="78" t="s">
        <v>2544</v>
      </c>
      <c r="H35" s="3" t="s">
        <v>2545</v>
      </c>
      <c r="I35" s="78"/>
      <c r="J35" s="93"/>
      <c r="K35" s="80"/>
      <c r="L35" s="80"/>
      <c r="M35" s="80"/>
      <c r="N35" s="80"/>
      <c r="O35" s="80"/>
      <c r="P35" s="80"/>
      <c r="Q35" s="80"/>
      <c r="R35" s="80"/>
      <c r="S35" s="80"/>
      <c r="T35" s="80"/>
      <c r="U35" s="80"/>
      <c r="V35" s="80"/>
      <c r="W35" s="80"/>
      <c r="X35" s="80"/>
      <c r="Y35" s="80"/>
      <c r="Z35" s="80"/>
      <c r="AA35" s="80"/>
      <c r="AB35" s="80"/>
      <c r="AC35" s="80"/>
      <c r="AD35" s="80"/>
      <c r="AE35" s="80"/>
      <c r="AF35" s="80"/>
      <c r="AG35" s="80"/>
      <c r="AH35" s="80"/>
      <c r="AI35" s="80"/>
      <c r="AJ35" s="80"/>
      <c r="AK35" s="80"/>
    </row>
    <row r="36" spans="1:37" ht="15" customHeight="1">
      <c r="A36" s="519"/>
      <c r="B36" s="3" t="s">
        <v>1066</v>
      </c>
      <c r="C36" s="3" t="s">
        <v>2577</v>
      </c>
      <c r="D36" s="3" t="s">
        <v>23</v>
      </c>
      <c r="E36" s="3" t="s">
        <v>2543</v>
      </c>
      <c r="F36" s="3"/>
      <c r="G36" s="78" t="s">
        <v>2544</v>
      </c>
      <c r="H36" s="3" t="s">
        <v>2545</v>
      </c>
      <c r="I36" s="78"/>
      <c r="J36" s="93"/>
      <c r="K36" s="80"/>
      <c r="L36" s="80"/>
      <c r="M36" s="80"/>
      <c r="N36" s="80"/>
      <c r="O36" s="80"/>
      <c r="P36" s="80"/>
      <c r="Q36" s="80"/>
      <c r="R36" s="80"/>
      <c r="S36" s="80"/>
      <c r="T36" s="80"/>
      <c r="U36" s="80"/>
      <c r="V36" s="80"/>
      <c r="W36" s="80"/>
      <c r="X36" s="80"/>
      <c r="Y36" s="80"/>
      <c r="Z36" s="80"/>
      <c r="AA36" s="80"/>
      <c r="AB36" s="80"/>
      <c r="AC36" s="80"/>
      <c r="AD36" s="80"/>
      <c r="AE36" s="80"/>
      <c r="AF36" s="80"/>
      <c r="AG36" s="80"/>
      <c r="AH36" s="80"/>
      <c r="AI36" s="80"/>
      <c r="AJ36" s="80"/>
      <c r="AK36" s="80"/>
    </row>
    <row r="37" spans="1:37" ht="15" customHeight="1">
      <c r="A37" s="519"/>
      <c r="B37" s="306" t="s">
        <v>584</v>
      </c>
      <c r="C37" s="3" t="s">
        <v>2577</v>
      </c>
      <c r="D37" s="3" t="s">
        <v>20</v>
      </c>
      <c r="E37" s="3" t="s">
        <v>2631</v>
      </c>
      <c r="F37" s="3" t="s">
        <v>1059</v>
      </c>
      <c r="G37" s="78" t="s">
        <v>2565</v>
      </c>
      <c r="H37" s="3" t="s">
        <v>2560</v>
      </c>
      <c r="I37" s="78"/>
      <c r="J37" s="78"/>
      <c r="K37" s="80" t="str">
        <f>IF(OR($I37="",$J37=""),"개발 시작전",IFERROR(IF(AND(DATEVALUE("1-"&amp;$I37)&lt;=K$83,DATEVALUE("1-"&amp;$J37)&gt;=K$83),"●",""),"개발 시작전"))</f>
        <v>개발 시작전</v>
      </c>
      <c r="L37" s="80" t="str">
        <f>IF(OR($I37="",$J37=""),"",IFERROR(IF(AND(DATEVALUE("1-"&amp;$I37)&lt;=L$83,DATEVALUE("1-"&amp;$J37)&gt;=L$83),"●",""),""))</f>
        <v/>
      </c>
      <c r="M37" s="80" t="str">
        <f>IF(OR($I37="",$J37=""),"",IFERROR(IF(AND(DATEVALUE("1-"&amp;$I37)&lt;=M$83,DATEVALUE("1-"&amp;$J37)&gt;=M$83),"●",""),""))</f>
        <v/>
      </c>
      <c r="N37" s="80" t="str">
        <f>IF(OR($I37="",$J37=""),"",IFERROR(IF(AND(DATEVALUE("1-"&amp;$I37)&lt;=N$83,DATEVALUE("1-"&amp;$J37)&gt;=N$83),"●",""),""))</f>
        <v/>
      </c>
      <c r="O37" s="80" t="str">
        <f>IF(OR($I37="",$J37=""),"",IFERROR(IF(AND(DATEVALUE("1-"&amp;$I37)&lt;=O$83,DATEVALUE("1-"&amp;$J37)&gt;=O$83),"●",""),""))</f>
        <v/>
      </c>
      <c r="P37" s="80" t="str">
        <f>IF(OR($I37="",$J37=""),"",IFERROR(IF(AND(DATEVALUE("1-"&amp;$I37)&lt;=P$83,DATEVALUE("1-"&amp;$J37)&gt;=P$83),"●",""),""))</f>
        <v/>
      </c>
      <c r="Q37" s="80" t="str">
        <f>IF(OR($I37="",$J37=""),"",IFERROR(IF(AND(DATEVALUE("1-"&amp;$I37)&lt;=Q$83,DATEVALUE("1-"&amp;$J37)&gt;=Q$83),"●",""),""))</f>
        <v/>
      </c>
      <c r="R37" s="80" t="str">
        <f>IF(OR($I37="",$J37=""),"",IFERROR(IF(AND(DATEVALUE("1-"&amp;$I37)&lt;=R$83,DATEVALUE("1-"&amp;$J37)&gt;=R$83),"●",""),""))</f>
        <v/>
      </c>
      <c r="S37" s="80" t="str">
        <f>IF(OR($I37="",$J37=""),"",IFERROR(IF(AND(DATEVALUE("1-"&amp;$I37)&lt;=S$83,DATEVALUE("1-"&amp;$J37)&gt;=S$83),"●",""),""))</f>
        <v/>
      </c>
      <c r="T37" s="80" t="str">
        <f>IF(OR($I37="",$J37=""),"",IFERROR(IF(AND(DATEVALUE("1-"&amp;$I37)&lt;=T$83,DATEVALUE("1-"&amp;$J37)&gt;=T$83),"●",""),""))</f>
        <v/>
      </c>
      <c r="U37" s="80" t="str">
        <f>IF(OR($I37="",$J37=""),"",IFERROR(IF(AND(DATEVALUE("1-"&amp;$I37)&lt;=U$83,DATEVALUE("1-"&amp;$J37)&gt;=U$83),"●",""),""))</f>
        <v/>
      </c>
      <c r="V37" s="80" t="str">
        <f>IF(OR($I37="",$J37=""),"",IFERROR(IF(AND(DATEVALUE("1-"&amp;$I37)&lt;=V$83,DATEVALUE("1-"&amp;$J37)&gt;=V$83),"●",""),""))</f>
        <v/>
      </c>
      <c r="W37" s="80" t="str">
        <f>IF(OR($I37="",$J37=""),"",IFERROR(IF(AND(DATEVALUE("1-"&amp;$I37)&lt;=W$83,DATEVALUE("1-"&amp;$J37)&gt;=W$83),"●",""),""))</f>
        <v/>
      </c>
      <c r="X37" s="80" t="str">
        <f>IF(OR($I37="",$J37=""),"",IFERROR(IF(AND(DATEVALUE("1-"&amp;$I37)&lt;=X$83,DATEVALUE("1-"&amp;$J37)&gt;=X$83),"●",""),""))</f>
        <v/>
      </c>
      <c r="Y37" s="80" t="str">
        <f>IF(OR($I37="",$J37=""),"",IFERROR(IF(AND(DATEVALUE("1-"&amp;$I37)&lt;=Y$83,DATEVALUE("1-"&amp;$J37)&gt;=Y$83),"●",""),""))</f>
        <v/>
      </c>
      <c r="Z37" s="80" t="str">
        <f>IF(OR($I37="",$J37=""),"",IFERROR(IF(AND(DATEVALUE("1-"&amp;$I37)&lt;=Z$83,DATEVALUE("1-"&amp;$J37)&gt;=Z$83),"●",""),""))</f>
        <v/>
      </c>
      <c r="AA37" s="80" t="str">
        <f>IF(OR($I37="",$J37=""),"",IFERROR(IF(AND(DATEVALUE("1-"&amp;$I37)&lt;=AA$83,DATEVALUE("1-"&amp;$J37)&gt;=AA$83),"●",""),""))</f>
        <v/>
      </c>
      <c r="AB37" s="80" t="str">
        <f>IF(OR($I37="",$J37=""),"",IFERROR(IF(AND(DATEVALUE("1-"&amp;$I37)&lt;=AB$83,DATEVALUE("1-"&amp;$J37)&gt;=AB$83),"●",""),""))</f>
        <v/>
      </c>
      <c r="AC37" s="80" t="str">
        <f>IF(OR($I37="",$J37=""),"",IFERROR(IF(AND(DATEVALUE("1-"&amp;$I37)&lt;=AC$83,DATEVALUE("1-"&amp;$J37)&gt;=AC$83),"●",""),""))</f>
        <v/>
      </c>
      <c r="AD37" s="80" t="str">
        <f>IF(OR($I37="",$J37=""),"",IFERROR(IF(AND(DATEVALUE("1-"&amp;$I37)&lt;=AD$83,DATEVALUE("1-"&amp;$J37)&gt;=AD$83),"●",""),""))</f>
        <v/>
      </c>
      <c r="AE37" s="80" t="str">
        <f>IF(OR($I37="",$J37=""),"",IFERROR(IF(AND(DATEVALUE("1-"&amp;$I37)&lt;=AE$83,DATEVALUE("1-"&amp;$J37)&gt;=AE$83),"●",""),""))</f>
        <v/>
      </c>
      <c r="AF37" s="80" t="str">
        <f>IF(OR($I37="",$J37=""),"",IFERROR(IF(AND(DATEVALUE("1-"&amp;$I37)&lt;=AF$83,DATEVALUE("1-"&amp;$J37)&gt;=AF$83),"●",""),""))</f>
        <v/>
      </c>
      <c r="AG37" s="80" t="str">
        <f>IF(OR($I37="",$J37=""),"",IFERROR(IF(AND(DATEVALUE("1-"&amp;$I37)&lt;=AG$83,DATEVALUE("1-"&amp;$J37)&gt;=AG$83),"●",""),""))</f>
        <v/>
      </c>
      <c r="AH37" s="80" t="str">
        <f>IF(OR($I37="",$J37=""),"",IFERROR(IF(AND(DATEVALUE("1-"&amp;$I37)&lt;=AH$83,DATEVALUE("1-"&amp;$J37)&gt;=AH$83),"●",""),""))</f>
        <v/>
      </c>
      <c r="AI37" s="80" t="str">
        <f>IF(OR($I37="",$J37=""),"",IFERROR(IF(AND(DATEVALUE("1-"&amp;$I37)&lt;=AI$83,DATEVALUE("1-"&amp;$J37)&gt;=AI$83),"●",""),""))</f>
        <v/>
      </c>
      <c r="AJ37" s="80" t="str">
        <f>IF(OR($I37="",$J37=""),"",IFERROR(IF(AND(DATEVALUE("1-"&amp;$I37)&lt;=AJ$83,DATEVALUE("1-"&amp;$J37)&gt;=AJ$83),"●",""),""))</f>
        <v/>
      </c>
      <c r="AK37" s="80" t="str">
        <f>IF(OR($I37="",$J37=""),"",IFERROR(IF(AND(DATEVALUE("1-"&amp;$I37)&lt;=AK$83,DATEVALUE("1-"&amp;$J37)&gt;=AK$83),"●",""),""))</f>
        <v/>
      </c>
    </row>
    <row r="38" spans="1:37" ht="15" customHeight="1">
      <c r="A38" s="519"/>
      <c r="B38" s="132" t="s">
        <v>2632</v>
      </c>
      <c r="C38" s="3" t="s">
        <v>2577</v>
      </c>
      <c r="D38" s="3" t="s">
        <v>20</v>
      </c>
      <c r="E38" s="3" t="s">
        <v>2633</v>
      </c>
      <c r="F38" s="3"/>
      <c r="G38" s="78" t="s">
        <v>2565</v>
      </c>
      <c r="H38" s="3" t="s">
        <v>2560</v>
      </c>
      <c r="I38" s="78" t="s">
        <v>2561</v>
      </c>
      <c r="J38" s="78" t="s">
        <v>2604</v>
      </c>
      <c r="K38" s="80" t="str">
        <f>IF(OR($I38="",$J38=""),"개발 시작전",IFERROR(IF(AND(DATEVALUE("1-"&amp;$I38)&lt;=K$83,DATEVALUE("1-"&amp;$J38)&gt;=K$83),"●",""),"개발 시작전"))</f>
        <v/>
      </c>
      <c r="L38" s="80" t="str">
        <f>IF(OR($I38="",$J38=""),"",IFERROR(IF(AND(DATEVALUE("1-"&amp;$I38)&lt;=L$83,DATEVALUE("1-"&amp;$J38)&gt;=L$83),"●",""),""))</f>
        <v/>
      </c>
      <c r="M38" s="80" t="str">
        <f>IF(OR($I38="",$J38=""),"",IFERROR(IF(AND(DATEVALUE("1-"&amp;$I38)&lt;=M$83,DATEVALUE("1-"&amp;$J38)&gt;=M$83),"●",""),""))</f>
        <v/>
      </c>
      <c r="N38" s="80" t="str">
        <f>IF(OR($I38="",$J38=""),"",IFERROR(IF(AND(DATEVALUE("1-"&amp;$I38)&lt;=N$83,DATEVALUE("1-"&amp;$J38)&gt;=N$83),"●",""),""))</f>
        <v/>
      </c>
      <c r="O38" s="80" t="str">
        <f>IF(OR($I38="",$J38=""),"",IFERROR(IF(AND(DATEVALUE("1-"&amp;$I38)&lt;=O$83,DATEVALUE("1-"&amp;$J38)&gt;=O$83),"●",""),""))</f>
        <v/>
      </c>
      <c r="P38" s="80" t="str">
        <f>IF(OR($I38="",$J38=""),"",IFERROR(IF(AND(DATEVALUE("1-"&amp;$I38)&lt;=P$83,DATEVALUE("1-"&amp;$J38)&gt;=P$83),"●",""),""))</f>
        <v/>
      </c>
      <c r="Q38" s="80" t="str">
        <f>IF(OR($I38="",$J38=""),"",IFERROR(IF(AND(DATEVALUE("1-"&amp;$I38)&lt;=Q$83,DATEVALUE("1-"&amp;$J38)&gt;=Q$83),"●",""),""))</f>
        <v/>
      </c>
      <c r="R38" s="80" t="str">
        <f>IF(OR($I38="",$J38=""),"",IFERROR(IF(AND(DATEVALUE("1-"&amp;$I38)&lt;=R$83,DATEVALUE("1-"&amp;$J38)&gt;=R$83),"●",""),""))</f>
        <v/>
      </c>
      <c r="S38" s="80" t="str">
        <f>IF(OR($I38="",$J38=""),"",IFERROR(IF(AND(DATEVALUE("1-"&amp;$I38)&lt;=S$83,DATEVALUE("1-"&amp;$J38)&gt;=S$83),"●",""),""))</f>
        <v/>
      </c>
      <c r="T38" s="80" t="str">
        <f>IF(OR($I38="",$J38=""),"",IFERROR(IF(AND(DATEVALUE("1-"&amp;$I38)&lt;=T$83,DATEVALUE("1-"&amp;$J38)&gt;=T$83),"●",""),""))</f>
        <v>●</v>
      </c>
      <c r="U38" s="80" t="str">
        <f>IF(OR($I38="",$J38=""),"",IFERROR(IF(AND(DATEVALUE("1-"&amp;$I38)&lt;=U$83,DATEVALUE("1-"&amp;$J38)&gt;=U$83),"●",""),""))</f>
        <v>●</v>
      </c>
      <c r="V38" s="80" t="str">
        <f>IF(OR($I38="",$J38=""),"",IFERROR(IF(AND(DATEVALUE("1-"&amp;$I38)&lt;=V$83,DATEVALUE("1-"&amp;$J38)&gt;=V$83),"●",""),""))</f>
        <v/>
      </c>
      <c r="W38" s="80" t="str">
        <f>IF(OR($I38="",$J38=""),"",IFERROR(IF(AND(DATEVALUE("1-"&amp;$I38)&lt;=W$83,DATEVALUE("1-"&amp;$J38)&gt;=W$83),"●",""),""))</f>
        <v/>
      </c>
      <c r="X38" s="80" t="str">
        <f>IF(OR($I38="",$J38=""),"",IFERROR(IF(AND(DATEVALUE("1-"&amp;$I38)&lt;=X$83,DATEVALUE("1-"&amp;$J38)&gt;=X$83),"●",""),""))</f>
        <v/>
      </c>
      <c r="Y38" s="80" t="str">
        <f>IF(OR($I38="",$J38=""),"",IFERROR(IF(AND(DATEVALUE("1-"&amp;$I38)&lt;=Y$83,DATEVALUE("1-"&amp;$J38)&gt;=Y$83),"●",""),""))</f>
        <v/>
      </c>
      <c r="Z38" s="80" t="str">
        <f>IF(OR($I38="",$J38=""),"",IFERROR(IF(AND(DATEVALUE("1-"&amp;$I38)&lt;=Z$83,DATEVALUE("1-"&amp;$J38)&gt;=Z$83),"●",""),""))</f>
        <v/>
      </c>
      <c r="AA38" s="80" t="str">
        <f>IF(OR($I38="",$J38=""),"",IFERROR(IF(AND(DATEVALUE("1-"&amp;$I38)&lt;=AA$83,DATEVALUE("1-"&amp;$J38)&gt;=AA$83),"●",""),""))</f>
        <v/>
      </c>
      <c r="AB38" s="80" t="str">
        <f>IF(OR($I38="",$J38=""),"",IFERROR(IF(AND(DATEVALUE("1-"&amp;$I38)&lt;=AB$83,DATEVALUE("1-"&amp;$J38)&gt;=AB$83),"●",""),""))</f>
        <v/>
      </c>
      <c r="AC38" s="80" t="str">
        <f>IF(OR($I38="",$J38=""),"",IFERROR(IF(AND(DATEVALUE("1-"&amp;$I38)&lt;=AC$83,DATEVALUE("1-"&amp;$J38)&gt;=AC$83),"●",""),""))</f>
        <v/>
      </c>
      <c r="AD38" s="80" t="str">
        <f>IF(OR($I38="",$J38=""),"",IFERROR(IF(AND(DATEVALUE("1-"&amp;$I38)&lt;=AD$83,DATEVALUE("1-"&amp;$J38)&gt;=AD$83),"●",""),""))</f>
        <v/>
      </c>
      <c r="AE38" s="80" t="str">
        <f>IF(OR($I38="",$J38=""),"",IFERROR(IF(AND(DATEVALUE("1-"&amp;$I38)&lt;=AE$83,DATEVALUE("1-"&amp;$J38)&gt;=AE$83),"●",""),""))</f>
        <v/>
      </c>
      <c r="AF38" s="80" t="str">
        <f>IF(OR($I38="",$J38=""),"",IFERROR(IF(AND(DATEVALUE("1-"&amp;$I38)&lt;=AF$83,DATEVALUE("1-"&amp;$J38)&gt;=AF$83),"●",""),""))</f>
        <v/>
      </c>
      <c r="AG38" s="80" t="str">
        <f>IF(OR($I38="",$J38=""),"",IFERROR(IF(AND(DATEVALUE("1-"&amp;$I38)&lt;=AG$83,DATEVALUE("1-"&amp;$J38)&gt;=AG$83),"●",""),""))</f>
        <v/>
      </c>
      <c r="AH38" s="80" t="str">
        <f>IF(OR($I38="",$J38=""),"",IFERROR(IF(AND(DATEVALUE("1-"&amp;$I38)&lt;=AH$83,DATEVALUE("1-"&amp;$J38)&gt;=AH$83),"●",""),""))</f>
        <v/>
      </c>
      <c r="AI38" s="80" t="str">
        <f>IF(OR($I38="",$J38=""),"",IFERROR(IF(AND(DATEVALUE("1-"&amp;$I38)&lt;=AI$83,DATEVALUE("1-"&amp;$J38)&gt;=AI$83),"●",""),""))</f>
        <v/>
      </c>
      <c r="AJ38" s="80" t="str">
        <f>IF(OR($I38="",$J38=""),"",IFERROR(IF(AND(DATEVALUE("1-"&amp;$I38)&lt;=AJ$83,DATEVALUE("1-"&amp;$J38)&gt;=AJ$83),"●",""),""))</f>
        <v/>
      </c>
      <c r="AK38" s="80" t="str">
        <f>IF(OR($I38="",$J38=""),"",IFERROR(IF(AND(DATEVALUE("1-"&amp;$I38)&lt;=AK$83,DATEVALUE("1-"&amp;$J38)&gt;=AK$83),"●",""),""))</f>
        <v/>
      </c>
    </row>
    <row r="39" spans="1:37" ht="15" customHeight="1">
      <c r="A39" s="519"/>
      <c r="B39" s="132" t="s">
        <v>2634</v>
      </c>
      <c r="C39" s="3" t="s">
        <v>2577</v>
      </c>
      <c r="D39" s="3" t="s">
        <v>20</v>
      </c>
      <c r="E39" s="3" t="s">
        <v>2635</v>
      </c>
      <c r="F39" s="3"/>
      <c r="G39" s="78" t="s">
        <v>2565</v>
      </c>
      <c r="H39" s="3" t="s">
        <v>2555</v>
      </c>
      <c r="I39" s="78" t="s">
        <v>2561</v>
      </c>
      <c r="J39" s="78" t="s">
        <v>2604</v>
      </c>
      <c r="K39" s="80" t="str">
        <f>IF(OR($I39="",$J39=""),"개발 시작전",IFERROR(IF(AND(DATEVALUE("1-"&amp;$I39)&lt;=K$83,DATEVALUE("1-"&amp;$J39)&gt;=K$83),"●",""),"개발 시작전"))</f>
        <v/>
      </c>
      <c r="L39" s="80" t="str">
        <f>IF(OR($I39="",$J39=""),"",IFERROR(IF(AND(DATEVALUE("1-"&amp;$I39)&lt;=L$83,DATEVALUE("1-"&amp;$J39)&gt;=L$83),"●",""),""))</f>
        <v/>
      </c>
      <c r="M39" s="80" t="str">
        <f>IF(OR($I39="",$J39=""),"",IFERROR(IF(AND(DATEVALUE("1-"&amp;$I39)&lt;=M$83,DATEVALUE("1-"&amp;$J39)&gt;=M$83),"●",""),""))</f>
        <v/>
      </c>
      <c r="N39" s="80" t="str">
        <f>IF(OR($I39="",$J39=""),"",IFERROR(IF(AND(DATEVALUE("1-"&amp;$I39)&lt;=N$83,DATEVALUE("1-"&amp;$J39)&gt;=N$83),"●",""),""))</f>
        <v/>
      </c>
      <c r="O39" s="80" t="str">
        <f>IF(OR($I39="",$J39=""),"",IFERROR(IF(AND(DATEVALUE("1-"&amp;$I39)&lt;=O$83,DATEVALUE("1-"&amp;$J39)&gt;=O$83),"●",""),""))</f>
        <v/>
      </c>
      <c r="P39" s="80" t="str">
        <f>IF(OR($I39="",$J39=""),"",IFERROR(IF(AND(DATEVALUE("1-"&amp;$I39)&lt;=P$83,DATEVALUE("1-"&amp;$J39)&gt;=P$83),"●",""),""))</f>
        <v/>
      </c>
      <c r="Q39" s="80" t="str">
        <f>IF(OR($I39="",$J39=""),"",IFERROR(IF(AND(DATEVALUE("1-"&amp;$I39)&lt;=Q$83,DATEVALUE("1-"&amp;$J39)&gt;=Q$83),"●",""),""))</f>
        <v/>
      </c>
      <c r="R39" s="80" t="str">
        <f>IF(OR($I39="",$J39=""),"",IFERROR(IF(AND(DATEVALUE("1-"&amp;$I39)&lt;=R$83,DATEVALUE("1-"&amp;$J39)&gt;=R$83),"●",""),""))</f>
        <v/>
      </c>
      <c r="S39" s="80" t="str">
        <f>IF(OR($I39="",$J39=""),"",IFERROR(IF(AND(DATEVALUE("1-"&amp;$I39)&lt;=S$83,DATEVALUE("1-"&amp;$J39)&gt;=S$83),"●",""),""))</f>
        <v/>
      </c>
      <c r="T39" s="80" t="str">
        <f>IF(OR($I39="",$J39=""),"",IFERROR(IF(AND(DATEVALUE("1-"&amp;$I39)&lt;=T$83,DATEVALUE("1-"&amp;$J39)&gt;=T$83),"●",""),""))</f>
        <v>●</v>
      </c>
      <c r="U39" s="80" t="str">
        <f>IF(OR($I39="",$J39=""),"",IFERROR(IF(AND(DATEVALUE("1-"&amp;$I39)&lt;=U$83,DATEVALUE("1-"&amp;$J39)&gt;=U$83),"●",""),""))</f>
        <v>●</v>
      </c>
      <c r="V39" s="80" t="str">
        <f>IF(OR($I39="",$J39=""),"",IFERROR(IF(AND(DATEVALUE("1-"&amp;$I39)&lt;=V$83,DATEVALUE("1-"&amp;$J39)&gt;=V$83),"●",""),""))</f>
        <v/>
      </c>
      <c r="W39" s="80" t="str">
        <f>IF(OR($I39="",$J39=""),"",IFERROR(IF(AND(DATEVALUE("1-"&amp;$I39)&lt;=W$83,DATEVALUE("1-"&amp;$J39)&gt;=W$83),"●",""),""))</f>
        <v/>
      </c>
      <c r="X39" s="80" t="str">
        <f>IF(OR($I39="",$J39=""),"",IFERROR(IF(AND(DATEVALUE("1-"&amp;$I39)&lt;=X$83,DATEVALUE("1-"&amp;$J39)&gt;=X$83),"●",""),""))</f>
        <v/>
      </c>
      <c r="Y39" s="80" t="str">
        <f>IF(OR($I39="",$J39=""),"",IFERROR(IF(AND(DATEVALUE("1-"&amp;$I39)&lt;=Y$83,DATEVALUE("1-"&amp;$J39)&gt;=Y$83),"●",""),""))</f>
        <v/>
      </c>
      <c r="Z39" s="80" t="str">
        <f>IF(OR($I39="",$J39=""),"",IFERROR(IF(AND(DATEVALUE("1-"&amp;$I39)&lt;=Z$83,DATEVALUE("1-"&amp;$J39)&gt;=Z$83),"●",""),""))</f>
        <v/>
      </c>
      <c r="AA39" s="80" t="str">
        <f>IF(OR($I39="",$J39=""),"",IFERROR(IF(AND(DATEVALUE("1-"&amp;$I39)&lt;=AA$83,DATEVALUE("1-"&amp;$J39)&gt;=AA$83),"●",""),""))</f>
        <v/>
      </c>
      <c r="AB39" s="80" t="str">
        <f>IF(OR($I39="",$J39=""),"",IFERROR(IF(AND(DATEVALUE("1-"&amp;$I39)&lt;=AB$83,DATEVALUE("1-"&amp;$J39)&gt;=AB$83),"●",""),""))</f>
        <v/>
      </c>
      <c r="AC39" s="80" t="str">
        <f>IF(OR($I39="",$J39=""),"",IFERROR(IF(AND(DATEVALUE("1-"&amp;$I39)&lt;=AC$83,DATEVALUE("1-"&amp;$J39)&gt;=AC$83),"●",""),""))</f>
        <v/>
      </c>
      <c r="AD39" s="80" t="str">
        <f>IF(OR($I39="",$J39=""),"",IFERROR(IF(AND(DATEVALUE("1-"&amp;$I39)&lt;=AD$83,DATEVALUE("1-"&amp;$J39)&gt;=AD$83),"●",""),""))</f>
        <v/>
      </c>
      <c r="AE39" s="80" t="str">
        <f>IF(OR($I39="",$J39=""),"",IFERROR(IF(AND(DATEVALUE("1-"&amp;$I39)&lt;=AE$83,DATEVALUE("1-"&amp;$J39)&gt;=AE$83),"●",""),""))</f>
        <v/>
      </c>
      <c r="AF39" s="80" t="str">
        <f>IF(OR($I39="",$J39=""),"",IFERROR(IF(AND(DATEVALUE("1-"&amp;$I39)&lt;=AF$83,DATEVALUE("1-"&amp;$J39)&gt;=AF$83),"●",""),""))</f>
        <v/>
      </c>
      <c r="AG39" s="80" t="str">
        <f>IF(OR($I39="",$J39=""),"",IFERROR(IF(AND(DATEVALUE("1-"&amp;$I39)&lt;=AG$83,DATEVALUE("1-"&amp;$J39)&gt;=AG$83),"●",""),""))</f>
        <v/>
      </c>
      <c r="AH39" s="80" t="str">
        <f>IF(OR($I39="",$J39=""),"",IFERROR(IF(AND(DATEVALUE("1-"&amp;$I39)&lt;=AH$83,DATEVALUE("1-"&amp;$J39)&gt;=AH$83),"●",""),""))</f>
        <v/>
      </c>
      <c r="AI39" s="80" t="str">
        <f>IF(OR($I39="",$J39=""),"",IFERROR(IF(AND(DATEVALUE("1-"&amp;$I39)&lt;=AI$83,DATEVALUE("1-"&amp;$J39)&gt;=AI$83),"●",""),""))</f>
        <v/>
      </c>
      <c r="AJ39" s="80" t="str">
        <f>IF(OR($I39="",$J39=""),"",IFERROR(IF(AND(DATEVALUE("1-"&amp;$I39)&lt;=AJ$83,DATEVALUE("1-"&amp;$J39)&gt;=AJ$83),"●",""),""))</f>
        <v/>
      </c>
      <c r="AK39" s="80" t="str">
        <f>IF(OR($I39="",$J39=""),"",IFERROR(IF(AND(DATEVALUE("1-"&amp;$I39)&lt;=AK$83,DATEVALUE("1-"&amp;$J39)&gt;=AK$83),"●",""),""))</f>
        <v/>
      </c>
    </row>
    <row r="40" spans="1:37" ht="15" customHeight="1">
      <c r="A40" s="519"/>
      <c r="B40" s="90" t="s">
        <v>2636</v>
      </c>
      <c r="C40" s="3" t="s">
        <v>2577</v>
      </c>
      <c r="D40" s="3" t="s">
        <v>20</v>
      </c>
      <c r="E40" s="3" t="s">
        <v>2637</v>
      </c>
      <c r="F40" s="3"/>
      <c r="G40" s="78" t="s">
        <v>2565</v>
      </c>
      <c r="H40" s="3" t="s">
        <v>2545</v>
      </c>
      <c r="I40" s="78" t="s">
        <v>2638</v>
      </c>
      <c r="J40" s="78" t="s">
        <v>2639</v>
      </c>
      <c r="K40" s="80" t="str">
        <f>IF(AND($I40&lt;&gt;"",$J40&lt;&gt;""),IF(AND(DATEVALUE("1-"&amp;$I40)&lt;=K$83,DATEVALUE("1-"&amp;$J40)&gt;=K$83),"●",""),"")</f>
        <v/>
      </c>
      <c r="L40" s="80" t="str">
        <f>IF(AND($I40&lt;&gt;"",$J40&lt;&gt;""),IF(AND(DATEVALUE("1-"&amp;$I40)&lt;=L$83,DATEVALUE("1-"&amp;$J40)&gt;=L$83),"●",""),"")</f>
        <v/>
      </c>
      <c r="M40" s="80" t="str">
        <f>IF(AND($I40&lt;&gt;"",$J40&lt;&gt;""),IF(AND(DATEVALUE("1-"&amp;$I40)&lt;=M$83,DATEVALUE("1-"&amp;$J40)&gt;=M$83),"●",""),"")</f>
        <v/>
      </c>
      <c r="N40" s="80" t="str">
        <f>IF(AND($I40&lt;&gt;"",$J40&lt;&gt;""),IF(AND(DATEVALUE("1-"&amp;$I40)&lt;=N$83,DATEVALUE("1-"&amp;$J40)&gt;=N$83),"●",""),"")</f>
        <v/>
      </c>
      <c r="O40" s="80" t="str">
        <f>IF(AND($I40&lt;&gt;"",$J40&lt;&gt;""),IF(AND(DATEVALUE("1-"&amp;$I40)&lt;=O$83,DATEVALUE("1-"&amp;$J40)&gt;=O$83),"●",""),"")</f>
        <v/>
      </c>
      <c r="P40" s="80" t="str">
        <f>IF(AND($I40&lt;&gt;"",$J40&lt;&gt;""),IF(AND(DATEVALUE("1-"&amp;$I40)&lt;=P$83,DATEVALUE("1-"&amp;$J40)&gt;=P$83),"●",""),"")</f>
        <v/>
      </c>
      <c r="Q40" s="80" t="str">
        <f>IF(AND($I40&lt;&gt;"",$J40&lt;&gt;""),IF(AND(DATEVALUE("1-"&amp;$I40)&lt;=Q$83,DATEVALUE("1-"&amp;$J40)&gt;=Q$83),"●",""),"")</f>
        <v/>
      </c>
      <c r="R40" s="80" t="str">
        <f>IF(AND($I40&lt;&gt;"",$J40&lt;&gt;""),IF(AND(DATEVALUE("1-"&amp;$I40)&lt;=R$83,DATEVALUE("1-"&amp;$J40)&gt;=R$83),"●",""),"")</f>
        <v>●</v>
      </c>
      <c r="S40" s="80" t="str">
        <f>IF(AND($I40&lt;&gt;"",$J40&lt;&gt;""),IF(AND(DATEVALUE("1-"&amp;$I40)&lt;=S$83,DATEVALUE("1-"&amp;$J40)&gt;=S$83),"●",""),"")</f>
        <v>●</v>
      </c>
      <c r="T40" s="80" t="str">
        <f>IF(AND($I40&lt;&gt;"",$J40&lt;&gt;""),IF(AND(DATEVALUE("1-"&amp;$I40)&lt;=T$83,DATEVALUE("1-"&amp;$J40)&gt;=T$83),"●",""),"")</f>
        <v/>
      </c>
      <c r="U40" s="80" t="str">
        <f>IF(AND($I40&lt;&gt;"",$J40&lt;&gt;""),IF(AND(DATEVALUE("1-"&amp;$I40)&lt;=U$83,DATEVALUE("1-"&amp;$J40)&gt;=U$83),"●",""),"")</f>
        <v/>
      </c>
      <c r="V40" s="80" t="str">
        <f>IF(AND($I40&lt;&gt;"",$J40&lt;&gt;""),IF(AND(DATEVALUE("1-"&amp;$I40)&lt;=V$83,DATEVALUE("1-"&amp;$J40)&gt;=V$83),"●",""),"")</f>
        <v/>
      </c>
      <c r="W40" s="80" t="str">
        <f>IF(AND($I40&lt;&gt;"",$J40&lt;&gt;""),IF(AND(DATEVALUE("1-"&amp;$I40)&lt;=W$83,DATEVALUE("1-"&amp;$J40)&gt;=W$83),"●",""),"")</f>
        <v/>
      </c>
      <c r="X40" s="80" t="str">
        <f>IF(AND($I40&lt;&gt;"",$J40&lt;&gt;""),IF(AND(DATEVALUE("1-"&amp;$I40)&lt;=X$83,DATEVALUE("1-"&amp;$J40)&gt;=X$83),"●",""),"")</f>
        <v/>
      </c>
      <c r="Y40" s="80" t="str">
        <f>IF(AND($I40&lt;&gt;"",$J40&lt;&gt;""),IF(AND(DATEVALUE("1-"&amp;$I40)&lt;=Y$83,DATEVALUE("1-"&amp;$J40)&gt;=Y$83),"●",""),"")</f>
        <v/>
      </c>
      <c r="Z40" s="80" t="str">
        <f>IF(AND($I40&lt;&gt;"",$J40&lt;&gt;""),IF(AND(DATEVALUE("1-"&amp;$I40)&lt;=Z$83,DATEVALUE("1-"&amp;$J40)&gt;=Z$83),"●",""),"")</f>
        <v/>
      </c>
      <c r="AA40" s="80" t="str">
        <f>IF(AND($I40&lt;&gt;"",$J40&lt;&gt;""),IF(AND(DATEVALUE("1-"&amp;$I40)&lt;=AA$83,DATEVALUE("1-"&amp;$J40)&gt;=AA$83),"●",""),"")</f>
        <v/>
      </c>
      <c r="AB40" s="80" t="str">
        <f>IF(AND($I40&lt;&gt;"",$J40&lt;&gt;""),IF(AND(DATEVALUE("1-"&amp;$I40)&lt;=AB$83,DATEVALUE("1-"&amp;$J40)&gt;=AB$83),"●",""),"")</f>
        <v/>
      </c>
      <c r="AC40" s="80" t="str">
        <f>IF(AND($I40&lt;&gt;"",$J40&lt;&gt;""),IF(AND(DATEVALUE("1-"&amp;$I40)&lt;=AC$83,DATEVALUE("1-"&amp;$J40)&gt;=AC$83),"●",""),"")</f>
        <v/>
      </c>
      <c r="AD40" s="80" t="str">
        <f>IF(AND($I40&lt;&gt;"",$J40&lt;&gt;""),IF(AND(DATEVALUE("1-"&amp;$I40)&lt;=AD$83,DATEVALUE("1-"&amp;$J40)&gt;=AD$83),"●",""),"")</f>
        <v/>
      </c>
      <c r="AE40" s="80" t="str">
        <f>IF(AND($I40&lt;&gt;"",$J40&lt;&gt;""),IF(AND(DATEVALUE("1-"&amp;$I40)&lt;=AE$83,DATEVALUE("1-"&amp;$J40)&gt;=AE$83),"●",""),"")</f>
        <v/>
      </c>
      <c r="AF40" s="80" t="str">
        <f>IF(AND($I40&lt;&gt;"",$J40&lt;&gt;""),IF(AND(DATEVALUE("1-"&amp;$I40)&lt;=AF$83,DATEVALUE("1-"&amp;$J40)&gt;=AF$83),"●",""),"")</f>
        <v/>
      </c>
      <c r="AG40" s="80" t="str">
        <f>IF(AND($I40&lt;&gt;"",$J40&lt;&gt;""),IF(AND(DATEVALUE("1-"&amp;$I40)&lt;=AG$83,DATEVALUE("1-"&amp;$J40)&gt;=AG$83),"●",""),"")</f>
        <v/>
      </c>
      <c r="AH40" s="80" t="str">
        <f>IF(AND($I40&lt;&gt;"",$J40&lt;&gt;""),IF(AND(DATEVALUE("1-"&amp;$I40)&lt;=AH$83,DATEVALUE("1-"&amp;$J40)&gt;=AH$83),"●",""),"")</f>
        <v/>
      </c>
      <c r="AI40" s="80" t="str">
        <f>IF(AND($I40&lt;&gt;"",$J40&lt;&gt;""),IF(AND(DATEVALUE("1-"&amp;$I40)&lt;=AI$83,DATEVALUE("1-"&amp;$J40)&gt;=AI$83),"●",""),"")</f>
        <v/>
      </c>
      <c r="AJ40" s="80" t="str">
        <f>IF(AND($I40&lt;&gt;"",$J40&lt;&gt;""),IF(AND(DATEVALUE("1-"&amp;$I40)&lt;=AJ$83,DATEVALUE("1-"&amp;$J40)&gt;=AJ$83),"●",""),"")</f>
        <v/>
      </c>
      <c r="AK40" s="80" t="str">
        <f>IF(AND($I40&lt;&gt;"",$J40&lt;&gt;""),IF(AND(DATEVALUE("1-"&amp;$I40)&lt;=AK$83,DATEVALUE("1-"&amp;$J40)&gt;=AK$83),"●",""),"")</f>
        <v/>
      </c>
    </row>
    <row r="41" spans="1:37" ht="15" customHeight="1">
      <c r="A41" s="519"/>
      <c r="B41" s="90" t="s">
        <v>2640</v>
      </c>
      <c r="C41" s="3" t="s">
        <v>2577</v>
      </c>
      <c r="D41" s="3" t="s">
        <v>20</v>
      </c>
      <c r="E41" s="3" t="s">
        <v>1039</v>
      </c>
      <c r="F41" s="3"/>
      <c r="G41" s="78" t="s">
        <v>2565</v>
      </c>
      <c r="H41" s="3" t="s">
        <v>2545</v>
      </c>
      <c r="I41" s="78" t="s">
        <v>2597</v>
      </c>
      <c r="J41" s="78" t="s">
        <v>2638</v>
      </c>
      <c r="K41" s="80" t="str">
        <f>IF(AND($I41&lt;&gt;"",$J41&lt;&gt;""),IF(AND(DATEVALUE("1-"&amp;$I41)&lt;=K$83,DATEVALUE("1-"&amp;$J41)&gt;=K$83),"●",""),"")</f>
        <v/>
      </c>
      <c r="L41" s="80" t="str">
        <f>IF(AND($I41&lt;&gt;"",$J41&lt;&gt;""),IF(AND(DATEVALUE("1-"&amp;$I41)&lt;=L$83,DATEVALUE("1-"&amp;$J41)&gt;=L$83),"●",""),"")</f>
        <v/>
      </c>
      <c r="M41" s="80" t="str">
        <f>IF(AND($I41&lt;&gt;"",$J41&lt;&gt;""),IF(AND(DATEVALUE("1-"&amp;$I41)&lt;=M$83,DATEVALUE("1-"&amp;$J41)&gt;=M$83),"●",""),"")</f>
        <v/>
      </c>
      <c r="N41" s="80" t="str">
        <f>IF(AND($I41&lt;&gt;"",$J41&lt;&gt;""),IF(AND(DATEVALUE("1-"&amp;$I41)&lt;=N$83,DATEVALUE("1-"&amp;$J41)&gt;=N$83),"●",""),"")</f>
        <v/>
      </c>
      <c r="O41" s="80" t="str">
        <f>IF(AND($I41&lt;&gt;"",$J41&lt;&gt;""),IF(AND(DATEVALUE("1-"&amp;$I41)&lt;=O$83,DATEVALUE("1-"&amp;$J41)&gt;=O$83),"●",""),"")</f>
        <v/>
      </c>
      <c r="P41" s="80" t="str">
        <f>IF(AND($I41&lt;&gt;"",$J41&lt;&gt;""),IF(AND(DATEVALUE("1-"&amp;$I41)&lt;=P$83,DATEVALUE("1-"&amp;$J41)&gt;=P$83),"●",""),"")</f>
        <v/>
      </c>
      <c r="Q41" s="80" t="str">
        <f>IF(AND($I41&lt;&gt;"",$J41&lt;&gt;""),IF(AND(DATEVALUE("1-"&amp;$I41)&lt;=Q$83,DATEVALUE("1-"&amp;$J41)&gt;=Q$83),"●",""),"")</f>
        <v>●</v>
      </c>
      <c r="R41" s="80" t="str">
        <f>IF(AND($I41&lt;&gt;"",$J41&lt;&gt;""),IF(AND(DATEVALUE("1-"&amp;$I41)&lt;=R$83,DATEVALUE("1-"&amp;$J41)&gt;=R$83),"●",""),"")</f>
        <v>●</v>
      </c>
      <c r="S41" s="80" t="str">
        <f>IF(AND($I41&lt;&gt;"",$J41&lt;&gt;""),IF(AND(DATEVALUE("1-"&amp;$I41)&lt;=S$83,DATEVALUE("1-"&amp;$J41)&gt;=S$83),"●",""),"")</f>
        <v/>
      </c>
      <c r="T41" s="80" t="str">
        <f>IF(AND($I41&lt;&gt;"",$J41&lt;&gt;""),IF(AND(DATEVALUE("1-"&amp;$I41)&lt;=T$83,DATEVALUE("1-"&amp;$J41)&gt;=T$83),"●",""),"")</f>
        <v/>
      </c>
      <c r="U41" s="80" t="str">
        <f>IF(AND($I41&lt;&gt;"",$J41&lt;&gt;""),IF(AND(DATEVALUE("1-"&amp;$I41)&lt;=U$83,DATEVALUE("1-"&amp;$J41)&gt;=U$83),"●",""),"")</f>
        <v/>
      </c>
      <c r="V41" s="80" t="str">
        <f>IF(AND($I41&lt;&gt;"",$J41&lt;&gt;""),IF(AND(DATEVALUE("1-"&amp;$I41)&lt;=V$83,DATEVALUE("1-"&amp;$J41)&gt;=V$83),"●",""),"")</f>
        <v/>
      </c>
      <c r="W41" s="80" t="str">
        <f>IF(AND($I41&lt;&gt;"",$J41&lt;&gt;""),IF(AND(DATEVALUE("1-"&amp;$I41)&lt;=W$83,DATEVALUE("1-"&amp;$J41)&gt;=W$83),"●",""),"")</f>
        <v/>
      </c>
      <c r="X41" s="80" t="str">
        <f>IF(AND($I41&lt;&gt;"",$J41&lt;&gt;""),IF(AND(DATEVALUE("1-"&amp;$I41)&lt;=X$83,DATEVALUE("1-"&amp;$J41)&gt;=X$83),"●",""),"")</f>
        <v/>
      </c>
      <c r="Y41" s="80" t="str">
        <f>IF(AND($I41&lt;&gt;"",$J41&lt;&gt;""),IF(AND(DATEVALUE("1-"&amp;$I41)&lt;=Y$83,DATEVALUE("1-"&amp;$J41)&gt;=Y$83),"●",""),"")</f>
        <v/>
      </c>
      <c r="Z41" s="80" t="str">
        <f>IF(AND($I41&lt;&gt;"",$J41&lt;&gt;""),IF(AND(DATEVALUE("1-"&amp;$I41)&lt;=Z$83,DATEVALUE("1-"&amp;$J41)&gt;=Z$83),"●",""),"")</f>
        <v/>
      </c>
      <c r="AA41" s="80" t="str">
        <f>IF(AND($I41&lt;&gt;"",$J41&lt;&gt;""),IF(AND(DATEVALUE("1-"&amp;$I41)&lt;=AA$83,DATEVALUE("1-"&amp;$J41)&gt;=AA$83),"●",""),"")</f>
        <v/>
      </c>
      <c r="AB41" s="80" t="str">
        <f>IF(AND($I41&lt;&gt;"",$J41&lt;&gt;""),IF(AND(DATEVALUE("1-"&amp;$I41)&lt;=AB$83,DATEVALUE("1-"&amp;$J41)&gt;=AB$83),"●",""),"")</f>
        <v/>
      </c>
      <c r="AC41" s="80" t="str">
        <f>IF(AND($I41&lt;&gt;"",$J41&lt;&gt;""),IF(AND(DATEVALUE("1-"&amp;$I41)&lt;=AC$83,DATEVALUE("1-"&amp;$J41)&gt;=AC$83),"●",""),"")</f>
        <v/>
      </c>
      <c r="AD41" s="80" t="str">
        <f>IF(AND($I41&lt;&gt;"",$J41&lt;&gt;""),IF(AND(DATEVALUE("1-"&amp;$I41)&lt;=AD$83,DATEVALUE("1-"&amp;$J41)&gt;=AD$83),"●",""),"")</f>
        <v/>
      </c>
      <c r="AE41" s="80" t="str">
        <f>IF(AND($I41&lt;&gt;"",$J41&lt;&gt;""),IF(AND(DATEVALUE("1-"&amp;$I41)&lt;=AE$83,DATEVALUE("1-"&amp;$J41)&gt;=AE$83),"●",""),"")</f>
        <v/>
      </c>
      <c r="AF41" s="80" t="str">
        <f>IF(AND($I41&lt;&gt;"",$J41&lt;&gt;""),IF(AND(DATEVALUE("1-"&amp;$I41)&lt;=AF$83,DATEVALUE("1-"&amp;$J41)&gt;=AF$83),"●",""),"")</f>
        <v/>
      </c>
      <c r="AG41" s="80" t="str">
        <f>IF(AND($I41&lt;&gt;"",$J41&lt;&gt;""),IF(AND(DATEVALUE("1-"&amp;$I41)&lt;=AG$83,DATEVALUE("1-"&amp;$J41)&gt;=AG$83),"●",""),"")</f>
        <v/>
      </c>
      <c r="AH41" s="80" t="str">
        <f>IF(AND($I41&lt;&gt;"",$J41&lt;&gt;""),IF(AND(DATEVALUE("1-"&amp;$I41)&lt;=AH$83,DATEVALUE("1-"&amp;$J41)&gt;=AH$83),"●",""),"")</f>
        <v/>
      </c>
      <c r="AI41" s="80" t="str">
        <f>IF(AND($I41&lt;&gt;"",$J41&lt;&gt;""),IF(AND(DATEVALUE("1-"&amp;$I41)&lt;=AI$83,DATEVALUE("1-"&amp;$J41)&gt;=AI$83),"●",""),"")</f>
        <v/>
      </c>
      <c r="AJ41" s="80" t="str">
        <f>IF(AND($I41&lt;&gt;"",$J41&lt;&gt;""),IF(AND(DATEVALUE("1-"&amp;$I41)&lt;=AJ$83,DATEVALUE("1-"&amp;$J41)&gt;=AJ$83),"●",""),"")</f>
        <v/>
      </c>
      <c r="AK41" s="80" t="str">
        <f>IF(AND($I41&lt;&gt;"",$J41&lt;&gt;""),IF(AND(DATEVALUE("1-"&amp;$I41)&lt;=AK$83,DATEVALUE("1-"&amp;$J41)&gt;=AK$83),"●",""),"")</f>
        <v/>
      </c>
    </row>
    <row r="42" spans="1:37" ht="15" customHeight="1">
      <c r="A42" s="519"/>
      <c r="B42" s="90" t="s">
        <v>2641</v>
      </c>
      <c r="C42" s="3" t="s">
        <v>2577</v>
      </c>
      <c r="D42" s="3" t="s">
        <v>20</v>
      </c>
      <c r="E42" s="3" t="s">
        <v>2642</v>
      </c>
      <c r="F42" s="3"/>
      <c r="G42" s="78" t="s">
        <v>2565</v>
      </c>
      <c r="H42" s="3" t="s">
        <v>2545</v>
      </c>
      <c r="I42" s="78" t="s">
        <v>2638</v>
      </c>
      <c r="J42" s="78" t="s">
        <v>2639</v>
      </c>
      <c r="K42" s="80" t="str">
        <f>IF(AND($I42&lt;&gt;"",$J42&lt;&gt;""),IF(AND(DATEVALUE("1-"&amp;$I42)&lt;=K$83,DATEVALUE("1-"&amp;$J42)&gt;=K$83),"●",""),"")</f>
        <v/>
      </c>
      <c r="L42" s="80" t="str">
        <f>IF(AND($I42&lt;&gt;"",$J42&lt;&gt;""),IF(AND(DATEVALUE("1-"&amp;$I42)&lt;=L$83,DATEVALUE("1-"&amp;$J42)&gt;=L$83),"●",""),"")</f>
        <v/>
      </c>
      <c r="M42" s="80" t="str">
        <f>IF(AND($I42&lt;&gt;"",$J42&lt;&gt;""),IF(AND(DATEVALUE("1-"&amp;$I42)&lt;=M$83,DATEVALUE("1-"&amp;$J42)&gt;=M$83),"●",""),"")</f>
        <v/>
      </c>
      <c r="N42" s="80" t="str">
        <f>IF(AND($I42&lt;&gt;"",$J42&lt;&gt;""),IF(AND(DATEVALUE("1-"&amp;$I42)&lt;=N$83,DATEVALUE("1-"&amp;$J42)&gt;=N$83),"●",""),"")</f>
        <v/>
      </c>
      <c r="O42" s="80" t="str">
        <f>IF(AND($I42&lt;&gt;"",$J42&lt;&gt;""),IF(AND(DATEVALUE("1-"&amp;$I42)&lt;=O$83,DATEVALUE("1-"&amp;$J42)&gt;=O$83),"●",""),"")</f>
        <v/>
      </c>
      <c r="P42" s="80" t="str">
        <f>IF(AND($I42&lt;&gt;"",$J42&lt;&gt;""),IF(AND(DATEVALUE("1-"&amp;$I42)&lt;=P$83,DATEVALUE("1-"&amp;$J42)&gt;=P$83),"●",""),"")</f>
        <v/>
      </c>
      <c r="Q42" s="80" t="str">
        <f>IF(AND($I42&lt;&gt;"",$J42&lt;&gt;""),IF(AND(DATEVALUE("1-"&amp;$I42)&lt;=Q$83,DATEVALUE("1-"&amp;$J42)&gt;=Q$83),"●",""),"")</f>
        <v/>
      </c>
      <c r="R42" s="80" t="str">
        <f>IF(AND($I42&lt;&gt;"",$J42&lt;&gt;""),IF(AND(DATEVALUE("1-"&amp;$I42)&lt;=R$83,DATEVALUE("1-"&amp;$J42)&gt;=R$83),"●",""),"")</f>
        <v>●</v>
      </c>
      <c r="S42" s="80" t="str">
        <f>IF(AND($I42&lt;&gt;"",$J42&lt;&gt;""),IF(AND(DATEVALUE("1-"&amp;$I42)&lt;=S$83,DATEVALUE("1-"&amp;$J42)&gt;=S$83),"●",""),"")</f>
        <v>●</v>
      </c>
      <c r="T42" s="80" t="str">
        <f>IF(AND($I42&lt;&gt;"",$J42&lt;&gt;""),IF(AND(DATEVALUE("1-"&amp;$I42)&lt;=T$83,DATEVALUE("1-"&amp;$J42)&gt;=T$83),"●",""),"")</f>
        <v/>
      </c>
      <c r="U42" s="80" t="str">
        <f>IF(AND($I42&lt;&gt;"",$J42&lt;&gt;""),IF(AND(DATEVALUE("1-"&amp;$I42)&lt;=U$83,DATEVALUE("1-"&amp;$J42)&gt;=U$83),"●",""),"")</f>
        <v/>
      </c>
      <c r="V42" s="80" t="str">
        <f>IF(AND($I42&lt;&gt;"",$J42&lt;&gt;""),IF(AND(DATEVALUE("1-"&amp;$I42)&lt;=V$83,DATEVALUE("1-"&amp;$J42)&gt;=V$83),"●",""),"")</f>
        <v/>
      </c>
      <c r="W42" s="80" t="str">
        <f>IF(AND($I42&lt;&gt;"",$J42&lt;&gt;""),IF(AND(DATEVALUE("1-"&amp;$I42)&lt;=W$83,DATEVALUE("1-"&amp;$J42)&gt;=W$83),"●",""),"")</f>
        <v/>
      </c>
      <c r="X42" s="80" t="str">
        <f>IF(AND($I42&lt;&gt;"",$J42&lt;&gt;""),IF(AND(DATEVALUE("1-"&amp;$I42)&lt;=X$83,DATEVALUE("1-"&amp;$J42)&gt;=X$83),"●",""),"")</f>
        <v/>
      </c>
      <c r="Y42" s="80" t="str">
        <f>IF(AND($I42&lt;&gt;"",$J42&lt;&gt;""),IF(AND(DATEVALUE("1-"&amp;$I42)&lt;=Y$83,DATEVALUE("1-"&amp;$J42)&gt;=Y$83),"●",""),"")</f>
        <v/>
      </c>
      <c r="Z42" s="80" t="str">
        <f>IF(AND($I42&lt;&gt;"",$J42&lt;&gt;""),IF(AND(DATEVALUE("1-"&amp;$I42)&lt;=Z$83,DATEVALUE("1-"&amp;$J42)&gt;=Z$83),"●",""),"")</f>
        <v/>
      </c>
      <c r="AA42" s="80" t="str">
        <f>IF(AND($I42&lt;&gt;"",$J42&lt;&gt;""),IF(AND(DATEVALUE("1-"&amp;$I42)&lt;=AA$83,DATEVALUE("1-"&amp;$J42)&gt;=AA$83),"●",""),"")</f>
        <v/>
      </c>
      <c r="AB42" s="80" t="str">
        <f>IF(AND($I42&lt;&gt;"",$J42&lt;&gt;""),IF(AND(DATEVALUE("1-"&amp;$I42)&lt;=AB$83,DATEVALUE("1-"&amp;$J42)&gt;=AB$83),"●",""),"")</f>
        <v/>
      </c>
      <c r="AC42" s="80" t="str">
        <f>IF(AND($I42&lt;&gt;"",$J42&lt;&gt;""),IF(AND(DATEVALUE("1-"&amp;$I42)&lt;=AC$83,DATEVALUE("1-"&amp;$J42)&gt;=AC$83),"●",""),"")</f>
        <v/>
      </c>
      <c r="AD42" s="80" t="str">
        <f>IF(AND($I42&lt;&gt;"",$J42&lt;&gt;""),IF(AND(DATEVALUE("1-"&amp;$I42)&lt;=AD$83,DATEVALUE("1-"&amp;$J42)&gt;=AD$83),"●",""),"")</f>
        <v/>
      </c>
      <c r="AE42" s="80" t="str">
        <f>IF(AND($I42&lt;&gt;"",$J42&lt;&gt;""),IF(AND(DATEVALUE("1-"&amp;$I42)&lt;=AE$83,DATEVALUE("1-"&amp;$J42)&gt;=AE$83),"●",""),"")</f>
        <v/>
      </c>
      <c r="AF42" s="80" t="str">
        <f>IF(AND($I42&lt;&gt;"",$J42&lt;&gt;""),IF(AND(DATEVALUE("1-"&amp;$I42)&lt;=AF$83,DATEVALUE("1-"&amp;$J42)&gt;=AF$83),"●",""),"")</f>
        <v/>
      </c>
      <c r="AG42" s="80" t="str">
        <f>IF(AND($I42&lt;&gt;"",$J42&lt;&gt;""),IF(AND(DATEVALUE("1-"&amp;$I42)&lt;=AG$83,DATEVALUE("1-"&amp;$J42)&gt;=AG$83),"●",""),"")</f>
        <v/>
      </c>
      <c r="AH42" s="80" t="str">
        <f>IF(AND($I42&lt;&gt;"",$J42&lt;&gt;""),IF(AND(DATEVALUE("1-"&amp;$I42)&lt;=AH$83,DATEVALUE("1-"&amp;$J42)&gt;=AH$83),"●",""),"")</f>
        <v/>
      </c>
      <c r="AI42" s="80" t="str">
        <f>IF(AND($I42&lt;&gt;"",$J42&lt;&gt;""),IF(AND(DATEVALUE("1-"&amp;$I42)&lt;=AI$83,DATEVALUE("1-"&amp;$J42)&gt;=AI$83),"●",""),"")</f>
        <v/>
      </c>
      <c r="AJ42" s="80" t="str">
        <f>IF(AND($I42&lt;&gt;"",$J42&lt;&gt;""),IF(AND(DATEVALUE("1-"&amp;$I42)&lt;=AJ$83,DATEVALUE("1-"&amp;$J42)&gt;=AJ$83),"●",""),"")</f>
        <v/>
      </c>
      <c r="AK42" s="80" t="str">
        <f>IF(AND($I42&lt;&gt;"",$J42&lt;&gt;""),IF(AND(DATEVALUE("1-"&amp;$I42)&lt;=AK$83,DATEVALUE("1-"&amp;$J42)&gt;=AK$83),"●",""),"")</f>
        <v/>
      </c>
    </row>
    <row r="43" spans="1:37" ht="15" customHeight="1">
      <c r="A43" s="519"/>
      <c r="B43" s="90" t="s">
        <v>2643</v>
      </c>
      <c r="C43" s="3" t="s">
        <v>2577</v>
      </c>
      <c r="D43" s="3" t="s">
        <v>20</v>
      </c>
      <c r="E43" s="3" t="s">
        <v>699</v>
      </c>
      <c r="F43" s="3"/>
      <c r="G43" s="78" t="s">
        <v>2565</v>
      </c>
      <c r="H43" s="3" t="s">
        <v>2545</v>
      </c>
      <c r="I43" s="78" t="s">
        <v>2597</v>
      </c>
      <c r="J43" s="78" t="s">
        <v>2638</v>
      </c>
      <c r="K43" s="80" t="str">
        <f>IF(AND($I43&lt;&gt;"",$J43&lt;&gt;""),IF(AND(DATEVALUE("1-"&amp;$I43)&lt;=K$83,DATEVALUE("1-"&amp;$J43)&gt;=K$83),"●",""),"")</f>
        <v/>
      </c>
      <c r="L43" s="80" t="str">
        <f>IF(AND($I43&lt;&gt;"",$J43&lt;&gt;""),IF(AND(DATEVALUE("1-"&amp;$I43)&lt;=L$83,DATEVALUE("1-"&amp;$J43)&gt;=L$83),"●",""),"")</f>
        <v/>
      </c>
      <c r="M43" s="80" t="str">
        <f>IF(AND($I43&lt;&gt;"",$J43&lt;&gt;""),IF(AND(DATEVALUE("1-"&amp;$I43)&lt;=M$83,DATEVALUE("1-"&amp;$J43)&gt;=M$83),"●",""),"")</f>
        <v/>
      </c>
      <c r="N43" s="80" t="str">
        <f>IF(AND($I43&lt;&gt;"",$J43&lt;&gt;""),IF(AND(DATEVALUE("1-"&amp;$I43)&lt;=N$83,DATEVALUE("1-"&amp;$J43)&gt;=N$83),"●",""),"")</f>
        <v/>
      </c>
      <c r="O43" s="80" t="str">
        <f>IF(AND($I43&lt;&gt;"",$J43&lt;&gt;""),IF(AND(DATEVALUE("1-"&amp;$I43)&lt;=O$83,DATEVALUE("1-"&amp;$J43)&gt;=O$83),"●",""),"")</f>
        <v/>
      </c>
      <c r="P43" s="80" t="str">
        <f>IF(AND($I43&lt;&gt;"",$J43&lt;&gt;""),IF(AND(DATEVALUE("1-"&amp;$I43)&lt;=P$83,DATEVALUE("1-"&amp;$J43)&gt;=P$83),"●",""),"")</f>
        <v/>
      </c>
      <c r="Q43" s="80" t="str">
        <f>IF(AND($I43&lt;&gt;"",$J43&lt;&gt;""),IF(AND(DATEVALUE("1-"&amp;$I43)&lt;=Q$83,DATEVALUE("1-"&amp;$J43)&gt;=Q$83),"●",""),"")</f>
        <v>●</v>
      </c>
      <c r="R43" s="80" t="str">
        <f>IF(AND($I43&lt;&gt;"",$J43&lt;&gt;""),IF(AND(DATEVALUE("1-"&amp;$I43)&lt;=R$83,DATEVALUE("1-"&amp;$J43)&gt;=R$83),"●",""),"")</f>
        <v>●</v>
      </c>
      <c r="S43" s="80" t="str">
        <f>IF(AND($I43&lt;&gt;"",$J43&lt;&gt;""),IF(AND(DATEVALUE("1-"&amp;$I43)&lt;=S$83,DATEVALUE("1-"&amp;$J43)&gt;=S$83),"●",""),"")</f>
        <v/>
      </c>
      <c r="T43" s="80" t="str">
        <f>IF(AND($I43&lt;&gt;"",$J43&lt;&gt;""),IF(AND(DATEVALUE("1-"&amp;$I43)&lt;=T$83,DATEVALUE("1-"&amp;$J43)&gt;=T$83),"●",""),"")</f>
        <v/>
      </c>
      <c r="U43" s="80" t="str">
        <f>IF(AND($I43&lt;&gt;"",$J43&lt;&gt;""),IF(AND(DATEVALUE("1-"&amp;$I43)&lt;=U$83,DATEVALUE("1-"&amp;$J43)&gt;=U$83),"●",""),"")</f>
        <v/>
      </c>
      <c r="V43" s="80" t="str">
        <f>IF(AND($I43&lt;&gt;"",$J43&lt;&gt;""),IF(AND(DATEVALUE("1-"&amp;$I43)&lt;=V$83,DATEVALUE("1-"&amp;$J43)&gt;=V$83),"●",""),"")</f>
        <v/>
      </c>
      <c r="W43" s="80" t="str">
        <f>IF(AND($I43&lt;&gt;"",$J43&lt;&gt;""),IF(AND(DATEVALUE("1-"&amp;$I43)&lt;=W$83,DATEVALUE("1-"&amp;$J43)&gt;=W$83),"●",""),"")</f>
        <v/>
      </c>
      <c r="X43" s="80" t="str">
        <f>IF(AND($I43&lt;&gt;"",$J43&lt;&gt;""),IF(AND(DATEVALUE("1-"&amp;$I43)&lt;=X$83,DATEVALUE("1-"&amp;$J43)&gt;=X$83),"●",""),"")</f>
        <v/>
      </c>
      <c r="Y43" s="80" t="str">
        <f>IF(AND($I43&lt;&gt;"",$J43&lt;&gt;""),IF(AND(DATEVALUE("1-"&amp;$I43)&lt;=Y$83,DATEVALUE("1-"&amp;$J43)&gt;=Y$83),"●",""),"")</f>
        <v/>
      </c>
      <c r="Z43" s="80" t="str">
        <f>IF(AND($I43&lt;&gt;"",$J43&lt;&gt;""),IF(AND(DATEVALUE("1-"&amp;$I43)&lt;=Z$83,DATEVALUE("1-"&amp;$J43)&gt;=Z$83),"●",""),"")</f>
        <v/>
      </c>
      <c r="AA43" s="80" t="str">
        <f>IF(AND($I43&lt;&gt;"",$J43&lt;&gt;""),IF(AND(DATEVALUE("1-"&amp;$I43)&lt;=AA$83,DATEVALUE("1-"&amp;$J43)&gt;=AA$83),"●",""),"")</f>
        <v/>
      </c>
      <c r="AB43" s="80" t="str">
        <f>IF(AND($I43&lt;&gt;"",$J43&lt;&gt;""),IF(AND(DATEVALUE("1-"&amp;$I43)&lt;=AB$83,DATEVALUE("1-"&amp;$J43)&gt;=AB$83),"●",""),"")</f>
        <v/>
      </c>
      <c r="AC43" s="80" t="str">
        <f>IF(AND($I43&lt;&gt;"",$J43&lt;&gt;""),IF(AND(DATEVALUE("1-"&amp;$I43)&lt;=AC$83,DATEVALUE("1-"&amp;$J43)&gt;=AC$83),"●",""),"")</f>
        <v/>
      </c>
      <c r="AD43" s="80" t="str">
        <f>IF(AND($I43&lt;&gt;"",$J43&lt;&gt;""),IF(AND(DATEVALUE("1-"&amp;$I43)&lt;=AD$83,DATEVALUE("1-"&amp;$J43)&gt;=AD$83),"●",""),"")</f>
        <v/>
      </c>
      <c r="AE43" s="80" t="str">
        <f>IF(AND($I43&lt;&gt;"",$J43&lt;&gt;""),IF(AND(DATEVALUE("1-"&amp;$I43)&lt;=AE$83,DATEVALUE("1-"&amp;$J43)&gt;=AE$83),"●",""),"")</f>
        <v/>
      </c>
      <c r="AF43" s="80" t="str">
        <f>IF(AND($I43&lt;&gt;"",$J43&lt;&gt;""),IF(AND(DATEVALUE("1-"&amp;$I43)&lt;=AF$83,DATEVALUE("1-"&amp;$J43)&gt;=AF$83),"●",""),"")</f>
        <v/>
      </c>
      <c r="AG43" s="80" t="str">
        <f>IF(AND($I43&lt;&gt;"",$J43&lt;&gt;""),IF(AND(DATEVALUE("1-"&amp;$I43)&lt;=AG$83,DATEVALUE("1-"&amp;$J43)&gt;=AG$83),"●",""),"")</f>
        <v/>
      </c>
      <c r="AH43" s="80" t="str">
        <f>IF(AND($I43&lt;&gt;"",$J43&lt;&gt;""),IF(AND(DATEVALUE("1-"&amp;$I43)&lt;=AH$83,DATEVALUE("1-"&amp;$J43)&gt;=AH$83),"●",""),"")</f>
        <v/>
      </c>
      <c r="AI43" s="80" t="str">
        <f>IF(AND($I43&lt;&gt;"",$J43&lt;&gt;""),IF(AND(DATEVALUE("1-"&amp;$I43)&lt;=AI$83,DATEVALUE("1-"&amp;$J43)&gt;=AI$83),"●",""),"")</f>
        <v/>
      </c>
      <c r="AJ43" s="80" t="str">
        <f>IF(AND($I43&lt;&gt;"",$J43&lt;&gt;""),IF(AND(DATEVALUE("1-"&amp;$I43)&lt;=AJ$83,DATEVALUE("1-"&amp;$J43)&gt;=AJ$83),"●",""),"")</f>
        <v/>
      </c>
      <c r="AK43" s="80" t="str">
        <f>IF(AND($I43&lt;&gt;"",$J43&lt;&gt;""),IF(AND(DATEVALUE("1-"&amp;$I43)&lt;=AK$83,DATEVALUE("1-"&amp;$J43)&gt;=AK$83),"●",""),"")</f>
        <v/>
      </c>
    </row>
    <row r="44" spans="1:37" ht="15" customHeight="1">
      <c r="A44" s="519"/>
      <c r="B44" s="3" t="s">
        <v>2644</v>
      </c>
      <c r="C44" s="3" t="s">
        <v>2577</v>
      </c>
      <c r="D44" s="3" t="s">
        <v>23</v>
      </c>
      <c r="E44" s="3" t="s">
        <v>2645</v>
      </c>
      <c r="F44" s="3"/>
      <c r="G44" s="78" t="s">
        <v>2565</v>
      </c>
      <c r="H44" s="3" t="s">
        <v>2545</v>
      </c>
      <c r="I44" s="78" t="s">
        <v>2638</v>
      </c>
      <c r="J44" s="78" t="s">
        <v>2639</v>
      </c>
      <c r="K44" s="80" t="str">
        <f>IF(AND($I44&lt;&gt;"",$J44&lt;&gt;""),IF(AND(DATEVALUE("1-"&amp;$I44)&lt;=K$83,DATEVALUE("1-"&amp;$J44)&gt;=K$83),"●",""),"")</f>
        <v/>
      </c>
      <c r="L44" s="80" t="str">
        <f>IF(AND($I44&lt;&gt;"",$J44&lt;&gt;""),IF(AND(DATEVALUE("1-"&amp;$I44)&lt;=L$83,DATEVALUE("1-"&amp;$J44)&gt;=L$83),"●",""),"")</f>
        <v/>
      </c>
      <c r="M44" s="80" t="str">
        <f>IF(AND($I44&lt;&gt;"",$J44&lt;&gt;""),IF(AND(DATEVALUE("1-"&amp;$I44)&lt;=M$83,DATEVALUE("1-"&amp;$J44)&gt;=M$83),"●",""),"")</f>
        <v/>
      </c>
      <c r="N44" s="80" t="str">
        <f>IF(AND($I44&lt;&gt;"",$J44&lt;&gt;""),IF(AND(DATEVALUE("1-"&amp;$I44)&lt;=N$83,DATEVALUE("1-"&amp;$J44)&gt;=N$83),"●",""),"")</f>
        <v/>
      </c>
      <c r="O44" s="80" t="str">
        <f>IF(AND($I44&lt;&gt;"",$J44&lt;&gt;""),IF(AND(DATEVALUE("1-"&amp;$I44)&lt;=O$83,DATEVALUE("1-"&amp;$J44)&gt;=O$83),"●",""),"")</f>
        <v/>
      </c>
      <c r="P44" s="80" t="str">
        <f>IF(AND($I44&lt;&gt;"",$J44&lt;&gt;""),IF(AND(DATEVALUE("1-"&amp;$I44)&lt;=P$83,DATEVALUE("1-"&amp;$J44)&gt;=P$83),"●",""),"")</f>
        <v/>
      </c>
      <c r="Q44" s="80" t="str">
        <f>IF(AND($I44&lt;&gt;"",$J44&lt;&gt;""),IF(AND(DATEVALUE("1-"&amp;$I44)&lt;=Q$83,DATEVALUE("1-"&amp;$J44)&gt;=Q$83),"●",""),"")</f>
        <v/>
      </c>
      <c r="R44" s="80"/>
      <c r="S44" s="80"/>
      <c r="T44" s="80" t="str">
        <f>IF(AND($I44&lt;&gt;"",$J44&lt;&gt;""),IF(AND(DATEVALUE("1-"&amp;$I44)&lt;=T$83,DATEVALUE("1-"&amp;$J44)&gt;=T$83),"●",""),"")</f>
        <v/>
      </c>
      <c r="U44" s="80" t="str">
        <f>IF(AND($I44&lt;&gt;"",$J44&lt;&gt;""),IF(AND(DATEVALUE("1-"&amp;$I44)&lt;=U$83,DATEVALUE("1-"&amp;$J44)&gt;=U$83),"●",""),"")</f>
        <v/>
      </c>
      <c r="V44" s="80" t="str">
        <f>IF(AND($I44&lt;&gt;"",$J44&lt;&gt;""),IF(AND(DATEVALUE("1-"&amp;$I44)&lt;=V$83,DATEVALUE("1-"&amp;$J44)&gt;=V$83),"●",""),"")</f>
        <v/>
      </c>
      <c r="W44" s="80" t="str">
        <f>IF(AND($I44&lt;&gt;"",$J44&lt;&gt;""),IF(AND(DATEVALUE("1-"&amp;$I44)&lt;=W$83,DATEVALUE("1-"&amp;$J44)&gt;=W$83),"●",""),"")</f>
        <v/>
      </c>
      <c r="X44" s="80" t="str">
        <f>IF(AND($I44&lt;&gt;"",$J44&lt;&gt;""),IF(AND(DATEVALUE("1-"&amp;$I44)&lt;=X$83,DATEVALUE("1-"&amp;$J44)&gt;=X$83),"●",""),"")</f>
        <v/>
      </c>
      <c r="Y44" s="80" t="str">
        <f>IF(AND($I44&lt;&gt;"",$J44&lt;&gt;""),IF(AND(DATEVALUE("1-"&amp;$I44)&lt;=Y$83,DATEVALUE("1-"&amp;$J44)&gt;=Y$83),"●",""),"")</f>
        <v/>
      </c>
      <c r="Z44" s="80" t="str">
        <f>IF(AND($I44&lt;&gt;"",$J44&lt;&gt;""),IF(AND(DATEVALUE("1-"&amp;$I44)&lt;=Z$83,DATEVALUE("1-"&amp;$J44)&gt;=Z$83),"●",""),"")</f>
        <v/>
      </c>
      <c r="AA44" s="80" t="str">
        <f>IF(AND($I44&lt;&gt;"",$J44&lt;&gt;""),IF(AND(DATEVALUE("1-"&amp;$I44)&lt;=AA$83,DATEVALUE("1-"&amp;$J44)&gt;=AA$83),"●",""),"")</f>
        <v/>
      </c>
      <c r="AB44" s="80" t="str">
        <f>IF(AND($I44&lt;&gt;"",$J44&lt;&gt;""),IF(AND(DATEVALUE("1-"&amp;$I44)&lt;=AB$83,DATEVALUE("1-"&amp;$J44)&gt;=AB$83),"●",""),"")</f>
        <v/>
      </c>
      <c r="AC44" s="80" t="str">
        <f>IF(AND($I44&lt;&gt;"",$J44&lt;&gt;""),IF(AND(DATEVALUE("1-"&amp;$I44)&lt;=AC$83,DATEVALUE("1-"&amp;$J44)&gt;=AC$83),"●",""),"")</f>
        <v/>
      </c>
      <c r="AD44" s="80" t="str">
        <f>IF(AND($I44&lt;&gt;"",$J44&lt;&gt;""),IF(AND(DATEVALUE("1-"&amp;$I44)&lt;=AD$83,DATEVALUE("1-"&amp;$J44)&gt;=AD$83),"●",""),"")</f>
        <v/>
      </c>
      <c r="AE44" s="80" t="str">
        <f>IF(AND($I44&lt;&gt;"",$J44&lt;&gt;""),IF(AND(DATEVALUE("1-"&amp;$I44)&lt;=AE$83,DATEVALUE("1-"&amp;$J44)&gt;=AE$83),"●",""),"")</f>
        <v/>
      </c>
      <c r="AF44" s="80" t="str">
        <f>IF(AND($I44&lt;&gt;"",$J44&lt;&gt;""),IF(AND(DATEVALUE("1-"&amp;$I44)&lt;=AF$83,DATEVALUE("1-"&amp;$J44)&gt;=AF$83),"●",""),"")</f>
        <v/>
      </c>
      <c r="AG44" s="80" t="str">
        <f>IF(AND($I44&lt;&gt;"",$J44&lt;&gt;""),IF(AND(DATEVALUE("1-"&amp;$I44)&lt;=AG$83,DATEVALUE("1-"&amp;$J44)&gt;=AG$83),"●",""),"")</f>
        <v/>
      </c>
      <c r="AH44" s="80" t="str">
        <f>IF(AND($I44&lt;&gt;"",$J44&lt;&gt;""),IF(AND(DATEVALUE("1-"&amp;$I44)&lt;=AH$83,DATEVALUE("1-"&amp;$J44)&gt;=AH$83),"●",""),"")</f>
        <v/>
      </c>
      <c r="AI44" s="80" t="str">
        <f>IF(AND($I44&lt;&gt;"",$J44&lt;&gt;""),IF(AND(DATEVALUE("1-"&amp;$I44)&lt;=AI$83,DATEVALUE("1-"&amp;$J44)&gt;=AI$83),"●",""),"")</f>
        <v/>
      </c>
      <c r="AJ44" s="80" t="str">
        <f>IF(AND($I44&lt;&gt;"",$J44&lt;&gt;""),IF(AND(DATEVALUE("1-"&amp;$I44)&lt;=AJ$83,DATEVALUE("1-"&amp;$J44)&gt;=AJ$83),"●",""),"")</f>
        <v/>
      </c>
      <c r="AK44" s="80" t="str">
        <f>IF(AND($I44&lt;&gt;"",$J44&lt;&gt;""),IF(AND(DATEVALUE("1-"&amp;$I44)&lt;=AK$83,DATEVALUE("1-"&amp;$J44)&gt;=AK$83),"●",""),"")</f>
        <v/>
      </c>
    </row>
    <row r="45" spans="1:37" ht="15" customHeight="1">
      <c r="A45" s="519"/>
      <c r="B45" s="81" t="s">
        <v>2646</v>
      </c>
      <c r="C45" s="3" t="s">
        <v>2577</v>
      </c>
      <c r="D45" s="3" t="s">
        <v>23</v>
      </c>
      <c r="E45" s="3" t="s">
        <v>2647</v>
      </c>
      <c r="F45" s="3"/>
      <c r="G45" s="78" t="s">
        <v>2565</v>
      </c>
      <c r="H45" s="3" t="s">
        <v>2545</v>
      </c>
      <c r="I45" s="78" t="s">
        <v>2639</v>
      </c>
      <c r="J45" s="78" t="s">
        <v>2546</v>
      </c>
      <c r="K45" s="80" t="str">
        <f>IF(AND($I45&lt;&gt;"",$J45&lt;&gt;""),IF(AND(DATEVALUE("1-"&amp;$I45)&lt;=K$83,DATEVALUE("1-"&amp;$J45)&gt;=K$83),"●",""),"")</f>
        <v/>
      </c>
      <c r="L45" s="80" t="str">
        <f>IF(AND($I45&lt;&gt;"",$J45&lt;&gt;""),IF(AND(DATEVALUE("1-"&amp;$I45)&lt;=L$83,DATEVALUE("1-"&amp;$J45)&gt;=L$83),"●",""),"")</f>
        <v/>
      </c>
      <c r="M45" s="80" t="str">
        <f>IF(AND($I45&lt;&gt;"",$J45&lt;&gt;""),IF(AND(DATEVALUE("1-"&amp;$I45)&lt;=M$83,DATEVALUE("1-"&amp;$J45)&gt;=M$83),"●",""),"")</f>
        <v/>
      </c>
      <c r="N45" s="80" t="str">
        <f>IF(AND($I45&lt;&gt;"",$J45&lt;&gt;""),IF(AND(DATEVALUE("1-"&amp;$I45)&lt;=N$83,DATEVALUE("1-"&amp;$J45)&gt;=N$83),"●",""),"")</f>
        <v/>
      </c>
      <c r="O45" s="80" t="str">
        <f>IF(AND($I45&lt;&gt;"",$J45&lt;&gt;""),IF(AND(DATEVALUE("1-"&amp;$I45)&lt;=O$83,DATEVALUE("1-"&amp;$J45)&gt;=O$83),"●",""),"")</f>
        <v/>
      </c>
      <c r="P45" s="80" t="str">
        <f>IF(AND($I45&lt;&gt;"",$J45&lt;&gt;""),IF(AND(DATEVALUE("1-"&amp;$I45)&lt;=P$83,DATEVALUE("1-"&amp;$J45)&gt;=P$83),"●",""),"")</f>
        <v/>
      </c>
      <c r="Q45" s="80" t="str">
        <f>IF(AND($I45&lt;&gt;"",$J45&lt;&gt;""),IF(AND(DATEVALUE("1-"&amp;$I45)&lt;=Q$83,DATEVALUE("1-"&amp;$J45)&gt;=Q$83),"●",""),"")</f>
        <v/>
      </c>
      <c r="R45" s="80" t="str">
        <f>IF(AND($I45&lt;&gt;"",$J45&lt;&gt;""),IF(AND(DATEVALUE("1-"&amp;$I45)&lt;=R$83,DATEVALUE("1-"&amp;$J45)&gt;=R$83),"●",""),"")</f>
        <v/>
      </c>
      <c r="S45" s="80" t="str">
        <f>IF(AND($I45&lt;&gt;"",$J45&lt;&gt;""),IF(AND(DATEVALUE("1-"&amp;$I45)&lt;=S$83,DATEVALUE("1-"&amp;$J45)&gt;=S$83),"●",""),"")</f>
        <v>●</v>
      </c>
      <c r="T45" s="80" t="str">
        <f>IF(AND($I45&lt;&gt;"",$J45&lt;&gt;""),IF(AND(DATEVALUE("1-"&amp;$I45)&lt;=T$83,DATEVALUE("1-"&amp;$J45)&gt;=T$83),"●",""),"")</f>
        <v>●</v>
      </c>
      <c r="U45" s="80" t="str">
        <f>IF(AND($I45&lt;&gt;"",$J45&lt;&gt;""),IF(AND(DATEVALUE("1-"&amp;$I45)&lt;=U$83,DATEVALUE("1-"&amp;$J45)&gt;=U$83),"●",""),"")</f>
        <v/>
      </c>
      <c r="V45" s="80" t="str">
        <f>IF(AND($I45&lt;&gt;"",$J45&lt;&gt;""),IF(AND(DATEVALUE("1-"&amp;$I45)&lt;=V$83,DATEVALUE("1-"&amp;$J45)&gt;=V$83),"●",""),"")</f>
        <v/>
      </c>
      <c r="W45" s="80" t="str">
        <f>IF(AND($I45&lt;&gt;"",$J45&lt;&gt;""),IF(AND(DATEVALUE("1-"&amp;$I45)&lt;=W$83,DATEVALUE("1-"&amp;$J45)&gt;=W$83),"●",""),"")</f>
        <v/>
      </c>
      <c r="X45" s="80" t="str">
        <f>IF(AND($I45&lt;&gt;"",$J45&lt;&gt;""),IF(AND(DATEVALUE("1-"&amp;$I45)&lt;=X$83,DATEVALUE("1-"&amp;$J45)&gt;=X$83),"●",""),"")</f>
        <v/>
      </c>
      <c r="Y45" s="80" t="str">
        <f>IF(AND($I45&lt;&gt;"",$J45&lt;&gt;""),IF(AND(DATEVALUE("1-"&amp;$I45)&lt;=Y$83,DATEVALUE("1-"&amp;$J45)&gt;=Y$83),"●",""),"")</f>
        <v/>
      </c>
      <c r="Z45" s="80" t="str">
        <f>IF(AND($I45&lt;&gt;"",$J45&lt;&gt;""),IF(AND(DATEVALUE("1-"&amp;$I45)&lt;=Z$83,DATEVALUE("1-"&amp;$J45)&gt;=Z$83),"●",""),"")</f>
        <v/>
      </c>
      <c r="AA45" s="80" t="str">
        <f>IF(AND($I45&lt;&gt;"",$J45&lt;&gt;""),IF(AND(DATEVALUE("1-"&amp;$I45)&lt;=AA$83,DATEVALUE("1-"&amp;$J45)&gt;=AA$83),"●",""),"")</f>
        <v/>
      </c>
      <c r="AB45" s="80" t="str">
        <f>IF(AND($I45&lt;&gt;"",$J45&lt;&gt;""),IF(AND(DATEVALUE("1-"&amp;$I45)&lt;=AB$83,DATEVALUE("1-"&amp;$J45)&gt;=AB$83),"●",""),"")</f>
        <v/>
      </c>
      <c r="AC45" s="80" t="str">
        <f>IF(AND($I45&lt;&gt;"",$J45&lt;&gt;""),IF(AND(DATEVALUE("1-"&amp;$I45)&lt;=AC$83,DATEVALUE("1-"&amp;$J45)&gt;=AC$83),"●",""),"")</f>
        <v/>
      </c>
      <c r="AD45" s="80" t="str">
        <f>IF(AND($I45&lt;&gt;"",$J45&lt;&gt;""),IF(AND(DATEVALUE("1-"&amp;$I45)&lt;=AD$83,DATEVALUE("1-"&amp;$J45)&gt;=AD$83),"●",""),"")</f>
        <v/>
      </c>
      <c r="AE45" s="80" t="str">
        <f>IF(AND($I45&lt;&gt;"",$J45&lt;&gt;""),IF(AND(DATEVALUE("1-"&amp;$I45)&lt;=AE$83,DATEVALUE("1-"&amp;$J45)&gt;=AE$83),"●",""),"")</f>
        <v/>
      </c>
      <c r="AF45" s="80" t="str">
        <f>IF(AND($I45&lt;&gt;"",$J45&lt;&gt;""),IF(AND(DATEVALUE("1-"&amp;$I45)&lt;=AF$83,DATEVALUE("1-"&amp;$J45)&gt;=AF$83),"●",""),"")</f>
        <v/>
      </c>
      <c r="AG45" s="80" t="str">
        <f>IF(AND($I45&lt;&gt;"",$J45&lt;&gt;""),IF(AND(DATEVALUE("1-"&amp;$I45)&lt;=AG$83,DATEVALUE("1-"&amp;$J45)&gt;=AG$83),"●",""),"")</f>
        <v/>
      </c>
      <c r="AH45" s="80" t="str">
        <f>IF(AND($I45&lt;&gt;"",$J45&lt;&gt;""),IF(AND(DATEVALUE("1-"&amp;$I45)&lt;=AH$83,DATEVALUE("1-"&amp;$J45)&gt;=AH$83),"●",""),"")</f>
        <v/>
      </c>
      <c r="AI45" s="80" t="str">
        <f>IF(AND($I45&lt;&gt;"",$J45&lt;&gt;""),IF(AND(DATEVALUE("1-"&amp;$I45)&lt;=AI$83,DATEVALUE("1-"&amp;$J45)&gt;=AI$83),"●",""),"")</f>
        <v/>
      </c>
      <c r="AJ45" s="80" t="str">
        <f>IF(AND($I45&lt;&gt;"",$J45&lt;&gt;""),IF(AND(DATEVALUE("1-"&amp;$I45)&lt;=AJ$83,DATEVALUE("1-"&amp;$J45)&gt;=AJ$83),"●",""),"")</f>
        <v/>
      </c>
      <c r="AK45" s="80" t="str">
        <f>IF(AND($I45&lt;&gt;"",$J45&lt;&gt;""),IF(AND(DATEVALUE("1-"&amp;$I45)&lt;=AK$83,DATEVALUE("1-"&amp;$J45)&gt;=AK$83),"●",""),"")</f>
        <v/>
      </c>
    </row>
    <row r="46" spans="1:37" ht="15" customHeight="1">
      <c r="A46" s="519"/>
      <c r="B46" s="3" t="s">
        <v>2648</v>
      </c>
      <c r="C46" s="3" t="s">
        <v>2577</v>
      </c>
      <c r="D46" s="3" t="s">
        <v>2609</v>
      </c>
      <c r="E46" s="3" t="s">
        <v>2649</v>
      </c>
      <c r="F46" s="3"/>
      <c r="G46" s="78" t="s">
        <v>2565</v>
      </c>
      <c r="H46" s="3" t="s">
        <v>2545</v>
      </c>
      <c r="I46" s="78" t="s">
        <v>2546</v>
      </c>
      <c r="J46" s="78" t="s">
        <v>2650</v>
      </c>
      <c r="K46" s="80" t="str">
        <f>IF(AND($I46&lt;&gt;"",$J46&lt;&gt;""),IF(AND(DATEVALUE("1-"&amp;$I46)&lt;=K$83,DATEVALUE("1-"&amp;$J46)&gt;=K$83),"●",""),"")</f>
        <v/>
      </c>
      <c r="L46" s="80" t="str">
        <f>IF(AND($I46&lt;&gt;"",$J46&lt;&gt;""),IF(AND(DATEVALUE("1-"&amp;$I46)&lt;=L$83,DATEVALUE("1-"&amp;$J46)&gt;=L$83),"●",""),"")</f>
        <v/>
      </c>
      <c r="M46" s="80" t="str">
        <f>IF(AND($I46&lt;&gt;"",$J46&lt;&gt;""),IF(AND(DATEVALUE("1-"&amp;$I46)&lt;=M$83,DATEVALUE("1-"&amp;$J46)&gt;=M$83),"●",""),"")</f>
        <v/>
      </c>
      <c r="N46" s="80" t="str">
        <f>IF(AND($I46&lt;&gt;"",$J46&lt;&gt;""),IF(AND(DATEVALUE("1-"&amp;$I46)&lt;=N$83,DATEVALUE("1-"&amp;$J46)&gt;=N$83),"●",""),"")</f>
        <v/>
      </c>
      <c r="O46" s="80" t="str">
        <f>IF(AND($I46&lt;&gt;"",$J46&lt;&gt;""),IF(AND(DATEVALUE("1-"&amp;$I46)&lt;=O$83,DATEVALUE("1-"&amp;$J46)&gt;=O$83),"●",""),"")</f>
        <v/>
      </c>
      <c r="P46" s="80" t="str">
        <f>IF(AND($I46&lt;&gt;"",$J46&lt;&gt;""),IF(AND(DATEVALUE("1-"&amp;$I46)&lt;=P$83,DATEVALUE("1-"&amp;$J46)&gt;=P$83),"●",""),"")</f>
        <v/>
      </c>
      <c r="Q46" s="80" t="str">
        <f>IF(AND($I46&lt;&gt;"",$J46&lt;&gt;""),IF(AND(DATEVALUE("1-"&amp;$I46)&lt;=Q$83,DATEVALUE("1-"&amp;$J46)&gt;=Q$83),"●",""),"")</f>
        <v/>
      </c>
      <c r="R46" s="80" t="str">
        <f>IF(AND($I46&lt;&gt;"",$J46&lt;&gt;""),IF(AND(DATEVALUE("1-"&amp;$I46)&lt;=R$83,DATEVALUE("1-"&amp;$J46)&gt;=R$83),"●",""),"")</f>
        <v/>
      </c>
      <c r="S46" s="80" t="str">
        <f>IF(AND($I46&lt;&gt;"",$J46&lt;&gt;""),IF(AND(DATEVALUE("1-"&amp;$I46)&lt;=S$83,DATEVALUE("1-"&amp;$J46)&gt;=S$83),"●",""),"")</f>
        <v/>
      </c>
      <c r="T46" s="80" t="str">
        <f>IF(AND($I46&lt;&gt;"",$J46&lt;&gt;""),IF(AND(DATEVALUE("1-"&amp;$I46)&lt;=T$83,DATEVALUE("1-"&amp;$J46)&gt;=T$83),"●",""),"")</f>
        <v>●</v>
      </c>
      <c r="U46" s="80" t="str">
        <f>IF(AND($I46&lt;&gt;"",$J46&lt;&gt;""),IF(AND(DATEVALUE("1-"&amp;$I46)&lt;=U$83,DATEVALUE("1-"&amp;$J46)&gt;=U$83),"●",""),"")</f>
        <v>●</v>
      </c>
      <c r="V46" s="80" t="str">
        <f>IF(AND($I46&lt;&gt;"",$J46&lt;&gt;""),IF(AND(DATEVALUE("1-"&amp;$I46)&lt;=V$83,DATEVALUE("1-"&amp;$J46)&gt;=V$83),"●",""),"")</f>
        <v/>
      </c>
      <c r="W46" s="80" t="str">
        <f>IF(AND($I46&lt;&gt;"",$J46&lt;&gt;""),IF(AND(DATEVALUE("1-"&amp;$I46)&lt;=W$83,DATEVALUE("1-"&amp;$J46)&gt;=W$83),"●",""),"")</f>
        <v/>
      </c>
      <c r="X46" s="80" t="str">
        <f>IF(AND($I46&lt;&gt;"",$J46&lt;&gt;""),IF(AND(DATEVALUE("1-"&amp;$I46)&lt;=X$83,DATEVALUE("1-"&amp;$J46)&gt;=X$83),"●",""),"")</f>
        <v/>
      </c>
      <c r="Y46" s="80" t="str">
        <f>IF(AND($I46&lt;&gt;"",$J46&lt;&gt;""),IF(AND(DATEVALUE("1-"&amp;$I46)&lt;=Y$83,DATEVALUE("1-"&amp;$J46)&gt;=Y$83),"●",""),"")</f>
        <v/>
      </c>
      <c r="Z46" s="80" t="str">
        <f>IF(AND($I46&lt;&gt;"",$J46&lt;&gt;""),IF(AND(DATEVALUE("1-"&amp;$I46)&lt;=Z$83,DATEVALUE("1-"&amp;$J46)&gt;=Z$83),"●",""),"")</f>
        <v/>
      </c>
      <c r="AA46" s="80" t="str">
        <f>IF(AND($I46&lt;&gt;"",$J46&lt;&gt;""),IF(AND(DATEVALUE("1-"&amp;$I46)&lt;=AA$83,DATEVALUE("1-"&amp;$J46)&gt;=AA$83),"●",""),"")</f>
        <v/>
      </c>
      <c r="AB46" s="80" t="str">
        <f>IF(AND($I46&lt;&gt;"",$J46&lt;&gt;""),IF(AND(DATEVALUE("1-"&amp;$I46)&lt;=AB$83,DATEVALUE("1-"&amp;$J46)&gt;=AB$83),"●",""),"")</f>
        <v/>
      </c>
      <c r="AC46" s="80" t="str">
        <f>IF(AND($I46&lt;&gt;"",$J46&lt;&gt;""),IF(AND(DATEVALUE("1-"&amp;$I46)&lt;=AC$83,DATEVALUE("1-"&amp;$J46)&gt;=AC$83),"●",""),"")</f>
        <v/>
      </c>
      <c r="AD46" s="80" t="str">
        <f>IF(AND($I46&lt;&gt;"",$J46&lt;&gt;""),IF(AND(DATEVALUE("1-"&amp;$I46)&lt;=AD$83,DATEVALUE("1-"&amp;$J46)&gt;=AD$83),"●",""),"")</f>
        <v/>
      </c>
      <c r="AE46" s="80" t="str">
        <f>IF(AND($I46&lt;&gt;"",$J46&lt;&gt;""),IF(AND(DATEVALUE("1-"&amp;$I46)&lt;=AE$83,DATEVALUE("1-"&amp;$J46)&gt;=AE$83),"●",""),"")</f>
        <v/>
      </c>
      <c r="AF46" s="80" t="str">
        <f>IF(AND($I46&lt;&gt;"",$J46&lt;&gt;""),IF(AND(DATEVALUE("1-"&amp;$I46)&lt;=AF$83,DATEVALUE("1-"&amp;$J46)&gt;=AF$83),"●",""),"")</f>
        <v/>
      </c>
      <c r="AG46" s="80" t="str">
        <f>IF(AND($I46&lt;&gt;"",$J46&lt;&gt;""),IF(AND(DATEVALUE("1-"&amp;$I46)&lt;=AG$83,DATEVALUE("1-"&amp;$J46)&gt;=AG$83),"●",""),"")</f>
        <v/>
      </c>
      <c r="AH46" s="80" t="str">
        <f>IF(AND($I46&lt;&gt;"",$J46&lt;&gt;""),IF(AND(DATEVALUE("1-"&amp;$I46)&lt;=AH$83,DATEVALUE("1-"&amp;$J46)&gt;=AH$83),"●",""),"")</f>
        <v/>
      </c>
      <c r="AI46" s="80" t="str">
        <f>IF(AND($I46&lt;&gt;"",$J46&lt;&gt;""),IF(AND(DATEVALUE("1-"&amp;$I46)&lt;=AI$83,DATEVALUE("1-"&amp;$J46)&gt;=AI$83),"●",""),"")</f>
        <v/>
      </c>
      <c r="AJ46" s="80" t="str">
        <f>IF(AND($I46&lt;&gt;"",$J46&lt;&gt;""),IF(AND(DATEVALUE("1-"&amp;$I46)&lt;=AJ$83,DATEVALUE("1-"&amp;$J46)&gt;=AJ$83),"●",""),"")</f>
        <v/>
      </c>
      <c r="AK46" s="80" t="str">
        <f>IF(AND($I46&lt;&gt;"",$J46&lt;&gt;""),IF(AND(DATEVALUE("1-"&amp;$I46)&lt;=AK$83,DATEVALUE("1-"&amp;$J46)&gt;=AK$83),"●",""),"")</f>
        <v/>
      </c>
    </row>
    <row r="47" spans="1:37" ht="15" customHeight="1">
      <c r="A47" s="519"/>
      <c r="B47" s="3" t="s">
        <v>2651</v>
      </c>
      <c r="C47" s="3" t="s">
        <v>2577</v>
      </c>
      <c r="D47" s="3" t="s">
        <v>22</v>
      </c>
      <c r="E47" s="3" t="s">
        <v>2652</v>
      </c>
      <c r="F47" s="3"/>
      <c r="G47" s="78" t="s">
        <v>2565</v>
      </c>
      <c r="H47" s="3" t="s">
        <v>2545</v>
      </c>
      <c r="I47" s="78" t="s">
        <v>2546</v>
      </c>
      <c r="J47" s="78" t="s">
        <v>2650</v>
      </c>
      <c r="K47" s="80" t="str">
        <f>IF(AND($I47&lt;&gt;"",$J47&lt;&gt;""),IF(AND(DATEVALUE("1-"&amp;$I47)&lt;=K$83,DATEVALUE("1-"&amp;$J47)&gt;=K$83),"●",""),"")</f>
        <v/>
      </c>
      <c r="L47" s="80" t="str">
        <f>IF(AND($I47&lt;&gt;"",$J47&lt;&gt;""),IF(AND(DATEVALUE("1-"&amp;$I47)&lt;=L$83,DATEVALUE("1-"&amp;$J47)&gt;=L$83),"●",""),"")</f>
        <v/>
      </c>
      <c r="M47" s="80" t="str">
        <f>IF(AND($I47&lt;&gt;"",$J47&lt;&gt;""),IF(AND(DATEVALUE("1-"&amp;$I47)&lt;=M$83,DATEVALUE("1-"&amp;$J47)&gt;=M$83),"●",""),"")</f>
        <v/>
      </c>
      <c r="N47" s="80" t="str">
        <f>IF(AND($I47&lt;&gt;"",$J47&lt;&gt;""),IF(AND(DATEVALUE("1-"&amp;$I47)&lt;=N$83,DATEVALUE("1-"&amp;$J47)&gt;=N$83),"●",""),"")</f>
        <v/>
      </c>
      <c r="O47" s="80" t="str">
        <f>IF(AND($I47&lt;&gt;"",$J47&lt;&gt;""),IF(AND(DATEVALUE("1-"&amp;$I47)&lt;=O$83,DATEVALUE("1-"&amp;$J47)&gt;=O$83),"●",""),"")</f>
        <v/>
      </c>
      <c r="P47" s="80" t="str">
        <f>IF(AND($I47&lt;&gt;"",$J47&lt;&gt;""),IF(AND(DATEVALUE("1-"&amp;$I47)&lt;=P$83,DATEVALUE("1-"&amp;$J47)&gt;=P$83),"●",""),"")</f>
        <v/>
      </c>
      <c r="Q47" s="80" t="str">
        <f>IF(AND($I47&lt;&gt;"",$J47&lt;&gt;""),IF(AND(DATEVALUE("1-"&amp;$I47)&lt;=Q$83,DATEVALUE("1-"&amp;$J47)&gt;=Q$83),"●",""),"")</f>
        <v/>
      </c>
      <c r="R47" s="80" t="str">
        <f>IF(AND($I47&lt;&gt;"",$J47&lt;&gt;""),IF(AND(DATEVALUE("1-"&amp;$I47)&lt;=R$83,DATEVALUE("1-"&amp;$J47)&gt;=R$83),"●",""),"")</f>
        <v/>
      </c>
      <c r="S47" s="80" t="str">
        <f>IF(AND($I47&lt;&gt;"",$J47&lt;&gt;""),IF(AND(DATEVALUE("1-"&amp;$I47)&lt;=S$83,DATEVALUE("1-"&amp;$J47)&gt;=S$83),"●",""),"")</f>
        <v/>
      </c>
      <c r="T47" s="80" t="str">
        <f>IF(AND($I47&lt;&gt;"",$J47&lt;&gt;""),IF(AND(DATEVALUE("1-"&amp;$I47)&lt;=T$83,DATEVALUE("1-"&amp;$J47)&gt;=T$83),"●",""),"")</f>
        <v>●</v>
      </c>
      <c r="U47" s="80" t="str">
        <f>IF(AND($I47&lt;&gt;"",$J47&lt;&gt;""),IF(AND(DATEVALUE("1-"&amp;$I47)&lt;=U$83,DATEVALUE("1-"&amp;$J47)&gt;=U$83),"●",""),"")</f>
        <v>●</v>
      </c>
      <c r="V47" s="80" t="str">
        <f>IF(AND($I47&lt;&gt;"",$J47&lt;&gt;""),IF(AND(DATEVALUE("1-"&amp;$I47)&lt;=V$83,DATEVALUE("1-"&amp;$J47)&gt;=V$83),"●",""),"")</f>
        <v/>
      </c>
      <c r="W47" s="80" t="str">
        <f>IF(AND($I47&lt;&gt;"",$J47&lt;&gt;""),IF(AND(DATEVALUE("1-"&amp;$I47)&lt;=W$83,DATEVALUE("1-"&amp;$J47)&gt;=W$83),"●",""),"")</f>
        <v/>
      </c>
      <c r="X47" s="80" t="str">
        <f>IF(AND($I47&lt;&gt;"",$J47&lt;&gt;""),IF(AND(DATEVALUE("1-"&amp;$I47)&lt;=X$83,DATEVALUE("1-"&amp;$J47)&gt;=X$83),"●",""),"")</f>
        <v/>
      </c>
      <c r="Y47" s="80" t="str">
        <f>IF(AND($I47&lt;&gt;"",$J47&lt;&gt;""),IF(AND(DATEVALUE("1-"&amp;$I47)&lt;=Y$83,DATEVALUE("1-"&amp;$J47)&gt;=Y$83),"●",""),"")</f>
        <v/>
      </c>
      <c r="Z47" s="80" t="str">
        <f>IF(AND($I47&lt;&gt;"",$J47&lt;&gt;""),IF(AND(DATEVALUE("1-"&amp;$I47)&lt;=Z$83,DATEVALUE("1-"&amp;$J47)&gt;=Z$83),"●",""),"")</f>
        <v/>
      </c>
      <c r="AA47" s="80" t="str">
        <f>IF(AND($I47&lt;&gt;"",$J47&lt;&gt;""),IF(AND(DATEVALUE("1-"&amp;$I47)&lt;=AA$83,DATEVALUE("1-"&amp;$J47)&gt;=AA$83),"●",""),"")</f>
        <v/>
      </c>
      <c r="AB47" s="80" t="str">
        <f>IF(AND($I47&lt;&gt;"",$J47&lt;&gt;""),IF(AND(DATEVALUE("1-"&amp;$I47)&lt;=AB$83,DATEVALUE("1-"&amp;$J47)&gt;=AB$83),"●",""),"")</f>
        <v/>
      </c>
      <c r="AC47" s="80" t="str">
        <f>IF(AND($I47&lt;&gt;"",$J47&lt;&gt;""),IF(AND(DATEVALUE("1-"&amp;$I47)&lt;=AC$83,DATEVALUE("1-"&amp;$J47)&gt;=AC$83),"●",""),"")</f>
        <v/>
      </c>
      <c r="AD47" s="80" t="str">
        <f>IF(AND($I47&lt;&gt;"",$J47&lt;&gt;""),IF(AND(DATEVALUE("1-"&amp;$I47)&lt;=AD$83,DATEVALUE("1-"&amp;$J47)&gt;=AD$83),"●",""),"")</f>
        <v/>
      </c>
      <c r="AE47" s="80" t="str">
        <f>IF(AND($I47&lt;&gt;"",$J47&lt;&gt;""),IF(AND(DATEVALUE("1-"&amp;$I47)&lt;=AE$83,DATEVALUE("1-"&amp;$J47)&gt;=AE$83),"●",""),"")</f>
        <v/>
      </c>
      <c r="AF47" s="80" t="str">
        <f>IF(AND($I47&lt;&gt;"",$J47&lt;&gt;""),IF(AND(DATEVALUE("1-"&amp;$I47)&lt;=AF$83,DATEVALUE("1-"&amp;$J47)&gt;=AF$83),"●",""),"")</f>
        <v/>
      </c>
      <c r="AG47" s="80" t="str">
        <f>IF(AND($I47&lt;&gt;"",$J47&lt;&gt;""),IF(AND(DATEVALUE("1-"&amp;$I47)&lt;=AG$83,DATEVALUE("1-"&amp;$J47)&gt;=AG$83),"●",""),"")</f>
        <v/>
      </c>
      <c r="AH47" s="80" t="str">
        <f>IF(AND($I47&lt;&gt;"",$J47&lt;&gt;""),IF(AND(DATEVALUE("1-"&amp;$I47)&lt;=AH$83,DATEVALUE("1-"&amp;$J47)&gt;=AH$83),"●",""),"")</f>
        <v/>
      </c>
      <c r="AI47" s="80" t="str">
        <f>IF(AND($I47&lt;&gt;"",$J47&lt;&gt;""),IF(AND(DATEVALUE("1-"&amp;$I47)&lt;=AI$83,DATEVALUE("1-"&amp;$J47)&gt;=AI$83),"●",""),"")</f>
        <v/>
      </c>
      <c r="AJ47" s="80" t="str">
        <f>IF(AND($I47&lt;&gt;"",$J47&lt;&gt;""),IF(AND(DATEVALUE("1-"&amp;$I47)&lt;=AJ$83,DATEVALUE("1-"&amp;$J47)&gt;=AJ$83),"●",""),"")</f>
        <v/>
      </c>
      <c r="AK47" s="80" t="str">
        <f>IF(AND($I47&lt;&gt;"",$J47&lt;&gt;""),IF(AND(DATEVALUE("1-"&amp;$I47)&lt;=AK$83,DATEVALUE("1-"&amp;$J47)&gt;=AK$83),"●",""),"")</f>
        <v/>
      </c>
    </row>
    <row r="48" spans="1:37" ht="15" customHeight="1">
      <c r="A48" s="519"/>
      <c r="B48" s="303" t="s">
        <v>2653</v>
      </c>
      <c r="C48" s="3" t="s">
        <v>2577</v>
      </c>
      <c r="D48" s="3" t="s">
        <v>20</v>
      </c>
      <c r="E48" s="3" t="s">
        <v>2654</v>
      </c>
      <c r="F48" s="3"/>
      <c r="G48" s="78" t="s">
        <v>2565</v>
      </c>
      <c r="H48" s="3" t="s">
        <v>2545</v>
      </c>
      <c r="I48" s="78" t="s">
        <v>2546</v>
      </c>
      <c r="J48" s="78" t="s">
        <v>2650</v>
      </c>
      <c r="K48" s="80" t="str">
        <f>IF(AND($I48&lt;&gt;"",$J48&lt;&gt;""),IF(AND(DATEVALUE("1-"&amp;$I48)&lt;=K$83,DATEVALUE("1-"&amp;$J48)&gt;=K$83),"●",""),"")</f>
        <v/>
      </c>
      <c r="L48" s="80" t="str">
        <f>IF(AND($I48&lt;&gt;"",$J48&lt;&gt;""),IF(AND(DATEVALUE("1-"&amp;$I48)&lt;=L$83,DATEVALUE("1-"&amp;$J48)&gt;=L$83),"●",""),"")</f>
        <v/>
      </c>
      <c r="M48" s="80" t="str">
        <f>IF(AND($I48&lt;&gt;"",$J48&lt;&gt;""),IF(AND(DATEVALUE("1-"&amp;$I48)&lt;=M$83,DATEVALUE("1-"&amp;$J48)&gt;=M$83),"●",""),"")</f>
        <v/>
      </c>
      <c r="N48" s="80" t="str">
        <f>IF(AND($I48&lt;&gt;"",$J48&lt;&gt;""),IF(AND(DATEVALUE("1-"&amp;$I48)&lt;=N$83,DATEVALUE("1-"&amp;$J48)&gt;=N$83),"●",""),"")</f>
        <v/>
      </c>
      <c r="O48" s="80" t="str">
        <f>IF(AND($I48&lt;&gt;"",$J48&lt;&gt;""),IF(AND(DATEVALUE("1-"&amp;$I48)&lt;=O$83,DATEVALUE("1-"&amp;$J48)&gt;=O$83),"●",""),"")</f>
        <v/>
      </c>
      <c r="P48" s="80" t="str">
        <f>IF(AND($I48&lt;&gt;"",$J48&lt;&gt;""),IF(AND(DATEVALUE("1-"&amp;$I48)&lt;=P$83,DATEVALUE("1-"&amp;$J48)&gt;=P$83),"●",""),"")</f>
        <v/>
      </c>
      <c r="Q48" s="80" t="str">
        <f>IF(AND($I48&lt;&gt;"",$J48&lt;&gt;""),IF(AND(DATEVALUE("1-"&amp;$I48)&lt;=Q$83,DATEVALUE("1-"&amp;$J48)&gt;=Q$83),"●",""),"")</f>
        <v/>
      </c>
      <c r="R48" s="80" t="str">
        <f>IF(AND($I48&lt;&gt;"",$J48&lt;&gt;""),IF(AND(DATEVALUE("1-"&amp;$I48)&lt;=R$83,DATEVALUE("1-"&amp;$J48)&gt;=R$83),"●",""),"")</f>
        <v/>
      </c>
      <c r="S48" s="80" t="str">
        <f>IF(AND($I48&lt;&gt;"",$J48&lt;&gt;""),IF(AND(DATEVALUE("1-"&amp;$I48)&lt;=S$83,DATEVALUE("1-"&amp;$J48)&gt;=S$83),"●",""),"")</f>
        <v/>
      </c>
      <c r="T48" s="80" t="str">
        <f>IF(AND($I48&lt;&gt;"",$J48&lt;&gt;""),IF(AND(DATEVALUE("1-"&amp;$I48)&lt;=T$83,DATEVALUE("1-"&amp;$J48)&gt;=T$83),"●",""),"")</f>
        <v>●</v>
      </c>
      <c r="U48" s="80" t="str">
        <f>IF(AND($I48&lt;&gt;"",$J48&lt;&gt;""),IF(AND(DATEVALUE("1-"&amp;$I48)&lt;=U$83,DATEVALUE("1-"&amp;$J48)&gt;=U$83),"●",""),"")</f>
        <v>●</v>
      </c>
      <c r="V48" s="80" t="str">
        <f>IF(AND($I48&lt;&gt;"",$J48&lt;&gt;""),IF(AND(DATEVALUE("1-"&amp;$I48)&lt;=V$83,DATEVALUE("1-"&amp;$J48)&gt;=V$83),"●",""),"")</f>
        <v/>
      </c>
      <c r="W48" s="80" t="str">
        <f>IF(AND($I48&lt;&gt;"",$J48&lt;&gt;""),IF(AND(DATEVALUE("1-"&amp;$I48)&lt;=W$83,DATEVALUE("1-"&amp;$J48)&gt;=W$83),"●",""),"")</f>
        <v/>
      </c>
      <c r="X48" s="80" t="str">
        <f>IF(AND($I48&lt;&gt;"",$J48&lt;&gt;""),IF(AND(DATEVALUE("1-"&amp;$I48)&lt;=X$83,DATEVALUE("1-"&amp;$J48)&gt;=X$83),"●",""),"")</f>
        <v/>
      </c>
      <c r="Y48" s="80" t="str">
        <f>IF(AND($I48&lt;&gt;"",$J48&lt;&gt;""),IF(AND(DATEVALUE("1-"&amp;$I48)&lt;=Y$83,DATEVALUE("1-"&amp;$J48)&gt;=Y$83),"●",""),"")</f>
        <v/>
      </c>
      <c r="Z48" s="80" t="str">
        <f>IF(AND($I48&lt;&gt;"",$J48&lt;&gt;""),IF(AND(DATEVALUE("1-"&amp;$I48)&lt;=Z$83,DATEVALUE("1-"&amp;$J48)&gt;=Z$83),"●",""),"")</f>
        <v/>
      </c>
      <c r="AA48" s="80" t="str">
        <f>IF(AND($I48&lt;&gt;"",$J48&lt;&gt;""),IF(AND(DATEVALUE("1-"&amp;$I48)&lt;=AA$83,DATEVALUE("1-"&amp;$J48)&gt;=AA$83),"●",""),"")</f>
        <v/>
      </c>
      <c r="AB48" s="80" t="str">
        <f>IF(AND($I48&lt;&gt;"",$J48&lt;&gt;""),IF(AND(DATEVALUE("1-"&amp;$I48)&lt;=AB$83,DATEVALUE("1-"&amp;$J48)&gt;=AB$83),"●",""),"")</f>
        <v/>
      </c>
      <c r="AC48" s="80" t="str">
        <f>IF(AND($I48&lt;&gt;"",$J48&lt;&gt;""),IF(AND(DATEVALUE("1-"&amp;$I48)&lt;=AC$83,DATEVALUE("1-"&amp;$J48)&gt;=AC$83),"●",""),"")</f>
        <v/>
      </c>
      <c r="AD48" s="80" t="str">
        <f>IF(AND($I48&lt;&gt;"",$J48&lt;&gt;""),IF(AND(DATEVALUE("1-"&amp;$I48)&lt;=AD$83,DATEVALUE("1-"&amp;$J48)&gt;=AD$83),"●",""),"")</f>
        <v/>
      </c>
      <c r="AE48" s="80" t="str">
        <f>IF(AND($I48&lt;&gt;"",$J48&lt;&gt;""),IF(AND(DATEVALUE("1-"&amp;$I48)&lt;=AE$83,DATEVALUE("1-"&amp;$J48)&gt;=AE$83),"●",""),"")</f>
        <v/>
      </c>
      <c r="AF48" s="80" t="str">
        <f>IF(AND($I48&lt;&gt;"",$J48&lt;&gt;""),IF(AND(DATEVALUE("1-"&amp;$I48)&lt;=AF$83,DATEVALUE("1-"&amp;$J48)&gt;=AF$83),"●",""),"")</f>
        <v/>
      </c>
      <c r="AG48" s="80" t="str">
        <f>IF(AND($I48&lt;&gt;"",$J48&lt;&gt;""),IF(AND(DATEVALUE("1-"&amp;$I48)&lt;=AG$83,DATEVALUE("1-"&amp;$J48)&gt;=AG$83),"●",""),"")</f>
        <v/>
      </c>
      <c r="AH48" s="80" t="str">
        <f>IF(AND($I48&lt;&gt;"",$J48&lt;&gt;""),IF(AND(DATEVALUE("1-"&amp;$I48)&lt;=AH$83,DATEVALUE("1-"&amp;$J48)&gt;=AH$83),"●",""),"")</f>
        <v/>
      </c>
      <c r="AI48" s="80" t="str">
        <f>IF(AND($I48&lt;&gt;"",$J48&lt;&gt;""),IF(AND(DATEVALUE("1-"&amp;$I48)&lt;=AI$83,DATEVALUE("1-"&amp;$J48)&gt;=AI$83),"●",""),"")</f>
        <v/>
      </c>
      <c r="AJ48" s="80" t="str">
        <f>IF(AND($I48&lt;&gt;"",$J48&lt;&gt;""),IF(AND(DATEVALUE("1-"&amp;$I48)&lt;=AJ$83,DATEVALUE("1-"&amp;$J48)&gt;=AJ$83),"●",""),"")</f>
        <v/>
      </c>
      <c r="AK48" s="80" t="str">
        <f>IF(AND($I48&lt;&gt;"",$J48&lt;&gt;""),IF(AND(DATEVALUE("1-"&amp;$I48)&lt;=AK$83,DATEVALUE("1-"&amp;$J48)&gt;=AK$83),"●",""),"")</f>
        <v/>
      </c>
    </row>
    <row r="49" spans="1:37" ht="15" customHeight="1">
      <c r="A49" s="519"/>
      <c r="B49" s="144" t="s">
        <v>1475</v>
      </c>
      <c r="C49" s="92" t="s">
        <v>2577</v>
      </c>
      <c r="D49" s="92" t="s">
        <v>20</v>
      </c>
      <c r="E49" s="84" t="s">
        <v>1475</v>
      </c>
      <c r="F49" s="84"/>
      <c r="G49" s="78" t="s">
        <v>2565</v>
      </c>
      <c r="H49" s="3" t="s">
        <v>2555</v>
      </c>
      <c r="I49" s="78" t="s">
        <v>2561</v>
      </c>
      <c r="J49" s="78" t="s">
        <v>2604</v>
      </c>
      <c r="K49" s="80" t="str">
        <f>IF(AND($I49&lt;&gt;"",$J49&lt;&gt;""),IF(AND(DATEVALUE("1-"&amp;$I49)&lt;=K$83,DATEVALUE("1-"&amp;$J49)&gt;=K$83),"●",""),"")</f>
        <v/>
      </c>
      <c r="L49" s="80" t="str">
        <f>IF(AND($I49&lt;&gt;"",$J49&lt;&gt;""),IF(AND(DATEVALUE("1-"&amp;$I49)&lt;=L$83,DATEVALUE("1-"&amp;$J49)&gt;=L$83),"●",""),"")</f>
        <v/>
      </c>
      <c r="M49" s="80" t="str">
        <f>IF(AND($I49&lt;&gt;"",$J49&lt;&gt;""),IF(AND(DATEVALUE("1-"&amp;$I49)&lt;=M$83,DATEVALUE("1-"&amp;$J49)&gt;=M$83),"●",""),"")</f>
        <v/>
      </c>
      <c r="N49" s="80" t="str">
        <f>IF(AND($I49&lt;&gt;"",$J49&lt;&gt;""),IF(AND(DATEVALUE("1-"&amp;$I49)&lt;=N$83,DATEVALUE("1-"&amp;$J49)&gt;=N$83),"●",""),"")</f>
        <v/>
      </c>
      <c r="O49" s="80" t="str">
        <f>IF(AND($I49&lt;&gt;"",$J49&lt;&gt;""),IF(AND(DATEVALUE("1-"&amp;$I49)&lt;=O$83,DATEVALUE("1-"&amp;$J49)&gt;=O$83),"●",""),"")</f>
        <v/>
      </c>
      <c r="P49" s="80" t="str">
        <f>IF(AND($I49&lt;&gt;"",$J49&lt;&gt;""),IF(AND(DATEVALUE("1-"&amp;$I49)&lt;=P$83,DATEVALUE("1-"&amp;$J49)&gt;=P$83),"●",""),"")</f>
        <v/>
      </c>
      <c r="Q49" s="80" t="str">
        <f>IF(AND($I49&lt;&gt;"",$J49&lt;&gt;""),IF(AND(DATEVALUE("1-"&amp;$I49)&lt;=Q$83,DATEVALUE("1-"&amp;$J49)&gt;=Q$83),"●",""),"")</f>
        <v/>
      </c>
      <c r="R49" s="80" t="str">
        <f>IF(AND($I49&lt;&gt;"",$J49&lt;&gt;""),IF(AND(DATEVALUE("1-"&amp;$I49)&lt;=R$83,DATEVALUE("1-"&amp;$J49)&gt;=R$83),"●",""),"")</f>
        <v/>
      </c>
      <c r="S49" s="80" t="str">
        <f>IF(AND($I49&lt;&gt;"",$J49&lt;&gt;""),IF(AND(DATEVALUE("1-"&amp;$I49)&lt;=S$83,DATEVALUE("1-"&amp;$J49)&gt;=S$83),"●",""),"")</f>
        <v/>
      </c>
      <c r="T49" s="80" t="str">
        <f>IF(AND($I49&lt;&gt;"",$J49&lt;&gt;""),IF(AND(DATEVALUE("1-"&amp;$I49)&lt;=T$83,DATEVALUE("1-"&amp;$J49)&gt;=T$83),"●",""),"")</f>
        <v>●</v>
      </c>
      <c r="U49" s="80" t="str">
        <f>IF(AND($I49&lt;&gt;"",$J49&lt;&gt;""),IF(AND(DATEVALUE("1-"&amp;$I49)&lt;=U$83,DATEVALUE("1-"&amp;$J49)&gt;=U$83),"●",""),"")</f>
        <v>●</v>
      </c>
      <c r="V49" s="80" t="str">
        <f>IF(AND($I49&lt;&gt;"",$J49&lt;&gt;""),IF(AND(DATEVALUE("1-"&amp;$I49)&lt;=V$83,DATEVALUE("1-"&amp;$J49)&gt;=V$83),"●",""),"")</f>
        <v/>
      </c>
      <c r="W49" s="80" t="str">
        <f>IF(AND($I49&lt;&gt;"",$J49&lt;&gt;""),IF(AND(DATEVALUE("1-"&amp;$I49)&lt;=W$83,DATEVALUE("1-"&amp;$J49)&gt;=W$83),"●",""),"")</f>
        <v/>
      </c>
      <c r="X49" s="80" t="str">
        <f>IF(AND($I49&lt;&gt;"",$J49&lt;&gt;""),IF(AND(DATEVALUE("1-"&amp;$I49)&lt;=X$83,DATEVALUE("1-"&amp;$J49)&gt;=X$83),"●",""),"")</f>
        <v/>
      </c>
      <c r="Y49" s="80" t="str">
        <f>IF(AND($I49&lt;&gt;"",$J49&lt;&gt;""),IF(AND(DATEVALUE("1-"&amp;$I49)&lt;=Y$83,DATEVALUE("1-"&amp;$J49)&gt;=Y$83),"●",""),"")</f>
        <v/>
      </c>
      <c r="Z49" s="80" t="str">
        <f>IF(AND($I49&lt;&gt;"",$J49&lt;&gt;""),IF(AND(DATEVALUE("1-"&amp;$I49)&lt;=Z$83,DATEVALUE("1-"&amp;$J49)&gt;=Z$83),"●",""),"")</f>
        <v/>
      </c>
      <c r="AA49" s="80" t="str">
        <f>IF(AND($I49&lt;&gt;"",$J49&lt;&gt;""),IF(AND(DATEVALUE("1-"&amp;$I49)&lt;=AA$83,DATEVALUE("1-"&amp;$J49)&gt;=AA$83),"●",""),"")</f>
        <v/>
      </c>
      <c r="AB49" s="80" t="str">
        <f>IF(AND($I49&lt;&gt;"",$J49&lt;&gt;""),IF(AND(DATEVALUE("1-"&amp;$I49)&lt;=AB$83,DATEVALUE("1-"&amp;$J49)&gt;=AB$83),"●",""),"")</f>
        <v/>
      </c>
      <c r="AC49" s="80" t="str">
        <f>IF(AND($I49&lt;&gt;"",$J49&lt;&gt;""),IF(AND(DATEVALUE("1-"&amp;$I49)&lt;=AC$83,DATEVALUE("1-"&amp;$J49)&gt;=AC$83),"●",""),"")</f>
        <v/>
      </c>
      <c r="AD49" s="80" t="str">
        <f>IF(AND($I49&lt;&gt;"",$J49&lt;&gt;""),IF(AND(DATEVALUE("1-"&amp;$I49)&lt;=AD$83,DATEVALUE("1-"&amp;$J49)&gt;=AD$83),"●",""),"")</f>
        <v/>
      </c>
      <c r="AE49" s="80" t="str">
        <f>IF(AND($I49&lt;&gt;"",$J49&lt;&gt;""),IF(AND(DATEVALUE("1-"&amp;$I49)&lt;=AE$83,DATEVALUE("1-"&amp;$J49)&gt;=AE$83),"●",""),"")</f>
        <v/>
      </c>
      <c r="AF49" s="80" t="str">
        <f>IF(AND($I49&lt;&gt;"",$J49&lt;&gt;""),IF(AND(DATEVALUE("1-"&amp;$I49)&lt;=AF$83,DATEVALUE("1-"&amp;$J49)&gt;=AF$83),"●",""),"")</f>
        <v/>
      </c>
      <c r="AG49" s="80" t="str">
        <f>IF(AND($I49&lt;&gt;"",$J49&lt;&gt;""),IF(AND(DATEVALUE("1-"&amp;$I49)&lt;=AG$83,DATEVALUE("1-"&amp;$J49)&gt;=AG$83),"●",""),"")</f>
        <v/>
      </c>
      <c r="AH49" s="80" t="str">
        <f>IF(AND($I49&lt;&gt;"",$J49&lt;&gt;""),IF(AND(DATEVALUE("1-"&amp;$I49)&lt;=AH$83,DATEVALUE("1-"&amp;$J49)&gt;=AH$83),"●",""),"")</f>
        <v/>
      </c>
      <c r="AI49" s="80" t="str">
        <f>IF(AND($I49&lt;&gt;"",$J49&lt;&gt;""),IF(AND(DATEVALUE("1-"&amp;$I49)&lt;=AI$83,DATEVALUE("1-"&amp;$J49)&gt;=AI$83),"●",""),"")</f>
        <v/>
      </c>
      <c r="AJ49" s="80" t="str">
        <f>IF(AND($I49&lt;&gt;"",$J49&lt;&gt;""),IF(AND(DATEVALUE("1-"&amp;$I49)&lt;=AJ$83,DATEVALUE("1-"&amp;$J49)&gt;=AJ$83),"●",""),"")</f>
        <v/>
      </c>
      <c r="AK49" s="80" t="str">
        <f>IF(AND($I49&lt;&gt;"",$J49&lt;&gt;""),IF(AND(DATEVALUE("1-"&amp;$I49)&lt;=AK$83,DATEVALUE("1-"&amp;$J49)&gt;=AK$83),"●",""),"")</f>
        <v/>
      </c>
    </row>
    <row r="50" spans="1:37" ht="15" customHeight="1">
      <c r="A50" s="519"/>
      <c r="B50" s="84" t="s">
        <v>1453</v>
      </c>
      <c r="C50" s="92" t="s">
        <v>2577</v>
      </c>
      <c r="D50" s="92" t="s">
        <v>20</v>
      </c>
      <c r="E50" s="84" t="s">
        <v>1453</v>
      </c>
      <c r="F50" s="84"/>
      <c r="G50" s="78" t="s">
        <v>2565</v>
      </c>
      <c r="H50" s="3" t="s">
        <v>2560</v>
      </c>
      <c r="I50" s="304"/>
      <c r="J50" s="304"/>
      <c r="K50" s="80" t="str">
        <f>IF(OR($I50="",$J50=""),"개발 시작전",IFERROR(IF(AND(DATEVALUE("1-"&amp;$I50)&lt;=K$83,DATEVALUE("1-"&amp;$J50)&gt;=K$83),"●",""),"개발 시작전"))</f>
        <v>개발 시작전</v>
      </c>
      <c r="L50" s="80" t="str">
        <f>IF(AND($I50&lt;&gt;"",$J50&lt;&gt;""),IF(AND(DATEVALUE("1-"&amp;$I50)&lt;=L$83,DATEVALUE("1-"&amp;$J50)&gt;=L$83),"●",""),"")</f>
        <v/>
      </c>
      <c r="M50" s="80" t="str">
        <f>IF(AND($I50&lt;&gt;"",$J50&lt;&gt;""),IF(AND(DATEVALUE("1-"&amp;$I50)&lt;=M$83,DATEVALUE("1-"&amp;$J50)&gt;=M$83),"●",""),"")</f>
        <v/>
      </c>
      <c r="N50" s="80" t="str">
        <f>IF(AND($I50&lt;&gt;"",$J50&lt;&gt;""),IF(AND(DATEVALUE("1-"&amp;$I50)&lt;=N$83,DATEVALUE("1-"&amp;$J50)&gt;=N$83),"●",""),"")</f>
        <v/>
      </c>
      <c r="O50" s="80" t="str">
        <f>IF(AND($I50&lt;&gt;"",$J50&lt;&gt;""),IF(AND(DATEVALUE("1-"&amp;$I50)&lt;=O$83,DATEVALUE("1-"&amp;$J50)&gt;=O$83),"●",""),"")</f>
        <v/>
      </c>
      <c r="P50" s="80" t="str">
        <f>IF(AND($I50&lt;&gt;"",$J50&lt;&gt;""),IF(AND(DATEVALUE("1-"&amp;$I50)&lt;=P$83,DATEVALUE("1-"&amp;$J50)&gt;=P$83),"●",""),"")</f>
        <v/>
      </c>
      <c r="Q50" s="80" t="str">
        <f>IF(AND($I50&lt;&gt;"",$J50&lt;&gt;""),IF(AND(DATEVALUE("1-"&amp;$I50)&lt;=Q$83,DATEVALUE("1-"&amp;$J50)&gt;=Q$83),"●",""),"")</f>
        <v/>
      </c>
      <c r="R50" s="80" t="str">
        <f>IF(AND($I50&lt;&gt;"",$J50&lt;&gt;""),IF(AND(DATEVALUE("1-"&amp;$I50)&lt;=R$83,DATEVALUE("1-"&amp;$J50)&gt;=R$83),"●",""),"")</f>
        <v/>
      </c>
      <c r="S50" s="80" t="str">
        <f>IF(AND($I50&lt;&gt;"",$J50&lt;&gt;""),IF(AND(DATEVALUE("1-"&amp;$I50)&lt;=S$83,DATEVALUE("1-"&amp;$J50)&gt;=S$83),"●",""),"")</f>
        <v/>
      </c>
      <c r="T50" s="80" t="str">
        <f>IF(AND($I50&lt;&gt;"",$J50&lt;&gt;""),IF(AND(DATEVALUE("1-"&amp;$I50)&lt;=T$83,DATEVALUE("1-"&amp;$J50)&gt;=T$83),"●",""),"")</f>
        <v/>
      </c>
      <c r="U50" s="80" t="str">
        <f>IF(AND($I50&lt;&gt;"",$J50&lt;&gt;""),IF(AND(DATEVALUE("1-"&amp;$I50)&lt;=U$83,DATEVALUE("1-"&amp;$J50)&gt;=U$83),"●",""),"")</f>
        <v/>
      </c>
      <c r="V50" s="80" t="str">
        <f>IF(AND($I50&lt;&gt;"",$J50&lt;&gt;""),IF(AND(DATEVALUE("1-"&amp;$I50)&lt;=V$83,DATEVALUE("1-"&amp;$J50)&gt;=V$83),"●",""),"")</f>
        <v/>
      </c>
      <c r="W50" s="80" t="str">
        <f>IF(AND($I50&lt;&gt;"",$J50&lt;&gt;""),IF(AND(DATEVALUE("1-"&amp;$I50)&lt;=W$83,DATEVALUE("1-"&amp;$J50)&gt;=W$83),"●",""),"")</f>
        <v/>
      </c>
      <c r="X50" s="80" t="str">
        <f>IF(AND($I50&lt;&gt;"",$J50&lt;&gt;""),IF(AND(DATEVALUE("1-"&amp;$I50)&lt;=X$83,DATEVALUE("1-"&amp;$J50)&gt;=X$83),"●",""),"")</f>
        <v/>
      </c>
      <c r="Y50" s="80" t="str">
        <f>IF(AND($I50&lt;&gt;"",$J50&lt;&gt;""),IF(AND(DATEVALUE("1-"&amp;$I50)&lt;=Y$83,DATEVALUE("1-"&amp;$J50)&gt;=Y$83),"●",""),"")</f>
        <v/>
      </c>
      <c r="Z50" s="80" t="str">
        <f>IF(AND($I50&lt;&gt;"",$J50&lt;&gt;""),IF(AND(DATEVALUE("1-"&amp;$I50)&lt;=Z$83,DATEVALUE("1-"&amp;$J50)&gt;=Z$83),"●",""),"")</f>
        <v/>
      </c>
      <c r="AA50" s="80" t="str">
        <f>IF(AND($I50&lt;&gt;"",$J50&lt;&gt;""),IF(AND(DATEVALUE("1-"&amp;$I50)&lt;=AA$83,DATEVALUE("1-"&amp;$J50)&gt;=AA$83),"●",""),"")</f>
        <v/>
      </c>
      <c r="AB50" s="80" t="str">
        <f>IF(AND($I50&lt;&gt;"",$J50&lt;&gt;""),IF(AND(DATEVALUE("1-"&amp;$I50)&lt;=AB$83,DATEVALUE("1-"&amp;$J50)&gt;=AB$83),"●",""),"")</f>
        <v/>
      </c>
      <c r="AC50" s="80" t="str">
        <f>IF(AND($I50&lt;&gt;"",$J50&lt;&gt;""),IF(AND(DATEVALUE("1-"&amp;$I50)&lt;=AC$83,DATEVALUE("1-"&amp;$J50)&gt;=AC$83),"●",""),"")</f>
        <v/>
      </c>
      <c r="AD50" s="80" t="str">
        <f>IF(AND($I50&lt;&gt;"",$J50&lt;&gt;""),IF(AND(DATEVALUE("1-"&amp;$I50)&lt;=AD$83,DATEVALUE("1-"&amp;$J50)&gt;=AD$83),"●",""),"")</f>
        <v/>
      </c>
      <c r="AE50" s="80" t="str">
        <f>IF(AND($I50&lt;&gt;"",$J50&lt;&gt;""),IF(AND(DATEVALUE("1-"&amp;$I50)&lt;=AE$83,DATEVALUE("1-"&amp;$J50)&gt;=AE$83),"●",""),"")</f>
        <v/>
      </c>
      <c r="AF50" s="80" t="str">
        <f>IF(AND($I50&lt;&gt;"",$J50&lt;&gt;""),IF(AND(DATEVALUE("1-"&amp;$I50)&lt;=AF$83,DATEVALUE("1-"&amp;$J50)&gt;=AF$83),"●",""),"")</f>
        <v/>
      </c>
      <c r="AG50" s="80" t="str">
        <f>IF(AND($I50&lt;&gt;"",$J50&lt;&gt;""),IF(AND(DATEVALUE("1-"&amp;$I50)&lt;=AG$83,DATEVALUE("1-"&amp;$J50)&gt;=AG$83),"●",""),"")</f>
        <v/>
      </c>
      <c r="AH50" s="80" t="str">
        <f>IF(AND($I50&lt;&gt;"",$J50&lt;&gt;""),IF(AND(DATEVALUE("1-"&amp;$I50)&lt;=AH$83,DATEVALUE("1-"&amp;$J50)&gt;=AH$83),"●",""),"")</f>
        <v/>
      </c>
      <c r="AI50" s="80" t="str">
        <f>IF(AND($I50&lt;&gt;"",$J50&lt;&gt;""),IF(AND(DATEVALUE("1-"&amp;$I50)&lt;=AI$83,DATEVALUE("1-"&amp;$J50)&gt;=AI$83),"●",""),"")</f>
        <v/>
      </c>
      <c r="AJ50" s="80" t="str">
        <f>IF(AND($I50&lt;&gt;"",$J50&lt;&gt;""),IF(AND(DATEVALUE("1-"&amp;$I50)&lt;=AJ$83,DATEVALUE("1-"&amp;$J50)&gt;=AJ$83),"●",""),"")</f>
        <v/>
      </c>
      <c r="AK50" s="80" t="str">
        <f>IF(AND($I50&lt;&gt;"",$J50&lt;&gt;""),IF(AND(DATEVALUE("1-"&amp;$I50)&lt;=AK$83,DATEVALUE("1-"&amp;$J50)&gt;=AK$83),"●",""),"")</f>
        <v/>
      </c>
    </row>
    <row r="51" spans="1:37" ht="15" customHeight="1">
      <c r="A51" s="519"/>
      <c r="B51" s="144" t="s">
        <v>1839</v>
      </c>
      <c r="C51" s="92" t="s">
        <v>2577</v>
      </c>
      <c r="D51" s="92" t="s">
        <v>20</v>
      </c>
      <c r="E51" s="84" t="s">
        <v>1839</v>
      </c>
      <c r="F51" s="84"/>
      <c r="G51" s="78" t="s">
        <v>2565</v>
      </c>
      <c r="H51" s="3" t="s">
        <v>2555</v>
      </c>
      <c r="I51" s="78" t="s">
        <v>2561</v>
      </c>
      <c r="J51" s="78" t="s">
        <v>2604</v>
      </c>
      <c r="K51" s="80" t="str">
        <f>IF(AND($I51&lt;&gt;"",$J51&lt;&gt;""),IF(AND(DATEVALUE("1-"&amp;$I51)&lt;=K$83,DATEVALUE("1-"&amp;$J51)&gt;=K$83),"●",""),"")</f>
        <v/>
      </c>
      <c r="L51" s="80" t="str">
        <f>IF(AND($I51&lt;&gt;"",$J51&lt;&gt;""),IF(AND(DATEVALUE("1-"&amp;$I51)&lt;=L$83,DATEVALUE("1-"&amp;$J51)&gt;=L$83),"●",""),"")</f>
        <v/>
      </c>
      <c r="M51" s="80" t="str">
        <f>IF(AND($I51&lt;&gt;"",$J51&lt;&gt;""),IF(AND(DATEVALUE("1-"&amp;$I51)&lt;=M$83,DATEVALUE("1-"&amp;$J51)&gt;=M$83),"●",""),"")</f>
        <v/>
      </c>
      <c r="N51" s="80" t="str">
        <f>IF(AND($I51&lt;&gt;"",$J51&lt;&gt;""),IF(AND(DATEVALUE("1-"&amp;$I51)&lt;=N$83,DATEVALUE("1-"&amp;$J51)&gt;=N$83),"●",""),"")</f>
        <v/>
      </c>
      <c r="O51" s="80" t="str">
        <f>IF(AND($I51&lt;&gt;"",$J51&lt;&gt;""),IF(AND(DATEVALUE("1-"&amp;$I51)&lt;=O$83,DATEVALUE("1-"&amp;$J51)&gt;=O$83),"●",""),"")</f>
        <v/>
      </c>
      <c r="P51" s="80" t="str">
        <f>IF(AND($I51&lt;&gt;"",$J51&lt;&gt;""),IF(AND(DATEVALUE("1-"&amp;$I51)&lt;=P$83,DATEVALUE("1-"&amp;$J51)&gt;=P$83),"●",""),"")</f>
        <v/>
      </c>
      <c r="Q51" s="80" t="str">
        <f>IF(AND($I51&lt;&gt;"",$J51&lt;&gt;""),IF(AND(DATEVALUE("1-"&amp;$I51)&lt;=Q$83,DATEVALUE("1-"&amp;$J51)&gt;=Q$83),"●",""),"")</f>
        <v/>
      </c>
      <c r="R51" s="80" t="str">
        <f>IF(AND($I51&lt;&gt;"",$J51&lt;&gt;""),IF(AND(DATEVALUE("1-"&amp;$I51)&lt;=R$83,DATEVALUE("1-"&amp;$J51)&gt;=R$83),"●",""),"")</f>
        <v/>
      </c>
      <c r="S51" s="80" t="str">
        <f>IF(AND($I51&lt;&gt;"",$J51&lt;&gt;""),IF(AND(DATEVALUE("1-"&amp;$I51)&lt;=S$83,DATEVALUE("1-"&amp;$J51)&gt;=S$83),"●",""),"")</f>
        <v/>
      </c>
      <c r="T51" s="80" t="str">
        <f>IF(AND($I51&lt;&gt;"",$J51&lt;&gt;""),IF(AND(DATEVALUE("1-"&amp;$I51)&lt;=T$83,DATEVALUE("1-"&amp;$J51)&gt;=T$83),"●",""),"")</f>
        <v>●</v>
      </c>
      <c r="U51" s="80" t="str">
        <f>IF(AND($I51&lt;&gt;"",$J51&lt;&gt;""),IF(AND(DATEVALUE("1-"&amp;$I51)&lt;=U$83,DATEVALUE("1-"&amp;$J51)&gt;=U$83),"●",""),"")</f>
        <v>●</v>
      </c>
      <c r="V51" s="80" t="str">
        <f>IF(AND($I51&lt;&gt;"",$J51&lt;&gt;""),IF(AND(DATEVALUE("1-"&amp;$I51)&lt;=V$83,DATEVALUE("1-"&amp;$J51)&gt;=V$83),"●",""),"")</f>
        <v/>
      </c>
      <c r="W51" s="80" t="str">
        <f>IF(AND($I51&lt;&gt;"",$J51&lt;&gt;""),IF(AND(DATEVALUE("1-"&amp;$I51)&lt;=W$83,DATEVALUE("1-"&amp;$J51)&gt;=W$83),"●",""),"")</f>
        <v/>
      </c>
      <c r="X51" s="80" t="str">
        <f>IF(AND($I51&lt;&gt;"",$J51&lt;&gt;""),IF(AND(DATEVALUE("1-"&amp;$I51)&lt;=X$83,DATEVALUE("1-"&amp;$J51)&gt;=X$83),"●",""),"")</f>
        <v/>
      </c>
      <c r="Y51" s="80" t="str">
        <f>IF(AND($I51&lt;&gt;"",$J51&lt;&gt;""),IF(AND(DATEVALUE("1-"&amp;$I51)&lt;=Y$83,DATEVALUE("1-"&amp;$J51)&gt;=Y$83),"●",""),"")</f>
        <v/>
      </c>
      <c r="Z51" s="80" t="str">
        <f>IF(AND($I51&lt;&gt;"",$J51&lt;&gt;""),IF(AND(DATEVALUE("1-"&amp;$I51)&lt;=Z$83,DATEVALUE("1-"&amp;$J51)&gt;=Z$83),"●",""),"")</f>
        <v/>
      </c>
      <c r="AA51" s="80" t="str">
        <f>IF(AND($I51&lt;&gt;"",$J51&lt;&gt;""),IF(AND(DATEVALUE("1-"&amp;$I51)&lt;=AA$83,DATEVALUE("1-"&amp;$J51)&gt;=AA$83),"●",""),"")</f>
        <v/>
      </c>
      <c r="AB51" s="80" t="str">
        <f>IF(AND($I51&lt;&gt;"",$J51&lt;&gt;""),IF(AND(DATEVALUE("1-"&amp;$I51)&lt;=AB$83,DATEVALUE("1-"&amp;$J51)&gt;=AB$83),"●",""),"")</f>
        <v/>
      </c>
      <c r="AC51" s="80" t="str">
        <f>IF(AND($I51&lt;&gt;"",$J51&lt;&gt;""),IF(AND(DATEVALUE("1-"&amp;$I51)&lt;=AC$83,DATEVALUE("1-"&amp;$J51)&gt;=AC$83),"●",""),"")</f>
        <v/>
      </c>
      <c r="AD51" s="80" t="str">
        <f>IF(AND($I51&lt;&gt;"",$J51&lt;&gt;""),IF(AND(DATEVALUE("1-"&amp;$I51)&lt;=AD$83,DATEVALUE("1-"&amp;$J51)&gt;=AD$83),"●",""),"")</f>
        <v/>
      </c>
      <c r="AE51" s="80" t="str">
        <f>IF(AND($I51&lt;&gt;"",$J51&lt;&gt;""),IF(AND(DATEVALUE("1-"&amp;$I51)&lt;=AE$83,DATEVALUE("1-"&amp;$J51)&gt;=AE$83),"●",""),"")</f>
        <v/>
      </c>
      <c r="AF51" s="80" t="str">
        <f>IF(AND($I51&lt;&gt;"",$J51&lt;&gt;""),IF(AND(DATEVALUE("1-"&amp;$I51)&lt;=AF$83,DATEVALUE("1-"&amp;$J51)&gt;=AF$83),"●",""),"")</f>
        <v/>
      </c>
      <c r="AG51" s="80" t="str">
        <f>IF(AND($I51&lt;&gt;"",$J51&lt;&gt;""),IF(AND(DATEVALUE("1-"&amp;$I51)&lt;=AG$83,DATEVALUE("1-"&amp;$J51)&gt;=AG$83),"●",""),"")</f>
        <v/>
      </c>
      <c r="AH51" s="80" t="str">
        <f>IF(AND($I51&lt;&gt;"",$J51&lt;&gt;""),IF(AND(DATEVALUE("1-"&amp;$I51)&lt;=AH$83,DATEVALUE("1-"&amp;$J51)&gt;=AH$83),"●",""),"")</f>
        <v/>
      </c>
      <c r="AI51" s="80" t="str">
        <f>IF(AND($I51&lt;&gt;"",$J51&lt;&gt;""),IF(AND(DATEVALUE("1-"&amp;$I51)&lt;=AI$83,DATEVALUE("1-"&amp;$J51)&gt;=AI$83),"●",""),"")</f>
        <v/>
      </c>
      <c r="AJ51" s="80" t="str">
        <f>IF(AND($I51&lt;&gt;"",$J51&lt;&gt;""),IF(AND(DATEVALUE("1-"&amp;$I51)&lt;=AJ$83,DATEVALUE("1-"&amp;$J51)&gt;=AJ$83),"●",""),"")</f>
        <v/>
      </c>
      <c r="AK51" s="80" t="str">
        <f>IF(AND($I51&lt;&gt;"",$J51&lt;&gt;""),IF(AND(DATEVALUE("1-"&amp;$I51)&lt;=AK$83,DATEVALUE("1-"&amp;$J51)&gt;=AK$83),"●",""),"")</f>
        <v/>
      </c>
    </row>
    <row r="52" spans="1:37" ht="15" customHeight="1">
      <c r="A52" s="519"/>
      <c r="B52" s="84" t="s">
        <v>2655</v>
      </c>
      <c r="C52" s="3" t="s">
        <v>2577</v>
      </c>
      <c r="D52" s="3" t="s">
        <v>2656</v>
      </c>
      <c r="E52" s="84" t="s">
        <v>2655</v>
      </c>
      <c r="F52" s="84"/>
      <c r="G52" s="78" t="s">
        <v>2565</v>
      </c>
      <c r="H52" s="3" t="s">
        <v>2560</v>
      </c>
      <c r="I52" s="78"/>
      <c r="J52" s="78"/>
      <c r="K52" s="80" t="str">
        <f>IF(AND($I52&lt;&gt;"",$J52&lt;&gt;""),IF(AND(DATEVALUE("1-"&amp;$I52)&lt;=K$83,DATEVALUE("1-"&amp;$J52)&gt;=K$83),"●",""),"")</f>
        <v/>
      </c>
      <c r="L52" s="80" t="str">
        <f>IF(AND($I52&lt;&gt;"",$J52&lt;&gt;""),IF(AND(DATEVALUE("1-"&amp;$I52)&lt;=L$83,DATEVALUE("1-"&amp;$J52)&gt;=L$83),"●",""),"")</f>
        <v/>
      </c>
      <c r="M52" s="80" t="str">
        <f>IF(AND($I52&lt;&gt;"",$J52&lt;&gt;""),IF(AND(DATEVALUE("1-"&amp;$I52)&lt;=M$83,DATEVALUE("1-"&amp;$J52)&gt;=M$83),"●",""),"")</f>
        <v/>
      </c>
      <c r="N52" s="80" t="str">
        <f>IF(AND($I52&lt;&gt;"",$J52&lt;&gt;""),IF(AND(DATEVALUE("1-"&amp;$I52)&lt;=N$83,DATEVALUE("1-"&amp;$J52)&gt;=N$83),"●",""),"")</f>
        <v/>
      </c>
      <c r="O52" s="80" t="str">
        <f>IF(AND($I52&lt;&gt;"",$J52&lt;&gt;""),IF(AND(DATEVALUE("1-"&amp;$I52)&lt;=O$83,DATEVALUE("1-"&amp;$J52)&gt;=O$83),"●",""),"")</f>
        <v/>
      </c>
      <c r="P52" s="80" t="str">
        <f>IF(AND($I52&lt;&gt;"",$J52&lt;&gt;""),IF(AND(DATEVALUE("1-"&amp;$I52)&lt;=P$83,DATEVALUE("1-"&amp;$J52)&gt;=P$83),"●",""),"")</f>
        <v/>
      </c>
      <c r="Q52" s="80" t="str">
        <f>IF(AND($I52&lt;&gt;"",$J52&lt;&gt;""),IF(AND(DATEVALUE("1-"&amp;$I52)&lt;=Q$83,DATEVALUE("1-"&amp;$J52)&gt;=Q$83),"●",""),"")</f>
        <v/>
      </c>
      <c r="R52" s="80" t="str">
        <f>IF(AND($I52&lt;&gt;"",$J52&lt;&gt;""),IF(AND(DATEVALUE("1-"&amp;$I52)&lt;=R$83,DATEVALUE("1-"&amp;$J52)&gt;=R$83),"●",""),"")</f>
        <v/>
      </c>
      <c r="S52" s="80" t="str">
        <f>IF(AND($I52&lt;&gt;"",$J52&lt;&gt;""),IF(AND(DATEVALUE("1-"&amp;$I52)&lt;=S$83,DATEVALUE("1-"&amp;$J52)&gt;=S$83),"●",""),"")</f>
        <v/>
      </c>
      <c r="T52" s="80" t="str">
        <f>IF(AND($I52&lt;&gt;"",$J52&lt;&gt;""),IF(AND(DATEVALUE("1-"&amp;$I52)&lt;=T$83,DATEVALUE("1-"&amp;$J52)&gt;=T$83),"●",""),"")</f>
        <v/>
      </c>
      <c r="U52" s="80" t="str">
        <f>IF(AND($I52&lt;&gt;"",$J52&lt;&gt;""),IF(AND(DATEVALUE("1-"&amp;$I52)&lt;=U$83,DATEVALUE("1-"&amp;$J52)&gt;=U$83),"●",""),"")</f>
        <v/>
      </c>
      <c r="V52" s="80" t="str">
        <f>IF(AND($I52&lt;&gt;"",$J52&lt;&gt;""),IF(AND(DATEVALUE("1-"&amp;$I52)&lt;=V$83,DATEVALUE("1-"&amp;$J52)&gt;=V$83),"●",""),"")</f>
        <v/>
      </c>
      <c r="W52" s="80" t="str">
        <f>IF(AND($I52&lt;&gt;"",$J52&lt;&gt;""),IF(AND(DATEVALUE("1-"&amp;$I52)&lt;=W$83,DATEVALUE("1-"&amp;$J52)&gt;=W$83),"●",""),"")</f>
        <v/>
      </c>
      <c r="X52" s="80" t="str">
        <f>IF(AND($I52&lt;&gt;"",$J52&lt;&gt;""),IF(AND(DATEVALUE("1-"&amp;$I52)&lt;=X$83,DATEVALUE("1-"&amp;$J52)&gt;=X$83),"●",""),"")</f>
        <v/>
      </c>
      <c r="Y52" s="80" t="str">
        <f>IF(AND($I52&lt;&gt;"",$J52&lt;&gt;""),IF(AND(DATEVALUE("1-"&amp;$I52)&lt;=Y$83,DATEVALUE("1-"&amp;$J52)&gt;=Y$83),"●",""),"")</f>
        <v/>
      </c>
      <c r="Z52" s="80" t="str">
        <f>IF(AND($I52&lt;&gt;"",$J52&lt;&gt;""),IF(AND(DATEVALUE("1-"&amp;$I52)&lt;=Z$83,DATEVALUE("1-"&amp;$J52)&gt;=Z$83),"●",""),"")</f>
        <v/>
      </c>
      <c r="AA52" s="80" t="str">
        <f>IF(AND($I52&lt;&gt;"",$J52&lt;&gt;""),IF(AND(DATEVALUE("1-"&amp;$I52)&lt;=AA$83,DATEVALUE("1-"&amp;$J52)&gt;=AA$83),"●",""),"")</f>
        <v/>
      </c>
      <c r="AB52" s="80" t="str">
        <f>IF(AND($I52&lt;&gt;"",$J52&lt;&gt;""),IF(AND(DATEVALUE("1-"&amp;$I52)&lt;=AB$83,DATEVALUE("1-"&amp;$J52)&gt;=AB$83),"●",""),"")</f>
        <v/>
      </c>
      <c r="AC52" s="80" t="str">
        <f>IF(AND($I52&lt;&gt;"",$J52&lt;&gt;""),IF(AND(DATEVALUE("1-"&amp;$I52)&lt;=AC$83,DATEVALUE("1-"&amp;$J52)&gt;=AC$83),"●",""),"")</f>
        <v/>
      </c>
      <c r="AD52" s="80" t="str">
        <f>IF(AND($I52&lt;&gt;"",$J52&lt;&gt;""),IF(AND(DATEVALUE("1-"&amp;$I52)&lt;=AD$83,DATEVALUE("1-"&amp;$J52)&gt;=AD$83),"●",""),"")</f>
        <v/>
      </c>
      <c r="AE52" s="80" t="str">
        <f>IF(AND($I52&lt;&gt;"",$J52&lt;&gt;""),IF(AND(DATEVALUE("1-"&amp;$I52)&lt;=AE$83,DATEVALUE("1-"&amp;$J52)&gt;=AE$83),"●",""),"")</f>
        <v/>
      </c>
      <c r="AF52" s="80" t="str">
        <f>IF(AND($I52&lt;&gt;"",$J52&lt;&gt;""),IF(AND(DATEVALUE("1-"&amp;$I52)&lt;=AF$83,DATEVALUE("1-"&amp;$J52)&gt;=AF$83),"●",""),"")</f>
        <v/>
      </c>
      <c r="AG52" s="80" t="str">
        <f>IF(AND($I52&lt;&gt;"",$J52&lt;&gt;""),IF(AND(DATEVALUE("1-"&amp;$I52)&lt;=AG$83,DATEVALUE("1-"&amp;$J52)&gt;=AG$83),"●",""),"")</f>
        <v/>
      </c>
      <c r="AH52" s="80" t="str">
        <f>IF(AND($I52&lt;&gt;"",$J52&lt;&gt;""),IF(AND(DATEVALUE("1-"&amp;$I52)&lt;=AH$83,DATEVALUE("1-"&amp;$J52)&gt;=AH$83),"●",""),"")</f>
        <v/>
      </c>
      <c r="AI52" s="80" t="str">
        <f>IF(AND($I52&lt;&gt;"",$J52&lt;&gt;""),IF(AND(DATEVALUE("1-"&amp;$I52)&lt;=AI$83,DATEVALUE("1-"&amp;$J52)&gt;=AI$83),"●",""),"")</f>
        <v/>
      </c>
      <c r="AJ52" s="80" t="str">
        <f>IF(AND($I52&lt;&gt;"",$J52&lt;&gt;""),IF(AND(DATEVALUE("1-"&amp;$I52)&lt;=AJ$83,DATEVALUE("1-"&amp;$J52)&gt;=AJ$83),"●",""),"")</f>
        <v/>
      </c>
      <c r="AK52" s="80" t="str">
        <f>IF(AND($I52&lt;&gt;"",$J52&lt;&gt;""),IF(AND(DATEVALUE("1-"&amp;$I52)&lt;=AK$83,DATEVALUE("1-"&amp;$J52)&gt;=AK$83),"●",""),"")</f>
        <v/>
      </c>
    </row>
    <row r="53" spans="1:37" ht="15" customHeight="1">
      <c r="A53" s="519"/>
      <c r="B53" s="144" t="s">
        <v>2657</v>
      </c>
      <c r="C53" s="92" t="s">
        <v>2577</v>
      </c>
      <c r="D53" s="92" t="s">
        <v>20</v>
      </c>
      <c r="E53" s="84" t="s">
        <v>2657</v>
      </c>
      <c r="F53" s="84"/>
      <c r="G53" s="78" t="s">
        <v>2565</v>
      </c>
      <c r="H53" s="3" t="s">
        <v>2560</v>
      </c>
      <c r="I53" s="78" t="s">
        <v>2573</v>
      </c>
      <c r="J53" s="78" t="s">
        <v>2607</v>
      </c>
      <c r="K53" s="80" t="str">
        <f>IF(AND($I53&lt;&gt;"",$J53&lt;&gt;""),IF(AND(DATEVALUE("1-"&amp;$I53)&lt;=K$83,DATEVALUE("1-"&amp;$J53)&gt;=K$83),"●",""),"")</f>
        <v/>
      </c>
      <c r="L53" s="80" t="str">
        <f>IF(AND($I53&lt;&gt;"",$J53&lt;&gt;""),IF(AND(DATEVALUE("1-"&amp;$I53)&lt;=L$83,DATEVALUE("1-"&amp;$J53)&gt;=L$83),"●",""),"")</f>
        <v/>
      </c>
      <c r="M53" s="80" t="str">
        <f>IF(AND($I53&lt;&gt;"",$J53&lt;&gt;""),IF(AND(DATEVALUE("1-"&amp;$I53)&lt;=M$83,DATEVALUE("1-"&amp;$J53)&gt;=M$83),"●",""),"")</f>
        <v/>
      </c>
      <c r="N53" s="80" t="str">
        <f>IF(AND($I53&lt;&gt;"",$J53&lt;&gt;""),IF(AND(DATEVALUE("1-"&amp;$I53)&lt;=N$83,DATEVALUE("1-"&amp;$J53)&gt;=N$83),"●",""),"")</f>
        <v/>
      </c>
      <c r="O53" s="80" t="str">
        <f>IF(AND($I53&lt;&gt;"",$J53&lt;&gt;""),IF(AND(DATEVALUE("1-"&amp;$I53)&lt;=O$83,DATEVALUE("1-"&amp;$J53)&gt;=O$83),"●",""),"")</f>
        <v/>
      </c>
      <c r="P53" s="80" t="str">
        <f>IF(AND($I53&lt;&gt;"",$J53&lt;&gt;""),IF(AND(DATEVALUE("1-"&amp;$I53)&lt;=P$83,DATEVALUE("1-"&amp;$J53)&gt;=P$83),"●",""),"")</f>
        <v/>
      </c>
      <c r="Q53" s="80" t="str">
        <f>IF(AND($I53&lt;&gt;"",$J53&lt;&gt;""),IF(AND(DATEVALUE("1-"&amp;$I53)&lt;=Q$83,DATEVALUE("1-"&amp;$J53)&gt;=Q$83),"●",""),"")</f>
        <v/>
      </c>
      <c r="R53" s="80" t="str">
        <f>IF(AND($I53&lt;&gt;"",$J53&lt;&gt;""),IF(AND(DATEVALUE("1-"&amp;$I53)&lt;=R$83,DATEVALUE("1-"&amp;$J53)&gt;=R$83),"●",""),"")</f>
        <v/>
      </c>
      <c r="S53" s="80" t="str">
        <f>IF(AND($I53&lt;&gt;"",$J53&lt;&gt;""),IF(AND(DATEVALUE("1-"&amp;$I53)&lt;=S$83,DATEVALUE("1-"&amp;$J53)&gt;=S$83),"●",""),"")</f>
        <v/>
      </c>
      <c r="T53" s="80" t="str">
        <f>IF(AND($I53&lt;&gt;"",$J53&lt;&gt;""),IF(AND(DATEVALUE("1-"&amp;$I53)&lt;=T$83,DATEVALUE("1-"&amp;$J53)&gt;=T$83),"●",""),"")</f>
        <v/>
      </c>
      <c r="U53" s="80" t="str">
        <f>IF(AND($I53&lt;&gt;"",$J53&lt;&gt;""),IF(AND(DATEVALUE("1-"&amp;$I53)&lt;=U$83,DATEVALUE("1-"&amp;$J53)&gt;=U$83),"●",""),"")</f>
        <v/>
      </c>
      <c r="V53" s="80" t="str">
        <f>IF(AND($I53&lt;&gt;"",$J53&lt;&gt;""),IF(AND(DATEVALUE("1-"&amp;$I53)&lt;=V$83,DATEVALUE("1-"&amp;$J53)&gt;=V$83),"●",""),"")</f>
        <v/>
      </c>
      <c r="W53" s="80" t="str">
        <f>IF(AND($I53&lt;&gt;"",$J53&lt;&gt;""),IF(AND(DATEVALUE("1-"&amp;$I53)&lt;=W$83,DATEVALUE("1-"&amp;$J53)&gt;=W$83),"●",""),"")</f>
        <v>●</v>
      </c>
      <c r="X53" s="80" t="str">
        <f>IF(AND($I53&lt;&gt;"",$J53&lt;&gt;""),IF(AND(DATEVALUE("1-"&amp;$I53)&lt;=X$83,DATEVALUE("1-"&amp;$J53)&gt;=X$83),"●",""),"")</f>
        <v>●</v>
      </c>
      <c r="Y53" s="80" t="str">
        <f>IF(AND($I53&lt;&gt;"",$J53&lt;&gt;""),IF(AND(DATEVALUE("1-"&amp;$I53)&lt;=Y$83,DATEVALUE("1-"&amp;$J53)&gt;=Y$83),"●",""),"")</f>
        <v/>
      </c>
      <c r="Z53" s="80" t="str">
        <f>IF(AND($I53&lt;&gt;"",$J53&lt;&gt;""),IF(AND(DATEVALUE("1-"&amp;$I53)&lt;=Z$83,DATEVALUE("1-"&amp;$J53)&gt;=Z$83),"●",""),"")</f>
        <v/>
      </c>
      <c r="AA53" s="80" t="str">
        <f>IF(AND($I53&lt;&gt;"",$J53&lt;&gt;""),IF(AND(DATEVALUE("1-"&amp;$I53)&lt;=AA$83,DATEVALUE("1-"&amp;$J53)&gt;=AA$83),"●",""),"")</f>
        <v/>
      </c>
      <c r="AB53" s="80" t="str">
        <f>IF(AND($I53&lt;&gt;"",$J53&lt;&gt;""),IF(AND(DATEVALUE("1-"&amp;$I53)&lt;=AB$83,DATEVALUE("1-"&amp;$J53)&gt;=AB$83),"●",""),"")</f>
        <v/>
      </c>
      <c r="AC53" s="80" t="str">
        <f>IF(AND($I53&lt;&gt;"",$J53&lt;&gt;""),IF(AND(DATEVALUE("1-"&amp;$I53)&lt;=AC$83,DATEVALUE("1-"&amp;$J53)&gt;=AC$83),"●",""),"")</f>
        <v/>
      </c>
      <c r="AD53" s="80" t="str">
        <f>IF(AND($I53&lt;&gt;"",$J53&lt;&gt;""),IF(AND(DATEVALUE("1-"&amp;$I53)&lt;=AD$83,DATEVALUE("1-"&amp;$J53)&gt;=AD$83),"●",""),"")</f>
        <v/>
      </c>
      <c r="AE53" s="80" t="str">
        <f>IF(AND($I53&lt;&gt;"",$J53&lt;&gt;""),IF(AND(DATEVALUE("1-"&amp;$I53)&lt;=AE$83,DATEVALUE("1-"&amp;$J53)&gt;=AE$83),"●",""),"")</f>
        <v/>
      </c>
      <c r="AF53" s="80" t="str">
        <f>IF(AND($I53&lt;&gt;"",$J53&lt;&gt;""),IF(AND(DATEVALUE("1-"&amp;$I53)&lt;=AF$83,DATEVALUE("1-"&amp;$J53)&gt;=AF$83),"●",""),"")</f>
        <v/>
      </c>
      <c r="AG53" s="80" t="str">
        <f>IF(AND($I53&lt;&gt;"",$J53&lt;&gt;""),IF(AND(DATEVALUE("1-"&amp;$I53)&lt;=AG$83,DATEVALUE("1-"&amp;$J53)&gt;=AG$83),"●",""),"")</f>
        <v/>
      </c>
      <c r="AH53" s="80" t="str">
        <f>IF(AND($I53&lt;&gt;"",$J53&lt;&gt;""),IF(AND(DATEVALUE("1-"&amp;$I53)&lt;=AH$83,DATEVALUE("1-"&amp;$J53)&gt;=AH$83),"●",""),"")</f>
        <v/>
      </c>
      <c r="AI53" s="80" t="str">
        <f>IF(AND($I53&lt;&gt;"",$J53&lt;&gt;""),IF(AND(DATEVALUE("1-"&amp;$I53)&lt;=AI$83,DATEVALUE("1-"&amp;$J53)&gt;=AI$83),"●",""),"")</f>
        <v/>
      </c>
      <c r="AJ53" s="80" t="str">
        <f>IF(AND($I53&lt;&gt;"",$J53&lt;&gt;""),IF(AND(DATEVALUE("1-"&amp;$I53)&lt;=AJ$83,DATEVALUE("1-"&amp;$J53)&gt;=AJ$83),"●",""),"")</f>
        <v/>
      </c>
      <c r="AK53" s="80" t="str">
        <f>IF(AND($I53&lt;&gt;"",$J53&lt;&gt;""),IF(AND(DATEVALUE("1-"&amp;$I53)&lt;=AK$83,DATEVALUE("1-"&amp;$J53)&gt;=AK$83),"●",""),"")</f>
        <v/>
      </c>
    </row>
    <row r="54" spans="1:37" ht="15" customHeight="1">
      <c r="A54" s="519"/>
      <c r="B54" s="84" t="s">
        <v>681</v>
      </c>
      <c r="C54" s="92" t="s">
        <v>2577</v>
      </c>
      <c r="D54" s="92" t="s">
        <v>22</v>
      </c>
      <c r="E54" s="84" t="s">
        <v>681</v>
      </c>
      <c r="F54" s="84"/>
      <c r="G54" s="78" t="s">
        <v>2544</v>
      </c>
      <c r="H54" s="3" t="s">
        <v>2560</v>
      </c>
      <c r="I54" s="78" t="s">
        <v>2601</v>
      </c>
      <c r="J54" s="78" t="s">
        <v>2658</v>
      </c>
      <c r="K54" s="80" t="str">
        <f>IF(AND($I54&lt;&gt;"",$J54&lt;&gt;""),IF(AND(DATEVALUE("1-"&amp;$I54)&lt;=K$83,DATEVALUE("1-"&amp;$J54)&gt;=K$83),"●",""),"")</f>
        <v/>
      </c>
      <c r="L54" s="80" t="str">
        <f>IF(AND($I54&lt;&gt;"",$J54&lt;&gt;""),IF(AND(DATEVALUE("1-"&amp;$I54)&lt;=L$83,DATEVALUE("1-"&amp;$J54)&gt;=L$83),"●",""),"")</f>
        <v/>
      </c>
      <c r="M54" s="80" t="str">
        <f>IF(AND($I54&lt;&gt;"",$J54&lt;&gt;""),IF(AND(DATEVALUE("1-"&amp;$I54)&lt;=M$83,DATEVALUE("1-"&amp;$J54)&gt;=M$83),"●",""),"")</f>
        <v/>
      </c>
      <c r="N54" s="80" t="str">
        <f>IF(AND($I54&lt;&gt;"",$J54&lt;&gt;""),IF(AND(DATEVALUE("1-"&amp;$I54)&lt;=N$83,DATEVALUE("1-"&amp;$J54)&gt;=N$83),"●",""),"")</f>
        <v/>
      </c>
      <c r="O54" s="80" t="str">
        <f>IF(AND($I54&lt;&gt;"",$J54&lt;&gt;""),IF(AND(DATEVALUE("1-"&amp;$I54)&lt;=O$83,DATEVALUE("1-"&amp;$J54)&gt;=O$83),"●",""),"")</f>
        <v/>
      </c>
      <c r="P54" s="80" t="str">
        <f>IF(AND($I54&lt;&gt;"",$J54&lt;&gt;""),IF(AND(DATEVALUE("1-"&amp;$I54)&lt;=P$83,DATEVALUE("1-"&amp;$J54)&gt;=P$83),"●",""),"")</f>
        <v/>
      </c>
      <c r="Q54" s="80" t="str">
        <f>IF(AND($I54&lt;&gt;"",$J54&lt;&gt;""),IF(AND(DATEVALUE("1-"&amp;$I54)&lt;=Q$83,DATEVALUE("1-"&amp;$J54)&gt;=Q$83),"●",""),"")</f>
        <v/>
      </c>
      <c r="R54" s="80" t="str">
        <f>IF(AND($I54&lt;&gt;"",$J54&lt;&gt;""),IF(AND(DATEVALUE("1-"&amp;$I54)&lt;=R$83,DATEVALUE("1-"&amp;$J54)&gt;=R$83),"●",""),"")</f>
        <v/>
      </c>
      <c r="S54" s="80" t="str">
        <f>IF(AND($I54&lt;&gt;"",$J54&lt;&gt;""),IF(AND(DATEVALUE("1-"&amp;$I54)&lt;=S$83,DATEVALUE("1-"&amp;$J54)&gt;=S$83),"●",""),"")</f>
        <v/>
      </c>
      <c r="T54" s="80" t="str">
        <f>IF(AND($I54&lt;&gt;"",$J54&lt;&gt;""),IF(AND(DATEVALUE("1-"&amp;$I54)&lt;=T$83,DATEVALUE("1-"&amp;$J54)&gt;=T$83),"●",""),"")</f>
        <v/>
      </c>
      <c r="U54" s="80" t="str">
        <f>IF(AND($I54&lt;&gt;"",$J54&lt;&gt;""),IF(AND(DATEVALUE("1-"&amp;$I54)&lt;=U$83,DATEVALUE("1-"&amp;$J54)&gt;=U$83),"●",""),"")</f>
        <v>●</v>
      </c>
      <c r="V54" s="80" t="str">
        <f>IF(AND($I54&lt;&gt;"",$J54&lt;&gt;""),IF(AND(DATEVALUE("1-"&amp;$I54)&lt;=V$83,DATEVALUE("1-"&amp;$J54)&gt;=V$83),"●",""),"")</f>
        <v>●</v>
      </c>
      <c r="W54" s="80" t="str">
        <f>IF(AND($I54&lt;&gt;"",$J54&lt;&gt;""),IF(AND(DATEVALUE("1-"&amp;$I54)&lt;=W$83,DATEVALUE("1-"&amp;$J54)&gt;=W$83),"●",""),"")</f>
        <v>●</v>
      </c>
      <c r="X54" s="80" t="str">
        <f>IF(AND($I54&lt;&gt;"",$J54&lt;&gt;""),IF(AND(DATEVALUE("1-"&amp;$I54)&lt;=X$83,DATEVALUE("1-"&amp;$J54)&gt;=X$83),"●",""),"")</f>
        <v>●</v>
      </c>
      <c r="Y54" s="80" t="str">
        <f>IF(AND($I54&lt;&gt;"",$J54&lt;&gt;""),IF(AND(DATEVALUE("1-"&amp;$I54)&lt;=Y$83,DATEVALUE("1-"&amp;$J54)&gt;=Y$83),"●",""),"")</f>
        <v>●</v>
      </c>
      <c r="Z54" s="80" t="str">
        <f>IF(AND($I54&lt;&gt;"",$J54&lt;&gt;""),IF(AND(DATEVALUE("1-"&amp;$I54)&lt;=Z$83,DATEVALUE("1-"&amp;$J54)&gt;=Z$83),"●",""),"")</f>
        <v/>
      </c>
      <c r="AA54" s="80" t="str">
        <f>IF(AND($I54&lt;&gt;"",$J54&lt;&gt;""),IF(AND(DATEVALUE("1-"&amp;$I54)&lt;=AA$83,DATEVALUE("1-"&amp;$J54)&gt;=AA$83),"●",""),"")</f>
        <v/>
      </c>
      <c r="AB54" s="80" t="str">
        <f>IF(AND($I54&lt;&gt;"",$J54&lt;&gt;""),IF(AND(DATEVALUE("1-"&amp;$I54)&lt;=AB$83,DATEVALUE("1-"&amp;$J54)&gt;=AB$83),"●",""),"")</f>
        <v/>
      </c>
      <c r="AC54" s="80" t="str">
        <f>IF(AND($I54&lt;&gt;"",$J54&lt;&gt;""),IF(AND(DATEVALUE("1-"&amp;$I54)&lt;=AC$83,DATEVALUE("1-"&amp;$J54)&gt;=AC$83),"●",""),"")</f>
        <v/>
      </c>
      <c r="AD54" s="80" t="str">
        <f>IF(AND($I54&lt;&gt;"",$J54&lt;&gt;""),IF(AND(DATEVALUE("1-"&amp;$I54)&lt;=AD$83,DATEVALUE("1-"&amp;$J54)&gt;=AD$83),"●",""),"")</f>
        <v/>
      </c>
      <c r="AE54" s="80" t="str">
        <f>IF(AND($I54&lt;&gt;"",$J54&lt;&gt;""),IF(AND(DATEVALUE("1-"&amp;$I54)&lt;=AE$83,DATEVALUE("1-"&amp;$J54)&gt;=AE$83),"●",""),"")</f>
        <v/>
      </c>
      <c r="AF54" s="80" t="str">
        <f>IF(AND($I54&lt;&gt;"",$J54&lt;&gt;""),IF(AND(DATEVALUE("1-"&amp;$I54)&lt;=AF$83,DATEVALUE("1-"&amp;$J54)&gt;=AF$83),"●",""),"")</f>
        <v/>
      </c>
      <c r="AG54" s="80" t="str">
        <f>IF(AND($I54&lt;&gt;"",$J54&lt;&gt;""),IF(AND(DATEVALUE("1-"&amp;$I54)&lt;=AG$83,DATEVALUE("1-"&amp;$J54)&gt;=AG$83),"●",""),"")</f>
        <v/>
      </c>
      <c r="AH54" s="80" t="str">
        <f>IF(AND($I54&lt;&gt;"",$J54&lt;&gt;""),IF(AND(DATEVALUE("1-"&amp;$I54)&lt;=AH$83,DATEVALUE("1-"&amp;$J54)&gt;=AH$83),"●",""),"")</f>
        <v/>
      </c>
      <c r="AI54" s="80" t="str">
        <f>IF(AND($I54&lt;&gt;"",$J54&lt;&gt;""),IF(AND(DATEVALUE("1-"&amp;$I54)&lt;=AI$83,DATEVALUE("1-"&amp;$J54)&gt;=AI$83),"●",""),"")</f>
        <v/>
      </c>
      <c r="AJ54" s="80" t="str">
        <f>IF(AND($I54&lt;&gt;"",$J54&lt;&gt;""),IF(AND(DATEVALUE("1-"&amp;$I54)&lt;=AJ$83,DATEVALUE("1-"&amp;$J54)&gt;=AJ$83),"●",""),"")</f>
        <v/>
      </c>
      <c r="AK54" s="80" t="str">
        <f>IF(AND($I54&lt;&gt;"",$J54&lt;&gt;""),IF(AND(DATEVALUE("1-"&amp;$I54)&lt;=AK$83,DATEVALUE("1-"&amp;$J54)&gt;=AK$83),"●",""),"")</f>
        <v/>
      </c>
    </row>
    <row r="55" spans="1:37" ht="15" customHeight="1">
      <c r="A55" s="519"/>
      <c r="B55" s="84" t="s">
        <v>1023</v>
      </c>
      <c r="C55" s="92" t="s">
        <v>2577</v>
      </c>
      <c r="D55" s="92" t="s">
        <v>23</v>
      </c>
      <c r="E55" s="84" t="s">
        <v>1023</v>
      </c>
      <c r="F55" s="84"/>
      <c r="G55" s="78" t="s">
        <v>2565</v>
      </c>
      <c r="H55" s="3" t="s">
        <v>2560</v>
      </c>
      <c r="I55" s="78" t="s">
        <v>2604</v>
      </c>
      <c r="J55" s="78" t="s">
        <v>2571</v>
      </c>
      <c r="K55" s="80" t="str">
        <f>IF(AND($I55&lt;&gt;"",$J55&lt;&gt;""),IF(AND(DATEVALUE("1-"&amp;$I55)&lt;=K$83,DATEVALUE("1-"&amp;$J55)&gt;=K$83),"●",""),"")</f>
        <v/>
      </c>
      <c r="L55" s="80" t="str">
        <f>IF(AND($I55&lt;&gt;"",$J55&lt;&gt;""),IF(AND(DATEVALUE("1-"&amp;$I55)&lt;=L$83,DATEVALUE("1-"&amp;$J55)&gt;=L$83),"●",""),"")</f>
        <v/>
      </c>
      <c r="M55" s="80" t="str">
        <f>IF(AND($I55&lt;&gt;"",$J55&lt;&gt;""),IF(AND(DATEVALUE("1-"&amp;$I55)&lt;=M$83,DATEVALUE("1-"&amp;$J55)&gt;=M$83),"●",""),"")</f>
        <v/>
      </c>
      <c r="N55" s="80" t="str">
        <f>IF(AND($I55&lt;&gt;"",$J55&lt;&gt;""),IF(AND(DATEVALUE("1-"&amp;$I55)&lt;=N$83,DATEVALUE("1-"&amp;$J55)&gt;=N$83),"●",""),"")</f>
        <v/>
      </c>
      <c r="O55" s="80" t="str">
        <f>IF(AND($I55&lt;&gt;"",$J55&lt;&gt;""),IF(AND(DATEVALUE("1-"&amp;$I55)&lt;=O$83,DATEVALUE("1-"&amp;$J55)&gt;=O$83),"●",""),"")</f>
        <v/>
      </c>
      <c r="P55" s="80" t="str">
        <f>IF(AND($I55&lt;&gt;"",$J55&lt;&gt;""),IF(AND(DATEVALUE("1-"&amp;$I55)&lt;=P$83,DATEVALUE("1-"&amp;$J55)&gt;=P$83),"●",""),"")</f>
        <v/>
      </c>
      <c r="Q55" s="80" t="str">
        <f>IF(AND($I55&lt;&gt;"",$J55&lt;&gt;""),IF(AND(DATEVALUE("1-"&amp;$I55)&lt;=Q$83,DATEVALUE("1-"&amp;$J55)&gt;=Q$83),"●",""),"")</f>
        <v/>
      </c>
      <c r="R55" s="80" t="str">
        <f>IF(AND($I55&lt;&gt;"",$J55&lt;&gt;""),IF(AND(DATEVALUE("1-"&amp;$I55)&lt;=R$83,DATEVALUE("1-"&amp;$J55)&gt;=R$83),"●",""),"")</f>
        <v/>
      </c>
      <c r="S55" s="80" t="str">
        <f>IF(AND($I55&lt;&gt;"",$J55&lt;&gt;""),IF(AND(DATEVALUE("1-"&amp;$I55)&lt;=S$83,DATEVALUE("1-"&amp;$J55)&gt;=S$83),"●",""),"")</f>
        <v/>
      </c>
      <c r="T55" s="80" t="str">
        <f>IF(AND($I55&lt;&gt;"",$J55&lt;&gt;""),IF(AND(DATEVALUE("1-"&amp;$I55)&lt;=T$83,DATEVALUE("1-"&amp;$J55)&gt;=T$83),"●",""),"")</f>
        <v/>
      </c>
      <c r="U55" s="80" t="str">
        <f>IF(AND($I55&lt;&gt;"",$J55&lt;&gt;""),IF(AND(DATEVALUE("1-"&amp;$I55)&lt;=U$83,DATEVALUE("1-"&amp;$J55)&gt;=U$83),"●",""),"")</f>
        <v>●</v>
      </c>
      <c r="V55" s="80" t="str">
        <f>IF(AND($I55&lt;&gt;"",$J55&lt;&gt;""),IF(AND(DATEVALUE("1-"&amp;$I55)&lt;=V$83,DATEVALUE("1-"&amp;$J55)&gt;=V$83),"●",""),"")</f>
        <v>●</v>
      </c>
      <c r="W55" s="80" t="str">
        <f>IF(AND($I55&lt;&gt;"",$J55&lt;&gt;""),IF(AND(DATEVALUE("1-"&amp;$I55)&lt;=W$83,DATEVALUE("1-"&amp;$J55)&gt;=W$83),"●",""),"")</f>
        <v>●</v>
      </c>
      <c r="X55" s="80" t="str">
        <f>IF(AND($I55&lt;&gt;"",$J55&lt;&gt;""),IF(AND(DATEVALUE("1-"&amp;$I55)&lt;=X$83,DATEVALUE("1-"&amp;$J55)&gt;=X$83),"●",""),"")</f>
        <v>●</v>
      </c>
      <c r="Y55" s="80" t="str">
        <f>IF(AND($I55&lt;&gt;"",$J55&lt;&gt;""),IF(AND(DATEVALUE("1-"&amp;$I55)&lt;=Y$83,DATEVALUE("1-"&amp;$J55)&gt;=Y$83),"●",""),"")</f>
        <v>●</v>
      </c>
      <c r="Z55" s="80" t="str">
        <f>IF(AND($I55&lt;&gt;"",$J55&lt;&gt;""),IF(AND(DATEVALUE("1-"&amp;$I55)&lt;=Z$83,DATEVALUE("1-"&amp;$J55)&gt;=Z$83),"●",""),"")</f>
        <v/>
      </c>
      <c r="AA55" s="80" t="str">
        <f>IF(AND($I55&lt;&gt;"",$J55&lt;&gt;""),IF(AND(DATEVALUE("1-"&amp;$I55)&lt;=AA$83,DATEVALUE("1-"&amp;$J55)&gt;=AA$83),"●",""),"")</f>
        <v/>
      </c>
      <c r="AB55" s="80" t="str">
        <f>IF(AND($I55&lt;&gt;"",$J55&lt;&gt;""),IF(AND(DATEVALUE("1-"&amp;$I55)&lt;=AB$83,DATEVALUE("1-"&amp;$J55)&gt;=AB$83),"●",""),"")</f>
        <v/>
      </c>
      <c r="AC55" s="80" t="str">
        <f>IF(AND($I55&lt;&gt;"",$J55&lt;&gt;""),IF(AND(DATEVALUE("1-"&amp;$I55)&lt;=AC$83,DATEVALUE("1-"&amp;$J55)&gt;=AC$83),"●",""),"")</f>
        <v/>
      </c>
      <c r="AD55" s="80" t="str">
        <f>IF(AND($I55&lt;&gt;"",$J55&lt;&gt;""),IF(AND(DATEVALUE("1-"&amp;$I55)&lt;=AD$83,DATEVALUE("1-"&amp;$J55)&gt;=AD$83),"●",""),"")</f>
        <v/>
      </c>
      <c r="AE55" s="80" t="str">
        <f>IF(AND($I55&lt;&gt;"",$J55&lt;&gt;""),IF(AND(DATEVALUE("1-"&amp;$I55)&lt;=AE$83,DATEVALUE("1-"&amp;$J55)&gt;=AE$83),"●",""),"")</f>
        <v/>
      </c>
      <c r="AF55" s="80" t="str">
        <f>IF(AND($I55&lt;&gt;"",$J55&lt;&gt;""),IF(AND(DATEVALUE("1-"&amp;$I55)&lt;=AF$83,DATEVALUE("1-"&amp;$J55)&gt;=AF$83),"●",""),"")</f>
        <v/>
      </c>
      <c r="AG55" s="80" t="str">
        <f>IF(AND($I55&lt;&gt;"",$J55&lt;&gt;""),IF(AND(DATEVALUE("1-"&amp;$I55)&lt;=AG$83,DATEVALUE("1-"&amp;$J55)&gt;=AG$83),"●",""),"")</f>
        <v/>
      </c>
      <c r="AH55" s="80" t="str">
        <f>IF(AND($I55&lt;&gt;"",$J55&lt;&gt;""),IF(AND(DATEVALUE("1-"&amp;$I55)&lt;=AH$83,DATEVALUE("1-"&amp;$J55)&gt;=AH$83),"●",""),"")</f>
        <v/>
      </c>
      <c r="AI55" s="80" t="str">
        <f>IF(AND($I55&lt;&gt;"",$J55&lt;&gt;""),IF(AND(DATEVALUE("1-"&amp;$I55)&lt;=AI$83,DATEVALUE("1-"&amp;$J55)&gt;=AI$83),"●",""),"")</f>
        <v/>
      </c>
      <c r="AJ55" s="80" t="str">
        <f>IF(AND($I55&lt;&gt;"",$J55&lt;&gt;""),IF(AND(DATEVALUE("1-"&amp;$I55)&lt;=AJ$83,DATEVALUE("1-"&amp;$J55)&gt;=AJ$83),"●",""),"")</f>
        <v/>
      </c>
      <c r="AK55" s="80" t="str">
        <f>IF(AND($I55&lt;&gt;"",$J55&lt;&gt;""),IF(AND(DATEVALUE("1-"&amp;$I55)&lt;=AK$83,DATEVALUE("1-"&amp;$J55)&gt;=AK$83),"●",""),"")</f>
        <v/>
      </c>
    </row>
    <row r="56" spans="1:37" ht="15" customHeight="1">
      <c r="A56" s="519"/>
      <c r="B56" s="144" t="s">
        <v>631</v>
      </c>
      <c r="C56" s="92" t="s">
        <v>2577</v>
      </c>
      <c r="D56" s="92" t="s">
        <v>20</v>
      </c>
      <c r="E56" s="84" t="s">
        <v>631</v>
      </c>
      <c r="F56" s="84"/>
      <c r="G56" s="78" t="s">
        <v>2565</v>
      </c>
      <c r="H56" s="3" t="s">
        <v>2560</v>
      </c>
      <c r="I56" s="305"/>
      <c r="J56" s="305"/>
      <c r="K56" s="80" t="str">
        <f>IF(OR($I56="",$J56=""),"개발 시작전",IFERROR(IF(AND(DATEVALUE("1-"&amp;$I56)&lt;=K$83,DATEVALUE("1-"&amp;$J56)&gt;=K$83),"●",""),"개발 시작전"))</f>
        <v>개발 시작전</v>
      </c>
      <c r="L56" s="80" t="str">
        <f>IF(AND($I56&lt;&gt;"",$J56&lt;&gt;""),IF(AND(DATEVALUE("1-"&amp;$I56)&lt;=L$83,DATEVALUE("1-"&amp;$J56)&gt;=L$83),"●",""),"")</f>
        <v/>
      </c>
      <c r="M56" s="80" t="str">
        <f>IF(AND($I56&lt;&gt;"",$J56&lt;&gt;""),IF(AND(DATEVALUE("1-"&amp;$I56)&lt;=M$83,DATEVALUE("1-"&amp;$J56)&gt;=M$83),"●",""),"")</f>
        <v/>
      </c>
      <c r="N56" s="80" t="str">
        <f>IF(AND($I56&lt;&gt;"",$J56&lt;&gt;""),IF(AND(DATEVALUE("1-"&amp;$I56)&lt;=N$83,DATEVALUE("1-"&amp;$J56)&gt;=N$83),"●",""),"")</f>
        <v/>
      </c>
      <c r="O56" s="80" t="str">
        <f>IF(AND($I56&lt;&gt;"",$J56&lt;&gt;""),IF(AND(DATEVALUE("1-"&amp;$I56)&lt;=O$83,DATEVALUE("1-"&amp;$J56)&gt;=O$83),"●",""),"")</f>
        <v/>
      </c>
      <c r="P56" s="80" t="str">
        <f>IF(AND($I56&lt;&gt;"",$J56&lt;&gt;""),IF(AND(DATEVALUE("1-"&amp;$I56)&lt;=P$83,DATEVALUE("1-"&amp;$J56)&gt;=P$83),"●",""),"")</f>
        <v/>
      </c>
      <c r="Q56" s="80" t="str">
        <f>IF(AND($I56&lt;&gt;"",$J56&lt;&gt;""),IF(AND(DATEVALUE("1-"&amp;$I56)&lt;=Q$83,DATEVALUE("1-"&amp;$J56)&gt;=Q$83),"●",""),"")</f>
        <v/>
      </c>
      <c r="R56" s="80" t="str">
        <f>IF(AND($I56&lt;&gt;"",$J56&lt;&gt;""),IF(AND(DATEVALUE("1-"&amp;$I56)&lt;=R$83,DATEVALUE("1-"&amp;$J56)&gt;=R$83),"●",""),"")</f>
        <v/>
      </c>
      <c r="S56" s="80" t="str">
        <f>IF(AND($I56&lt;&gt;"",$J56&lt;&gt;""),IF(AND(DATEVALUE("1-"&amp;$I56)&lt;=S$83,DATEVALUE("1-"&amp;$J56)&gt;=S$83),"●",""),"")</f>
        <v/>
      </c>
      <c r="T56" s="80" t="str">
        <f>IF(AND($I56&lt;&gt;"",$J56&lt;&gt;""),IF(AND(DATEVALUE("1-"&amp;$I56)&lt;=T$83,DATEVALUE("1-"&amp;$J56)&gt;=T$83),"●",""),"")</f>
        <v/>
      </c>
      <c r="U56" s="80" t="str">
        <f>IF(AND($I56&lt;&gt;"",$J56&lt;&gt;""),IF(AND(DATEVALUE("1-"&amp;$I56)&lt;=U$83,DATEVALUE("1-"&amp;$J56)&gt;=U$83),"●",""),"")</f>
        <v/>
      </c>
      <c r="V56" s="80" t="str">
        <f>IF(AND($I56&lt;&gt;"",$J56&lt;&gt;""),IF(AND(DATEVALUE("1-"&amp;$I56)&lt;=V$83,DATEVALUE("1-"&amp;$J56)&gt;=V$83),"●",""),"")</f>
        <v/>
      </c>
      <c r="W56" s="80" t="str">
        <f>IF(AND($I56&lt;&gt;"",$J56&lt;&gt;""),IF(AND(DATEVALUE("1-"&amp;$I56)&lt;=W$83,DATEVALUE("1-"&amp;$J56)&gt;=W$83),"●",""),"")</f>
        <v/>
      </c>
      <c r="X56" s="80" t="str">
        <f>IF(AND($I56&lt;&gt;"",$J56&lt;&gt;""),IF(AND(DATEVALUE("1-"&amp;$I56)&lt;=X$83,DATEVALUE("1-"&amp;$J56)&gt;=X$83),"●",""),"")</f>
        <v/>
      </c>
      <c r="Y56" s="80" t="str">
        <f>IF(AND($I56&lt;&gt;"",$J56&lt;&gt;""),IF(AND(DATEVALUE("1-"&amp;$I56)&lt;=Y$83,DATEVALUE("1-"&amp;$J56)&gt;=Y$83),"●",""),"")</f>
        <v/>
      </c>
      <c r="Z56" s="80" t="str">
        <f>IF(AND($I56&lt;&gt;"",$J56&lt;&gt;""),IF(AND(DATEVALUE("1-"&amp;$I56)&lt;=Z$83,DATEVALUE("1-"&amp;$J56)&gt;=Z$83),"●",""),"")</f>
        <v/>
      </c>
      <c r="AA56" s="80" t="str">
        <f>IF(AND($I56&lt;&gt;"",$J56&lt;&gt;""),IF(AND(DATEVALUE("1-"&amp;$I56)&lt;=AA$83,DATEVALUE("1-"&amp;$J56)&gt;=AA$83),"●",""),"")</f>
        <v/>
      </c>
      <c r="AB56" s="80" t="str">
        <f>IF(AND($I56&lt;&gt;"",$J56&lt;&gt;""),IF(AND(DATEVALUE("1-"&amp;$I56)&lt;=AB$83,DATEVALUE("1-"&amp;$J56)&gt;=AB$83),"●",""),"")</f>
        <v/>
      </c>
      <c r="AC56" s="80" t="str">
        <f>IF(AND($I56&lt;&gt;"",$J56&lt;&gt;""),IF(AND(DATEVALUE("1-"&amp;$I56)&lt;=AC$83,DATEVALUE("1-"&amp;$J56)&gt;=AC$83),"●",""),"")</f>
        <v/>
      </c>
      <c r="AD56" s="80" t="str">
        <f>IF(AND($I56&lt;&gt;"",$J56&lt;&gt;""),IF(AND(DATEVALUE("1-"&amp;$I56)&lt;=AD$83,DATEVALUE("1-"&amp;$J56)&gt;=AD$83),"●",""),"")</f>
        <v/>
      </c>
      <c r="AE56" s="80" t="str">
        <f>IF(AND($I56&lt;&gt;"",$J56&lt;&gt;""),IF(AND(DATEVALUE("1-"&amp;$I56)&lt;=AE$83,DATEVALUE("1-"&amp;$J56)&gt;=AE$83),"●",""),"")</f>
        <v/>
      </c>
      <c r="AF56" s="80" t="str">
        <f>IF(AND($I56&lt;&gt;"",$J56&lt;&gt;""),IF(AND(DATEVALUE("1-"&amp;$I56)&lt;=AF$83,DATEVALUE("1-"&amp;$J56)&gt;=AF$83),"●",""),"")</f>
        <v/>
      </c>
      <c r="AG56" s="80" t="str">
        <f>IF(AND($I56&lt;&gt;"",$J56&lt;&gt;""),IF(AND(DATEVALUE("1-"&amp;$I56)&lt;=AG$83,DATEVALUE("1-"&amp;$J56)&gt;=AG$83),"●",""),"")</f>
        <v/>
      </c>
      <c r="AH56" s="80" t="str">
        <f>IF(AND($I56&lt;&gt;"",$J56&lt;&gt;""),IF(AND(DATEVALUE("1-"&amp;$I56)&lt;=AH$83,DATEVALUE("1-"&amp;$J56)&gt;=AH$83),"●",""),"")</f>
        <v/>
      </c>
      <c r="AI56" s="80" t="str">
        <f>IF(AND($I56&lt;&gt;"",$J56&lt;&gt;""),IF(AND(DATEVALUE("1-"&amp;$I56)&lt;=AI$83,DATEVALUE("1-"&amp;$J56)&gt;=AI$83),"●",""),"")</f>
        <v/>
      </c>
      <c r="AJ56" s="80" t="str">
        <f>IF(AND($I56&lt;&gt;"",$J56&lt;&gt;""),IF(AND(DATEVALUE("1-"&amp;$I56)&lt;=AJ$83,DATEVALUE("1-"&amp;$J56)&gt;=AJ$83),"●",""),"")</f>
        <v/>
      </c>
      <c r="AK56" s="80" t="str">
        <f>IF(AND($I56&lt;&gt;"",$J56&lt;&gt;""),IF(AND(DATEVALUE("1-"&amp;$I56)&lt;=AK$83,DATEVALUE("1-"&amp;$J56)&gt;=AK$83),"●",""),"")</f>
        <v/>
      </c>
    </row>
    <row r="57" spans="1:37" ht="15" customHeight="1">
      <c r="A57" s="519"/>
      <c r="B57" s="302" t="s">
        <v>2659</v>
      </c>
      <c r="C57" s="92" t="s">
        <v>2577</v>
      </c>
      <c r="D57" s="92" t="s">
        <v>20</v>
      </c>
      <c r="E57" s="84" t="s">
        <v>2659</v>
      </c>
      <c r="F57" s="84"/>
      <c r="G57" s="78" t="s">
        <v>2565</v>
      </c>
      <c r="H57" s="3" t="s">
        <v>2560</v>
      </c>
      <c r="I57" s="305"/>
      <c r="J57" s="305"/>
      <c r="K57" s="80" t="str">
        <f>IF(OR($I57="",$J57=""),"개발 시작전",IFERROR(IF(AND(DATEVALUE("1-"&amp;$I57)&lt;=K$83,DATEVALUE("1-"&amp;$J57)&gt;=K$83),"●",""),"개발 시작전"))</f>
        <v>개발 시작전</v>
      </c>
      <c r="L57" s="80" t="str">
        <f>IF(AND($I57&lt;&gt;"",$J57&lt;&gt;""),IF(AND(DATEVALUE("1-"&amp;$I57)&lt;=L$83,DATEVALUE("1-"&amp;$J57)&gt;=L$83),"●",""),"")</f>
        <v/>
      </c>
      <c r="M57" s="80" t="str">
        <f>IF(AND($I57&lt;&gt;"",$J57&lt;&gt;""),IF(AND(DATEVALUE("1-"&amp;$I57)&lt;=M$83,DATEVALUE("1-"&amp;$J57)&gt;=M$83),"●",""),"")</f>
        <v/>
      </c>
      <c r="N57" s="80" t="str">
        <f>IF(AND($I57&lt;&gt;"",$J57&lt;&gt;""),IF(AND(DATEVALUE("1-"&amp;$I57)&lt;=N$83,DATEVALUE("1-"&amp;$J57)&gt;=N$83),"●",""),"")</f>
        <v/>
      </c>
      <c r="O57" s="80" t="str">
        <f>IF(AND($I57&lt;&gt;"",$J57&lt;&gt;""),IF(AND(DATEVALUE("1-"&amp;$I57)&lt;=O$83,DATEVALUE("1-"&amp;$J57)&gt;=O$83),"●",""),"")</f>
        <v/>
      </c>
      <c r="P57" s="80" t="str">
        <f>IF(AND($I57&lt;&gt;"",$J57&lt;&gt;""),IF(AND(DATEVALUE("1-"&amp;$I57)&lt;=P$83,DATEVALUE("1-"&amp;$J57)&gt;=P$83),"●",""),"")</f>
        <v/>
      </c>
      <c r="Q57" s="80" t="str">
        <f>IF(AND($I57&lt;&gt;"",$J57&lt;&gt;""),IF(AND(DATEVALUE("1-"&amp;$I57)&lt;=Q$83,DATEVALUE("1-"&amp;$J57)&gt;=Q$83),"●",""),"")</f>
        <v/>
      </c>
      <c r="R57" s="80" t="str">
        <f>IF(AND($I57&lt;&gt;"",$J57&lt;&gt;""),IF(AND(DATEVALUE("1-"&amp;$I57)&lt;=R$83,DATEVALUE("1-"&amp;$J57)&gt;=R$83),"●",""),"")</f>
        <v/>
      </c>
      <c r="S57" s="80" t="str">
        <f>IF(AND($I57&lt;&gt;"",$J57&lt;&gt;""),IF(AND(DATEVALUE("1-"&amp;$I57)&lt;=S$83,DATEVALUE("1-"&amp;$J57)&gt;=S$83),"●",""),"")</f>
        <v/>
      </c>
      <c r="T57" s="80" t="str">
        <f>IF(AND($I57&lt;&gt;"",$J57&lt;&gt;""),IF(AND(DATEVALUE("1-"&amp;$I57)&lt;=T$83,DATEVALUE("1-"&amp;$J57)&gt;=T$83),"●",""),"")</f>
        <v/>
      </c>
      <c r="U57" s="80" t="str">
        <f>IF(AND($I57&lt;&gt;"",$J57&lt;&gt;""),IF(AND(DATEVALUE("1-"&amp;$I57)&lt;=U$83,DATEVALUE("1-"&amp;$J57)&gt;=U$83),"●",""),"")</f>
        <v/>
      </c>
      <c r="V57" s="80" t="str">
        <f>IF(AND($I57&lt;&gt;"",$J57&lt;&gt;""),IF(AND(DATEVALUE("1-"&amp;$I57)&lt;=V$83,DATEVALUE("1-"&amp;$J57)&gt;=V$83),"●",""),"")</f>
        <v/>
      </c>
      <c r="W57" s="80" t="str">
        <f>IF(AND($I57&lt;&gt;"",$J57&lt;&gt;""),IF(AND(DATEVALUE("1-"&amp;$I57)&lt;=W$83,DATEVALUE("1-"&amp;$J57)&gt;=W$83),"●",""),"")</f>
        <v/>
      </c>
      <c r="X57" s="80" t="str">
        <f>IF(AND($I57&lt;&gt;"",$J57&lt;&gt;""),IF(AND(DATEVALUE("1-"&amp;$I57)&lt;=X$83,DATEVALUE("1-"&amp;$J57)&gt;=X$83),"●",""),"")</f>
        <v/>
      </c>
      <c r="Y57" s="80" t="str">
        <f>IF(AND($I57&lt;&gt;"",$J57&lt;&gt;""),IF(AND(DATEVALUE("1-"&amp;$I57)&lt;=Y$83,DATEVALUE("1-"&amp;$J57)&gt;=Y$83),"●",""),"")</f>
        <v/>
      </c>
      <c r="Z57" s="80" t="str">
        <f>IF(AND($I57&lt;&gt;"",$J57&lt;&gt;""),IF(AND(DATEVALUE("1-"&amp;$I57)&lt;=Z$83,DATEVALUE("1-"&amp;$J57)&gt;=Z$83),"●",""),"")</f>
        <v/>
      </c>
      <c r="AA57" s="80" t="str">
        <f>IF(AND($I57&lt;&gt;"",$J57&lt;&gt;""),IF(AND(DATEVALUE("1-"&amp;$I57)&lt;=AA$83,DATEVALUE("1-"&amp;$J57)&gt;=AA$83),"●",""),"")</f>
        <v/>
      </c>
      <c r="AB57" s="80" t="str">
        <f>IF(AND($I57&lt;&gt;"",$J57&lt;&gt;""),IF(AND(DATEVALUE("1-"&amp;$I57)&lt;=AB$83,DATEVALUE("1-"&amp;$J57)&gt;=AB$83),"●",""),"")</f>
        <v/>
      </c>
      <c r="AC57" s="80" t="str">
        <f>IF(AND($I57&lt;&gt;"",$J57&lt;&gt;""),IF(AND(DATEVALUE("1-"&amp;$I57)&lt;=AC$83,DATEVALUE("1-"&amp;$J57)&gt;=AC$83),"●",""),"")</f>
        <v/>
      </c>
      <c r="AD57" s="80" t="str">
        <f>IF(AND($I57&lt;&gt;"",$J57&lt;&gt;""),IF(AND(DATEVALUE("1-"&amp;$I57)&lt;=AD$83,DATEVALUE("1-"&amp;$J57)&gt;=AD$83),"●",""),"")</f>
        <v/>
      </c>
      <c r="AE57" s="80" t="str">
        <f>IF(AND($I57&lt;&gt;"",$J57&lt;&gt;""),IF(AND(DATEVALUE("1-"&amp;$I57)&lt;=AE$83,DATEVALUE("1-"&amp;$J57)&gt;=AE$83),"●",""),"")</f>
        <v/>
      </c>
      <c r="AF57" s="80" t="str">
        <f>IF(AND($I57&lt;&gt;"",$J57&lt;&gt;""),IF(AND(DATEVALUE("1-"&amp;$I57)&lt;=AF$83,DATEVALUE("1-"&amp;$J57)&gt;=AF$83),"●",""),"")</f>
        <v/>
      </c>
      <c r="AG57" s="80" t="str">
        <f>IF(AND($I57&lt;&gt;"",$J57&lt;&gt;""),IF(AND(DATEVALUE("1-"&amp;$I57)&lt;=AG$83,DATEVALUE("1-"&amp;$J57)&gt;=AG$83),"●",""),"")</f>
        <v/>
      </c>
      <c r="AH57" s="80" t="str">
        <f>IF(AND($I57&lt;&gt;"",$J57&lt;&gt;""),IF(AND(DATEVALUE("1-"&amp;$I57)&lt;=AH$83,DATEVALUE("1-"&amp;$J57)&gt;=AH$83),"●",""),"")</f>
        <v/>
      </c>
      <c r="AI57" s="80" t="str">
        <f>IF(AND($I57&lt;&gt;"",$J57&lt;&gt;""),IF(AND(DATEVALUE("1-"&amp;$I57)&lt;=AI$83,DATEVALUE("1-"&amp;$J57)&gt;=AI$83),"●",""),"")</f>
        <v/>
      </c>
      <c r="AJ57" s="80" t="str">
        <f>IF(AND($I57&lt;&gt;"",$J57&lt;&gt;""),IF(AND(DATEVALUE("1-"&amp;$I57)&lt;=AJ$83,DATEVALUE("1-"&amp;$J57)&gt;=AJ$83),"●",""),"")</f>
        <v/>
      </c>
      <c r="AK57" s="80" t="str">
        <f>IF(AND($I57&lt;&gt;"",$J57&lt;&gt;""),IF(AND(DATEVALUE("1-"&amp;$I57)&lt;=AK$83,DATEVALUE("1-"&amp;$J57)&gt;=AK$83),"●",""),"")</f>
        <v/>
      </c>
    </row>
    <row r="58" spans="1:37" ht="15" customHeight="1">
      <c r="A58" s="519"/>
      <c r="B58" s="84" t="s">
        <v>1067</v>
      </c>
      <c r="C58" s="92" t="s">
        <v>2577</v>
      </c>
      <c r="D58" s="92" t="s">
        <v>20</v>
      </c>
      <c r="E58" s="84" t="s">
        <v>1067</v>
      </c>
      <c r="F58" s="84"/>
      <c r="G58" s="78" t="s">
        <v>2565</v>
      </c>
      <c r="H58" s="3" t="s">
        <v>2560</v>
      </c>
      <c r="I58" s="305"/>
      <c r="J58" s="305"/>
      <c r="K58" s="80" t="str">
        <f>IF(OR($I58="",$J58=""),"개발 시작전",IFERROR(IF(AND(DATEVALUE("1-"&amp;$I58)&lt;=K$83,DATEVALUE("1-"&amp;$J58)&gt;=K$83),"●",""),"개발 시작전"))</f>
        <v>개발 시작전</v>
      </c>
      <c r="L58" s="80" t="str">
        <f>IF(AND($I58&lt;&gt;"",$J58&lt;&gt;""),IF(AND(DATEVALUE("1-"&amp;$I58)&lt;=L$83,DATEVALUE("1-"&amp;$J58)&gt;=L$83),"●",""),"")</f>
        <v/>
      </c>
      <c r="M58" s="80" t="str">
        <f>IF(AND($I58&lt;&gt;"",$J58&lt;&gt;""),IF(AND(DATEVALUE("1-"&amp;$I58)&lt;=M$83,DATEVALUE("1-"&amp;$J58)&gt;=M$83),"●",""),"")</f>
        <v/>
      </c>
      <c r="N58" s="80" t="str">
        <f>IF(AND($I58&lt;&gt;"",$J58&lt;&gt;""),IF(AND(DATEVALUE("1-"&amp;$I58)&lt;=N$83,DATEVALUE("1-"&amp;$J58)&gt;=N$83),"●",""),"")</f>
        <v/>
      </c>
      <c r="O58" s="80" t="str">
        <f>IF(AND($I58&lt;&gt;"",$J58&lt;&gt;""),IF(AND(DATEVALUE("1-"&amp;$I58)&lt;=O$83,DATEVALUE("1-"&amp;$J58)&gt;=O$83),"●",""),"")</f>
        <v/>
      </c>
      <c r="P58" s="80" t="str">
        <f>IF(AND($I58&lt;&gt;"",$J58&lt;&gt;""),IF(AND(DATEVALUE("1-"&amp;$I58)&lt;=P$83,DATEVALUE("1-"&amp;$J58)&gt;=P$83),"●",""),"")</f>
        <v/>
      </c>
      <c r="Q58" s="80" t="str">
        <f>IF(AND($I58&lt;&gt;"",$J58&lt;&gt;""),IF(AND(DATEVALUE("1-"&amp;$I58)&lt;=Q$83,DATEVALUE("1-"&amp;$J58)&gt;=Q$83),"●",""),"")</f>
        <v/>
      </c>
      <c r="R58" s="80" t="str">
        <f>IF(AND($I58&lt;&gt;"",$J58&lt;&gt;""),IF(AND(DATEVALUE("1-"&amp;$I58)&lt;=R$83,DATEVALUE("1-"&amp;$J58)&gt;=R$83),"●",""),"")</f>
        <v/>
      </c>
      <c r="S58" s="80" t="str">
        <f>IF(AND($I58&lt;&gt;"",$J58&lt;&gt;""),IF(AND(DATEVALUE("1-"&amp;$I58)&lt;=S$83,DATEVALUE("1-"&amp;$J58)&gt;=S$83),"●",""),"")</f>
        <v/>
      </c>
      <c r="T58" s="80" t="str">
        <f>IF(AND($I58&lt;&gt;"",$J58&lt;&gt;""),IF(AND(DATEVALUE("1-"&amp;$I58)&lt;=T$83,DATEVALUE("1-"&amp;$J58)&gt;=T$83),"●",""),"")</f>
        <v/>
      </c>
      <c r="U58" s="80" t="str">
        <f>IF(AND($I58&lt;&gt;"",$J58&lt;&gt;""),IF(AND(DATEVALUE("1-"&amp;$I58)&lt;=U$83,DATEVALUE("1-"&amp;$J58)&gt;=U$83),"●",""),"")</f>
        <v/>
      </c>
      <c r="V58" s="80" t="str">
        <f>IF(AND($I58&lt;&gt;"",$J58&lt;&gt;""),IF(AND(DATEVALUE("1-"&amp;$I58)&lt;=V$83,DATEVALUE("1-"&amp;$J58)&gt;=V$83),"●",""),"")</f>
        <v/>
      </c>
      <c r="W58" s="80" t="str">
        <f>IF(AND($I58&lt;&gt;"",$J58&lt;&gt;""),IF(AND(DATEVALUE("1-"&amp;$I58)&lt;=W$83,DATEVALUE("1-"&amp;$J58)&gt;=W$83),"●",""),"")</f>
        <v/>
      </c>
      <c r="X58" s="80" t="str">
        <f>IF(AND($I58&lt;&gt;"",$J58&lt;&gt;""),IF(AND(DATEVALUE("1-"&amp;$I58)&lt;=X$83,DATEVALUE("1-"&amp;$J58)&gt;=X$83),"●",""),"")</f>
        <v/>
      </c>
      <c r="Y58" s="80" t="str">
        <f>IF(AND($I58&lt;&gt;"",$J58&lt;&gt;""),IF(AND(DATEVALUE("1-"&amp;$I58)&lt;=Y$83,DATEVALUE("1-"&amp;$J58)&gt;=Y$83),"●",""),"")</f>
        <v/>
      </c>
      <c r="Z58" s="80" t="str">
        <f>IF(AND($I58&lt;&gt;"",$J58&lt;&gt;""),IF(AND(DATEVALUE("1-"&amp;$I58)&lt;=Z$83,DATEVALUE("1-"&amp;$J58)&gt;=Z$83),"●",""),"")</f>
        <v/>
      </c>
      <c r="AA58" s="80" t="str">
        <f>IF(AND($I58&lt;&gt;"",$J58&lt;&gt;""),IF(AND(DATEVALUE("1-"&amp;$I58)&lt;=AA$83,DATEVALUE("1-"&amp;$J58)&gt;=AA$83),"●",""),"")</f>
        <v/>
      </c>
      <c r="AB58" s="80" t="str">
        <f>IF(AND($I58&lt;&gt;"",$J58&lt;&gt;""),IF(AND(DATEVALUE("1-"&amp;$I58)&lt;=AB$83,DATEVALUE("1-"&amp;$J58)&gt;=AB$83),"●",""),"")</f>
        <v/>
      </c>
      <c r="AC58" s="80" t="str">
        <f>IF(AND($I58&lt;&gt;"",$J58&lt;&gt;""),IF(AND(DATEVALUE("1-"&amp;$I58)&lt;=AC$83,DATEVALUE("1-"&amp;$J58)&gt;=AC$83),"●",""),"")</f>
        <v/>
      </c>
      <c r="AD58" s="80" t="str">
        <f>IF(AND($I58&lt;&gt;"",$J58&lt;&gt;""),IF(AND(DATEVALUE("1-"&amp;$I58)&lt;=AD$83,DATEVALUE("1-"&amp;$J58)&gt;=AD$83),"●",""),"")</f>
        <v/>
      </c>
      <c r="AE58" s="80" t="str">
        <f>IF(AND($I58&lt;&gt;"",$J58&lt;&gt;""),IF(AND(DATEVALUE("1-"&amp;$I58)&lt;=AE$83,DATEVALUE("1-"&amp;$J58)&gt;=AE$83),"●",""),"")</f>
        <v/>
      </c>
      <c r="AF58" s="80" t="str">
        <f>IF(AND($I58&lt;&gt;"",$J58&lt;&gt;""),IF(AND(DATEVALUE("1-"&amp;$I58)&lt;=AF$83,DATEVALUE("1-"&amp;$J58)&gt;=AF$83),"●",""),"")</f>
        <v/>
      </c>
      <c r="AG58" s="80" t="str">
        <f>IF(AND($I58&lt;&gt;"",$J58&lt;&gt;""),IF(AND(DATEVALUE("1-"&amp;$I58)&lt;=AG$83,DATEVALUE("1-"&amp;$J58)&gt;=AG$83),"●",""),"")</f>
        <v/>
      </c>
      <c r="AH58" s="80" t="str">
        <f>IF(AND($I58&lt;&gt;"",$J58&lt;&gt;""),IF(AND(DATEVALUE("1-"&amp;$I58)&lt;=AH$83,DATEVALUE("1-"&amp;$J58)&gt;=AH$83),"●",""),"")</f>
        <v/>
      </c>
      <c r="AI58" s="80" t="str">
        <f>IF(AND($I58&lt;&gt;"",$J58&lt;&gt;""),IF(AND(DATEVALUE("1-"&amp;$I58)&lt;=AI$83,DATEVALUE("1-"&amp;$J58)&gt;=AI$83),"●",""),"")</f>
        <v/>
      </c>
      <c r="AJ58" s="80" t="str">
        <f>IF(AND($I58&lt;&gt;"",$J58&lt;&gt;""),IF(AND(DATEVALUE("1-"&amp;$I58)&lt;=AJ$83,DATEVALUE("1-"&amp;$J58)&gt;=AJ$83),"●",""),"")</f>
        <v/>
      </c>
      <c r="AK58" s="80" t="str">
        <f>IF(AND($I58&lt;&gt;"",$J58&lt;&gt;""),IF(AND(DATEVALUE("1-"&amp;$I58)&lt;=AK$83,DATEVALUE("1-"&amp;$J58)&gt;=AK$83),"●",""),"")</f>
        <v/>
      </c>
    </row>
    <row r="59" spans="1:37" ht="15" customHeight="1">
      <c r="A59" s="519"/>
      <c r="B59" s="144" t="s">
        <v>1704</v>
      </c>
      <c r="C59" s="92" t="s">
        <v>2577</v>
      </c>
      <c r="D59" s="92" t="s">
        <v>20</v>
      </c>
      <c r="E59" s="84" t="s">
        <v>1704</v>
      </c>
      <c r="F59" s="84"/>
      <c r="G59" s="78" t="s">
        <v>2565</v>
      </c>
      <c r="H59" s="3" t="s">
        <v>2560</v>
      </c>
      <c r="I59" s="78" t="s">
        <v>2660</v>
      </c>
      <c r="J59" s="78" t="s">
        <v>2573</v>
      </c>
      <c r="K59" s="80" t="str">
        <f>IF(OR($I59="",$J59=""),"개발 시작전",IFERROR(IF(AND(DATEVALUE("1-"&amp;$I59)&lt;=K$83,DATEVALUE("1-"&amp;$J59)&gt;=K$83),"●",""),"개발 시작전"))</f>
        <v/>
      </c>
      <c r="L59" s="80" t="str">
        <f>IF(AND($I59&lt;&gt;"",$J59&lt;&gt;""),IF(AND(DATEVALUE("1-"&amp;$I59)&lt;=L$83,DATEVALUE("1-"&amp;$J59)&gt;=L$83),"●",""),"")</f>
        <v/>
      </c>
      <c r="M59" s="80" t="str">
        <f>IF(AND($I59&lt;&gt;"",$J59&lt;&gt;""),IF(AND(DATEVALUE("1-"&amp;$I59)&lt;=M$83,DATEVALUE("1-"&amp;$J59)&gt;=M$83),"●",""),"")</f>
        <v/>
      </c>
      <c r="N59" s="80" t="str">
        <f>IF(AND($I59&lt;&gt;"",$J59&lt;&gt;""),IF(AND(DATEVALUE("1-"&amp;$I59)&lt;=N$83,DATEVALUE("1-"&amp;$J59)&gt;=N$83),"●",""),"")</f>
        <v/>
      </c>
      <c r="O59" s="80" t="str">
        <f>IF(AND($I59&lt;&gt;"",$J59&lt;&gt;""),IF(AND(DATEVALUE("1-"&amp;$I59)&lt;=O$83,DATEVALUE("1-"&amp;$J59)&gt;=O$83),"●",""),"")</f>
        <v/>
      </c>
      <c r="P59" s="80" t="str">
        <f>IF(AND($I59&lt;&gt;"",$J59&lt;&gt;""),IF(AND(DATEVALUE("1-"&amp;$I59)&lt;=P$83,DATEVALUE("1-"&amp;$J59)&gt;=P$83),"●",""),"")</f>
        <v/>
      </c>
      <c r="Q59" s="80" t="str">
        <f>IF(AND($I59&lt;&gt;"",$J59&lt;&gt;""),IF(AND(DATEVALUE("1-"&amp;$I59)&lt;=Q$83,DATEVALUE("1-"&amp;$J59)&gt;=Q$83),"●",""),"")</f>
        <v/>
      </c>
      <c r="R59" s="80" t="str">
        <f>IF(AND($I59&lt;&gt;"",$J59&lt;&gt;""),IF(AND(DATEVALUE("1-"&amp;$I59)&lt;=R$83,DATEVALUE("1-"&amp;$J59)&gt;=R$83),"●",""),"")</f>
        <v/>
      </c>
      <c r="S59" s="80" t="str">
        <f>IF(AND($I59&lt;&gt;"",$J59&lt;&gt;""),IF(AND(DATEVALUE("1-"&amp;$I59)&lt;=S$83,DATEVALUE("1-"&amp;$J59)&gt;=S$83),"●",""),"")</f>
        <v/>
      </c>
      <c r="T59" s="80" t="str">
        <f>IF(AND($I59&lt;&gt;"",$J59&lt;&gt;""),IF(AND(DATEVALUE("1-"&amp;$I59)&lt;=T$83,DATEVALUE("1-"&amp;$J59)&gt;=T$83),"●",""),"")</f>
        <v/>
      </c>
      <c r="U59" s="80" t="str">
        <f>IF(AND($I59&lt;&gt;"",$J59&lt;&gt;""),IF(AND(DATEVALUE("1-"&amp;$I59)&lt;=U$83,DATEVALUE("1-"&amp;$J59)&gt;=U$83),"●",""),"")</f>
        <v/>
      </c>
      <c r="V59" s="80" t="str">
        <f>IF(AND($I59&lt;&gt;"",$J59&lt;&gt;""),IF(AND(DATEVALUE("1-"&amp;$I59)&lt;=V$83,DATEVALUE("1-"&amp;$J59)&gt;=V$83),"●",""),"")</f>
        <v>●</v>
      </c>
      <c r="W59" s="80" t="str">
        <f>IF(AND($I59&lt;&gt;"",$J59&lt;&gt;""),IF(AND(DATEVALUE("1-"&amp;$I59)&lt;=W$83,DATEVALUE("1-"&amp;$J59)&gt;=W$83),"●",""),"")</f>
        <v>●</v>
      </c>
      <c r="X59" s="80" t="str">
        <f>IF(AND($I59&lt;&gt;"",$J59&lt;&gt;""),IF(AND(DATEVALUE("1-"&amp;$I59)&lt;=X$83,DATEVALUE("1-"&amp;$J59)&gt;=X$83),"●",""),"")</f>
        <v/>
      </c>
      <c r="Y59" s="80"/>
      <c r="Z59" s="80"/>
      <c r="AA59" s="80"/>
      <c r="AB59" s="80"/>
      <c r="AC59" s="80"/>
      <c r="AD59" s="80"/>
      <c r="AE59" s="80"/>
      <c r="AF59" s="80"/>
      <c r="AG59" s="80"/>
      <c r="AH59" s="80"/>
      <c r="AI59" s="80"/>
      <c r="AJ59" s="80"/>
      <c r="AK59" s="80"/>
    </row>
    <row r="60" spans="1:37" ht="15" customHeight="1">
      <c r="A60" s="519"/>
      <c r="B60" s="84" t="s">
        <v>1762</v>
      </c>
      <c r="C60" s="92" t="s">
        <v>2577</v>
      </c>
      <c r="D60" s="92" t="s">
        <v>23</v>
      </c>
      <c r="E60" s="84" t="s">
        <v>1762</v>
      </c>
      <c r="F60" s="84"/>
      <c r="G60" s="78" t="s">
        <v>2565</v>
      </c>
      <c r="H60" s="3" t="s">
        <v>2560</v>
      </c>
      <c r="I60" s="78" t="s">
        <v>2661</v>
      </c>
      <c r="J60" s="78" t="s">
        <v>2571</v>
      </c>
      <c r="K60" s="80" t="str">
        <f>IF(AND($I60&lt;&gt;"",$J60&lt;&gt;""),IF(AND(DATEVALUE("1-"&amp;$I60)&lt;=K$83,DATEVALUE("1-"&amp;$J60)&gt;=K$83),"●",""),"")</f>
        <v/>
      </c>
      <c r="L60" s="80" t="str">
        <f>IF(AND($I60&lt;&gt;"",$J60&lt;&gt;""),IF(AND(DATEVALUE("1-"&amp;$I60)&lt;=L$83,DATEVALUE("1-"&amp;$J60)&gt;=L$83),"●",""),"")</f>
        <v/>
      </c>
      <c r="M60" s="80" t="str">
        <f>IF(AND($I60&lt;&gt;"",$J60&lt;&gt;""),IF(AND(DATEVALUE("1-"&amp;$I60)&lt;=M$83,DATEVALUE("1-"&amp;$J60)&gt;=M$83),"●",""),"")</f>
        <v/>
      </c>
      <c r="N60" s="80" t="str">
        <f>IF(AND($I60&lt;&gt;"",$J60&lt;&gt;""),IF(AND(DATEVALUE("1-"&amp;$I60)&lt;=N$83,DATEVALUE("1-"&amp;$J60)&gt;=N$83),"●",""),"")</f>
        <v/>
      </c>
      <c r="O60" s="80" t="str">
        <f>IF(AND($I60&lt;&gt;"",$J60&lt;&gt;""),IF(AND(DATEVALUE("1-"&amp;$I60)&lt;=O$83,DATEVALUE("1-"&amp;$J60)&gt;=O$83),"●",""),"")</f>
        <v/>
      </c>
      <c r="P60" s="80" t="str">
        <f>IF(AND($I60&lt;&gt;"",$J60&lt;&gt;""),IF(AND(DATEVALUE("1-"&amp;$I60)&lt;=P$83,DATEVALUE("1-"&amp;$J60)&gt;=P$83),"●",""),"")</f>
        <v/>
      </c>
      <c r="Q60" s="80" t="str">
        <f>IF(AND($I60&lt;&gt;"",$J60&lt;&gt;""),IF(AND(DATEVALUE("1-"&amp;$I60)&lt;=Q$83,DATEVALUE("1-"&amp;$J60)&gt;=Q$83),"●",""),"")</f>
        <v/>
      </c>
      <c r="R60" s="80" t="str">
        <f>IF(AND($I60&lt;&gt;"",$J60&lt;&gt;""),IF(AND(DATEVALUE("1-"&amp;$I60)&lt;=R$83,DATEVALUE("1-"&amp;$J60)&gt;=R$83),"●",""),"")</f>
        <v/>
      </c>
      <c r="S60" s="80" t="str">
        <f>IF(AND($I60&lt;&gt;"",$J60&lt;&gt;""),IF(AND(DATEVALUE("1-"&amp;$I60)&lt;=S$83,DATEVALUE("1-"&amp;$J60)&gt;=S$83),"●",""),"")</f>
        <v>●</v>
      </c>
      <c r="T60" s="80" t="str">
        <f>IF(AND($I60&lt;&gt;"",$J60&lt;&gt;""),IF(AND(DATEVALUE("1-"&amp;$I60)&lt;=T$83,DATEVALUE("1-"&amp;$J60)&gt;=T$83),"●",""),"")</f>
        <v>●</v>
      </c>
      <c r="U60" s="80" t="str">
        <f>IF(AND($I60&lt;&gt;"",$J60&lt;&gt;""),IF(AND(DATEVALUE("1-"&amp;$I60)&lt;=U$83,DATEVALUE("1-"&amp;$J60)&gt;=U$83),"●",""),"")</f>
        <v>●</v>
      </c>
      <c r="V60" s="80" t="str">
        <f>IF(AND($I60&lt;&gt;"",$J60&lt;&gt;""),IF(AND(DATEVALUE("1-"&amp;$I60)&lt;=V$83,DATEVALUE("1-"&amp;$J60)&gt;=V$83),"●",""),"")</f>
        <v>●</v>
      </c>
      <c r="W60" s="80" t="str">
        <f>IF(AND($I60&lt;&gt;"",$J60&lt;&gt;""),IF(AND(DATEVALUE("1-"&amp;$I60)&lt;=W$83,DATEVALUE("1-"&amp;$J60)&gt;=W$83),"●",""),"")</f>
        <v>●</v>
      </c>
      <c r="X60" s="80" t="str">
        <f>IF(AND($I60&lt;&gt;"",$J60&lt;&gt;""),IF(AND(DATEVALUE("1-"&amp;$I60)&lt;=X$83,DATEVALUE("1-"&amp;$J60)&gt;=X$83),"●",""),"")</f>
        <v>●</v>
      </c>
      <c r="Y60" s="80" t="str">
        <f>IF(AND($I60&lt;&gt;"",$J60&lt;&gt;""),IF(AND(DATEVALUE("1-"&amp;$I60)&lt;=Y$83,DATEVALUE("1-"&amp;$J60)&gt;=Y$83),"●",""),"")</f>
        <v>●</v>
      </c>
      <c r="Z60" s="80" t="str">
        <f>IF(AND($I60&lt;&gt;"",$J60&lt;&gt;""),IF(AND(DATEVALUE("1-"&amp;$I60)&lt;=Z$83,DATEVALUE("1-"&amp;$J60)&gt;=Z$83),"●",""),"")</f>
        <v/>
      </c>
      <c r="AA60" s="80" t="str">
        <f>IF(AND($I60&lt;&gt;"",$J60&lt;&gt;""),IF(AND(DATEVALUE("1-"&amp;$I60)&lt;=AA$83,DATEVALUE("1-"&amp;$J60)&gt;=AA$83),"●",""),"")</f>
        <v/>
      </c>
      <c r="AB60" s="80" t="str">
        <f>IF(AND($I60&lt;&gt;"",$J60&lt;&gt;""),IF(AND(DATEVALUE("1-"&amp;$I60)&lt;=AB$83,DATEVALUE("1-"&amp;$J60)&gt;=AB$83),"●",""),"")</f>
        <v/>
      </c>
      <c r="AC60" s="80" t="str">
        <f>IF(AND($I60&lt;&gt;"",$J60&lt;&gt;""),IF(AND(DATEVALUE("1-"&amp;$I60)&lt;=AC$83,DATEVALUE("1-"&amp;$J60)&gt;=AC$83),"●",""),"")</f>
        <v/>
      </c>
      <c r="AD60" s="80" t="str">
        <f>IF(AND($I60&lt;&gt;"",$J60&lt;&gt;""),IF(AND(DATEVALUE("1-"&amp;$I60)&lt;=AD$83,DATEVALUE("1-"&amp;$J60)&gt;=AD$83),"●",""),"")</f>
        <v/>
      </c>
      <c r="AE60" s="80" t="str">
        <f>IF(AND($I60&lt;&gt;"",$J60&lt;&gt;""),IF(AND(DATEVALUE("1-"&amp;$I60)&lt;=AE$83,DATEVALUE("1-"&amp;$J60)&gt;=AE$83),"●",""),"")</f>
        <v/>
      </c>
      <c r="AF60" s="80" t="str">
        <f>IF(AND($I60&lt;&gt;"",$J60&lt;&gt;""),IF(AND(DATEVALUE("1-"&amp;$I60)&lt;=AF$83,DATEVALUE("1-"&amp;$J60)&gt;=AF$83),"●",""),"")</f>
        <v/>
      </c>
      <c r="AG60" s="80" t="str">
        <f>IF(AND($I60&lt;&gt;"",$J60&lt;&gt;""),IF(AND(DATEVALUE("1-"&amp;$I60)&lt;=AG$83,DATEVALUE("1-"&amp;$J60)&gt;=AG$83),"●",""),"")</f>
        <v/>
      </c>
      <c r="AH60" s="80" t="str">
        <f>IF(AND($I60&lt;&gt;"",$J60&lt;&gt;""),IF(AND(DATEVALUE("1-"&amp;$I60)&lt;=AH$83,DATEVALUE("1-"&amp;$J60)&gt;=AH$83),"●",""),"")</f>
        <v/>
      </c>
      <c r="AI60" s="80" t="str">
        <f>IF(AND($I60&lt;&gt;"",$J60&lt;&gt;""),IF(AND(DATEVALUE("1-"&amp;$I60)&lt;=AI$83,DATEVALUE("1-"&amp;$J60)&gt;=AI$83),"●",""),"")</f>
        <v/>
      </c>
      <c r="AJ60" s="80" t="str">
        <f>IF(AND($I60&lt;&gt;"",$J60&lt;&gt;""),IF(AND(DATEVALUE("1-"&amp;$I60)&lt;=AJ$83,DATEVALUE("1-"&amp;$J60)&gt;=AJ$83),"●",""),"")</f>
        <v/>
      </c>
      <c r="AK60" s="80" t="str">
        <f>IF(AND($I60&lt;&gt;"",$J60&lt;&gt;""),IF(AND(DATEVALUE("1-"&amp;$I60)&lt;=AK$83,DATEVALUE("1-"&amp;$J60)&gt;=AK$83),"●",""),"")</f>
        <v/>
      </c>
    </row>
    <row r="61" spans="1:37" ht="15" customHeight="1">
      <c r="A61" s="519"/>
      <c r="B61" s="388" t="s">
        <v>2662</v>
      </c>
      <c r="C61" s="92" t="s">
        <v>2577</v>
      </c>
      <c r="D61" s="92" t="s">
        <v>20</v>
      </c>
      <c r="E61" s="84" t="s">
        <v>2662</v>
      </c>
      <c r="F61" s="84"/>
      <c r="G61" s="78" t="s">
        <v>2565</v>
      </c>
      <c r="H61" s="3" t="s">
        <v>2560</v>
      </c>
      <c r="I61" s="78"/>
      <c r="J61" s="78"/>
      <c r="K61" s="80"/>
      <c r="L61" s="80"/>
      <c r="M61" s="80"/>
      <c r="N61" s="80"/>
      <c r="O61" s="80"/>
      <c r="P61" s="80"/>
      <c r="Q61" s="80"/>
      <c r="R61" s="80"/>
      <c r="S61" s="80"/>
      <c r="T61" s="80"/>
      <c r="U61" s="80"/>
      <c r="V61" s="80"/>
      <c r="W61" s="80"/>
      <c r="X61" s="80"/>
      <c r="Y61" s="80"/>
      <c r="Z61" s="80"/>
      <c r="AA61" s="80"/>
      <c r="AB61" s="80"/>
      <c r="AC61" s="80"/>
      <c r="AD61" s="80"/>
      <c r="AE61" s="80"/>
      <c r="AF61" s="80"/>
      <c r="AG61" s="80"/>
      <c r="AH61" s="80"/>
      <c r="AI61" s="80"/>
      <c r="AJ61" s="80"/>
      <c r="AK61" s="80"/>
    </row>
    <row r="62" spans="1:37" ht="15" customHeight="1">
      <c r="A62" s="519"/>
      <c r="B62" s="144" t="s">
        <v>1898</v>
      </c>
      <c r="C62" s="92" t="s">
        <v>2577</v>
      </c>
      <c r="D62" s="92" t="s">
        <v>20</v>
      </c>
      <c r="E62" s="84" t="s">
        <v>1898</v>
      </c>
      <c r="F62" s="84"/>
      <c r="G62" s="78" t="s">
        <v>2565</v>
      </c>
      <c r="H62" s="3" t="s">
        <v>2560</v>
      </c>
      <c r="I62" s="78" t="s">
        <v>2604</v>
      </c>
      <c r="J62" s="78" t="s">
        <v>2660</v>
      </c>
      <c r="K62" s="80"/>
      <c r="L62" s="80"/>
      <c r="M62" s="80"/>
      <c r="N62" s="80"/>
      <c r="O62" s="80"/>
      <c r="P62" s="80"/>
      <c r="Q62" s="80"/>
      <c r="R62" s="80"/>
      <c r="S62" s="80"/>
      <c r="T62" s="80"/>
      <c r="U62" s="80"/>
      <c r="V62" s="80"/>
      <c r="W62" s="80"/>
      <c r="X62" s="80"/>
      <c r="Y62" s="80"/>
      <c r="Z62" s="80"/>
      <c r="AA62" s="80"/>
      <c r="AB62" s="80"/>
      <c r="AC62" s="80"/>
      <c r="AD62" s="80"/>
      <c r="AE62" s="80"/>
      <c r="AF62" s="80"/>
      <c r="AG62" s="80"/>
      <c r="AH62" s="80"/>
      <c r="AI62" s="80"/>
      <c r="AJ62" s="80"/>
      <c r="AK62" s="80"/>
    </row>
    <row r="63" spans="1:37" ht="15" customHeight="1">
      <c r="A63" s="519"/>
      <c r="B63" s="388" t="s">
        <v>2663</v>
      </c>
      <c r="C63" s="92" t="s">
        <v>2577</v>
      </c>
      <c r="D63" s="92" t="s">
        <v>20</v>
      </c>
      <c r="E63" s="84" t="s">
        <v>2663</v>
      </c>
      <c r="F63" s="84"/>
      <c r="G63" s="78" t="s">
        <v>2565</v>
      </c>
      <c r="H63" s="3" t="s">
        <v>2560</v>
      </c>
      <c r="I63" s="78" t="s">
        <v>2604</v>
      </c>
      <c r="J63" s="78" t="s">
        <v>2604</v>
      </c>
      <c r="K63" s="80"/>
      <c r="L63" s="80"/>
      <c r="M63" s="80"/>
      <c r="N63" s="80"/>
      <c r="O63" s="80"/>
      <c r="P63" s="80"/>
      <c r="Q63" s="80"/>
      <c r="R63" s="80"/>
      <c r="S63" s="80"/>
      <c r="T63" s="80"/>
      <c r="U63" s="80" t="str">
        <f>IF(AND($I63&lt;&gt;"",$J63&lt;&gt;""),IF(AND(DATEVALUE("1-"&amp;$I63)&lt;=U$83,DATEVALUE("1-"&amp;$J63)&gt;=U$83),"●",""),"")</f>
        <v>●</v>
      </c>
      <c r="V63" s="80"/>
      <c r="W63" s="80"/>
      <c r="X63" s="80"/>
      <c r="Y63" s="80"/>
      <c r="Z63" s="80"/>
      <c r="AA63" s="80"/>
      <c r="AB63" s="80"/>
      <c r="AC63" s="80"/>
      <c r="AD63" s="80"/>
      <c r="AE63" s="80"/>
      <c r="AF63" s="80"/>
      <c r="AG63" s="80"/>
      <c r="AH63" s="80"/>
      <c r="AI63" s="80"/>
      <c r="AJ63" s="80"/>
      <c r="AK63" s="80"/>
    </row>
    <row r="64" spans="1:37" ht="24" customHeight="1">
      <c r="A64" s="519"/>
      <c r="B64" s="221" t="s">
        <v>2664</v>
      </c>
      <c r="C64" s="92" t="s">
        <v>2577</v>
      </c>
      <c r="D64" s="92" t="s">
        <v>20</v>
      </c>
      <c r="E64" s="84" t="s">
        <v>2665</v>
      </c>
      <c r="F64" s="84"/>
      <c r="G64" s="78" t="s">
        <v>2565</v>
      </c>
      <c r="H64" s="3" t="s">
        <v>2560</v>
      </c>
      <c r="I64" s="78" t="s">
        <v>2604</v>
      </c>
      <c r="J64" s="78" t="s">
        <v>2660</v>
      </c>
      <c r="K64" s="80"/>
      <c r="L64" s="80"/>
      <c r="M64" s="80"/>
      <c r="N64" s="80"/>
      <c r="O64" s="80"/>
      <c r="P64" s="80"/>
      <c r="Q64" s="80"/>
      <c r="R64" s="80"/>
      <c r="S64" s="80" t="str">
        <f>IF(AND($I64&lt;&gt;"",$J64&lt;&gt;""),IF(AND(DATEVALUE("1-"&amp;$I64)&lt;=S$83,DATEVALUE("1-"&amp;$J64)&gt;=S$83),"●",""),"")</f>
        <v/>
      </c>
      <c r="T64" s="80" t="str">
        <f>IF(AND($I64&lt;&gt;"",$J64&lt;&gt;""),IF(AND(DATEVALUE("1-"&amp;$I64)&lt;=T$83,DATEVALUE("1-"&amp;$J64)&gt;=T$83),"●",""),"")</f>
        <v/>
      </c>
      <c r="U64" s="80" t="str">
        <f>IF(AND($I64&lt;&gt;"",$J64&lt;&gt;""),IF(AND(DATEVALUE("1-"&amp;$I64)&lt;=U$83,DATEVALUE("1-"&amp;$J64)&gt;=U$83),"●",""),"")</f>
        <v>●</v>
      </c>
      <c r="V64" s="80"/>
      <c r="W64" s="80"/>
      <c r="X64" s="80"/>
      <c r="Y64" s="80"/>
      <c r="Z64" s="80"/>
      <c r="AA64" s="80"/>
      <c r="AB64" s="80"/>
      <c r="AC64" s="80"/>
      <c r="AD64" s="80"/>
      <c r="AE64" s="80"/>
      <c r="AF64" s="80"/>
      <c r="AG64" s="80"/>
      <c r="AH64" s="80"/>
      <c r="AI64" s="80"/>
      <c r="AJ64" s="80"/>
      <c r="AK64" s="80"/>
    </row>
    <row r="65" spans="1:37" ht="24" customHeight="1">
      <c r="A65" s="519"/>
      <c r="B65" s="221" t="s">
        <v>2666</v>
      </c>
      <c r="C65" s="92" t="s">
        <v>2577</v>
      </c>
      <c r="D65" s="92" t="s">
        <v>20</v>
      </c>
      <c r="E65" s="84" t="s">
        <v>2667</v>
      </c>
      <c r="F65" s="84"/>
      <c r="G65" s="78" t="s">
        <v>2565</v>
      </c>
      <c r="H65" s="3" t="s">
        <v>2560</v>
      </c>
      <c r="I65" s="78" t="s">
        <v>2604</v>
      </c>
      <c r="J65" s="78" t="s">
        <v>2660</v>
      </c>
      <c r="K65" s="80" t="str">
        <f>IF(OR($I65="",$J65=""),"개발 시작전",IFERROR(IF(AND(DATEVALUE("1-"&amp;$I65)&lt;=K$83,DATEVALUE("1-"&amp;$J65)&gt;=K$83),"●",""),"개발 시작전"))</f>
        <v/>
      </c>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row>
    <row r="66" spans="1:37" ht="24" customHeight="1">
      <c r="A66" s="520"/>
      <c r="B66" s="221" t="s">
        <v>2668</v>
      </c>
      <c r="C66" s="92" t="s">
        <v>2577</v>
      </c>
      <c r="D66" s="92" t="s">
        <v>20</v>
      </c>
      <c r="E66" s="84" t="s">
        <v>2669</v>
      </c>
      <c r="F66" s="84"/>
      <c r="G66" s="78" t="s">
        <v>2565</v>
      </c>
      <c r="H66" s="3" t="s">
        <v>2560</v>
      </c>
      <c r="I66" s="78"/>
      <c r="J66" s="78"/>
      <c r="K66" s="80" t="str">
        <f>IF(OR($I66="",$J66=""),"개발 시작전",IFERROR(IF(AND(DATEVALUE("1-"&amp;$I66)&lt;=K$83,DATEVALUE("1-"&amp;$J66)&gt;=K$83),"●",""),"개발 시작전"))</f>
        <v>개발 시작전</v>
      </c>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row>
    <row r="67" spans="1:37" ht="15" customHeight="1">
      <c r="A67" s="513" t="s">
        <v>2670</v>
      </c>
      <c r="B67" s="81" t="s">
        <v>2583</v>
      </c>
      <c r="C67" s="3" t="s">
        <v>2541</v>
      </c>
      <c r="D67" s="3" t="s">
        <v>2542</v>
      </c>
      <c r="E67" s="3" t="s">
        <v>2543</v>
      </c>
      <c r="F67" s="307"/>
      <c r="G67" s="78" t="s">
        <v>2544</v>
      </c>
      <c r="H67" s="82" t="s">
        <v>2579</v>
      </c>
      <c r="I67" s="83" t="s">
        <v>2581</v>
      </c>
      <c r="J67" s="79" t="s">
        <v>2587</v>
      </c>
      <c r="K67" s="84" t="str">
        <f>IF(AND($I67&lt;&gt;"",$J67&lt;&gt;""),IF(AND(DATEVALUE("1-"&amp;$I67)&lt;=K$83,DATEVALUE("1-"&amp;$J67)&gt;=K$83),"●",""),"")</f>
        <v/>
      </c>
      <c r="L67" s="84" t="str">
        <f>IF(AND($I67&lt;&gt;"",$J67&lt;&gt;""),IF(AND(DATEVALUE("1-"&amp;$I67)&lt;=L$83,DATEVALUE("1-"&amp;$J67)&gt;=L$83),"●",""),"")</f>
        <v>●</v>
      </c>
      <c r="M67" s="84" t="str">
        <f>IF(AND($I67&lt;&gt;"",$J67&lt;&gt;""),IF(AND(DATEVALUE("1-"&amp;$I67)&lt;=M$83,DATEVALUE("1-"&amp;$J67)&gt;=M$83),"●",""),"")</f>
        <v>●</v>
      </c>
      <c r="N67" s="85" t="s">
        <v>2582</v>
      </c>
      <c r="O67" s="84" t="str">
        <f>IF(AND($I67&lt;&gt;"",$J67&lt;&gt;""),IF(AND(DATEVALUE("1-"&amp;$I67)&lt;=O$83,DATEVALUE("1-"&amp;$J67)&gt;=O$83),"●",""),"")</f>
        <v/>
      </c>
      <c r="P67" s="84" t="str">
        <f>IF(AND($I67&lt;&gt;"",$J67&lt;&gt;""),IF(AND(DATEVALUE("1-"&amp;$I67)&lt;=P$83,DATEVALUE("1-"&amp;$J67)&gt;=P$83),"●",""),"")</f>
        <v/>
      </c>
      <c r="Q67" s="80" t="str">
        <f>IF(AND($I67&lt;&gt;"",$J67&lt;&gt;""),IF(AND(DATEVALUE("1-"&amp;$I67)&lt;=Q$83,DATEVALUE("1-"&amp;$J67)&gt;=Q$83),"●",""),"")</f>
        <v/>
      </c>
      <c r="R67" s="80" t="str">
        <f>IF(AND($I67&lt;&gt;"",$J67&lt;&gt;""),IF(AND(DATEVALUE("1-"&amp;$I67)&lt;=R$83,DATEVALUE("1-"&amp;$J67)&gt;=R$83),"●",""),"")</f>
        <v/>
      </c>
      <c r="S67" s="80" t="str">
        <f>IF(AND($I67&lt;&gt;"",$J67&lt;&gt;""),IF(AND(DATEVALUE("1-"&amp;$I67)&lt;=S$83,DATEVALUE("1-"&amp;$J67)&gt;=S$83),"●",""),"")</f>
        <v/>
      </c>
      <c r="T67" s="84" t="str">
        <f>IF(AND($I67&lt;&gt;"",$J67&lt;&gt;""),IF(AND(DATEVALUE("1-"&amp;$I67)&lt;=T$83,DATEVALUE("1-"&amp;$J67)&gt;=T$83),"●",""),"")</f>
        <v/>
      </c>
      <c r="U67" s="84" t="str">
        <f>IF(AND($I67&lt;&gt;"",$J67&lt;&gt;""),IF(AND(DATEVALUE("1-"&amp;$I67)&lt;=U$83,DATEVALUE("1-"&amp;$J67)&gt;=U$83),"●",""),"")</f>
        <v/>
      </c>
      <c r="V67" s="84" t="str">
        <f>IF(AND($I67&lt;&gt;"",$J67&lt;&gt;""),IF(AND(DATEVALUE("1-"&amp;$I67)&lt;=V$83,DATEVALUE("1-"&amp;$J67)&gt;=V$83),"●",""),"")</f>
        <v/>
      </c>
      <c r="W67" s="84" t="str">
        <f>IF(AND($I67&lt;&gt;"",$J67&lt;&gt;""),IF(AND(DATEVALUE("1-"&amp;$I67)&lt;=W$83,DATEVALUE("1-"&amp;$J67)&gt;=W$83),"●",""),"")</f>
        <v/>
      </c>
      <c r="X67" s="84" t="str">
        <f>IF(AND($I67&lt;&gt;"",$J67&lt;&gt;""),IF(AND(DATEVALUE("1-"&amp;$I67)&lt;=X$83,DATEVALUE("1-"&amp;$J67)&gt;=X$83),"●",""),"")</f>
        <v/>
      </c>
      <c r="Y67" s="84" t="str">
        <f>IF(AND($I67&lt;&gt;"",$J67&lt;&gt;""),IF(AND(DATEVALUE("1-"&amp;$I67)&lt;=Y$83,DATEVALUE("1-"&amp;$J67)&gt;=Y$83),"●",""),"")</f>
        <v/>
      </c>
      <c r="Z67" s="84" t="str">
        <f>IF(AND($I67&lt;&gt;"",$J67&lt;&gt;""),IF(AND(DATEVALUE("1-"&amp;$I67)&lt;=Z$83,DATEVALUE("1-"&amp;$J67)&gt;=Z$83),"●",""),"")</f>
        <v/>
      </c>
      <c r="AA67" s="84" t="str">
        <f>IF(AND($I67&lt;&gt;"",$J67&lt;&gt;""),IF(AND(DATEVALUE("1-"&amp;$I67)&lt;=AA$83,DATEVALUE("1-"&amp;$J67)&gt;=AA$83),"●",""),"")</f>
        <v/>
      </c>
      <c r="AB67" s="84" t="str">
        <f>IF(AND($I67&lt;&gt;"",$J67&lt;&gt;""),IF(AND(DATEVALUE("1-"&amp;$I67)&lt;=AB$83,DATEVALUE("1-"&amp;$J67)&gt;=AB$83),"●",""),"")</f>
        <v/>
      </c>
      <c r="AC67" s="84" t="str">
        <f>IF(AND($I67&lt;&gt;"",$J67&lt;&gt;""),IF(AND(DATEVALUE("1-"&amp;$I67)&lt;=AC$83,DATEVALUE("1-"&amp;$J67)&gt;=AC$83),"●",""),"")</f>
        <v/>
      </c>
      <c r="AD67" s="84" t="str">
        <f>IF(AND($I67&lt;&gt;"",$J67&lt;&gt;""),IF(AND(DATEVALUE("1-"&amp;$I67)&lt;=AD$83,DATEVALUE("1-"&amp;$J67)&gt;=AD$83),"●",""),"")</f>
        <v/>
      </c>
      <c r="AE67" s="84" t="str">
        <f>IF(AND($I67&lt;&gt;"",$J67&lt;&gt;""),IF(AND(DATEVALUE("1-"&amp;$I67)&lt;=AE$83,DATEVALUE("1-"&amp;$J67)&gt;=AE$83),"●",""),"")</f>
        <v/>
      </c>
      <c r="AF67" s="84" t="str">
        <f>IF(AND($I67&lt;&gt;"",$J67&lt;&gt;""),IF(AND(DATEVALUE("1-"&amp;$I67)&lt;=AF$83,DATEVALUE("1-"&amp;$J67)&gt;=AF$83),"●",""),"")</f>
        <v/>
      </c>
      <c r="AG67" s="84" t="str">
        <f>IF(AND($I67&lt;&gt;"",$J67&lt;&gt;""),IF(AND(DATEVALUE("1-"&amp;$I67)&lt;=AG$83,DATEVALUE("1-"&amp;$J67)&gt;=AG$83),"●",""),"")</f>
        <v/>
      </c>
      <c r="AH67" s="84" t="str">
        <f>IF(AND($I67&lt;&gt;"",$J67&lt;&gt;""),IF(AND(DATEVALUE("1-"&amp;$I67)&lt;=AH$83,DATEVALUE("1-"&amp;$J67)&gt;=AH$83),"●",""),"")</f>
        <v/>
      </c>
      <c r="AI67" s="84" t="str">
        <f>IF(AND($I67&lt;&gt;"",$J67&lt;&gt;""),IF(AND(DATEVALUE("1-"&amp;$I67)&lt;=AI$83,DATEVALUE("1-"&amp;$J67)&gt;=AI$83),"●",""),"")</f>
        <v/>
      </c>
      <c r="AJ67" s="84" t="str">
        <f>IF(AND($I67&lt;&gt;"",$J67&lt;&gt;""),IF(AND(DATEVALUE("1-"&amp;$I67)&lt;=AJ$83,DATEVALUE("1-"&amp;$J67)&gt;=AJ$83),"●",""),"")</f>
        <v/>
      </c>
      <c r="AK67" s="84" t="str">
        <f>IF(AND($I67&lt;&gt;"",$J67&lt;&gt;""),IF(AND(DATEVALUE("1-"&amp;$I67)&lt;=AK$83,DATEVALUE("1-"&amp;$J67)&gt;=AK$83),"●",""),"")</f>
        <v/>
      </c>
    </row>
    <row r="68" spans="1:37" ht="15" customHeight="1">
      <c r="A68" s="513"/>
      <c r="B68" s="81" t="s">
        <v>2608</v>
      </c>
      <c r="C68" s="3" t="s">
        <v>2541</v>
      </c>
      <c r="D68" s="3" t="s">
        <v>2542</v>
      </c>
      <c r="E68" s="3" t="s">
        <v>2543</v>
      </c>
      <c r="F68" s="307"/>
      <c r="G68" s="78" t="s">
        <v>2544</v>
      </c>
      <c r="H68" s="3" t="s">
        <v>2560</v>
      </c>
      <c r="I68" s="78" t="s">
        <v>2671</v>
      </c>
      <c r="J68" s="79" t="s">
        <v>2566</v>
      </c>
      <c r="K68" s="80" t="str">
        <f>IF(AND($I68&lt;&gt;"",$J68&lt;&gt;""),IF(AND(DATEVALUE("1-"&amp;$I68)&lt;=K$83,DATEVALUE("1-"&amp;$J68)&gt;=K$83),"●",""),"")</f>
        <v>●</v>
      </c>
      <c r="L68" s="80" t="str">
        <f>IF(AND($I68&lt;&gt;"",$J68&lt;&gt;""),IF(AND(DATEVALUE("1-"&amp;$I68)&lt;=L$83,DATEVALUE("1-"&amp;$J68)&gt;=L$83),"●",""),"")</f>
        <v>●</v>
      </c>
      <c r="M68" s="80" t="str">
        <f>IF(AND($I68&lt;&gt;"",$J68&lt;&gt;""),IF(AND(DATEVALUE("1-"&amp;$I68)&lt;=M$83,DATEVALUE("1-"&amp;$J68)&gt;=M$83),"●",""),"")</f>
        <v>●</v>
      </c>
      <c r="N68" s="80" t="str">
        <f>IF(AND($I68&lt;&gt;"",$J68&lt;&gt;""),IF(AND(DATEVALUE("1-"&amp;$I68)&lt;=N$83,DATEVALUE("1-"&amp;$J68)&gt;=N$83),"●",""),"")</f>
        <v>●</v>
      </c>
      <c r="O68" s="80" t="str">
        <f>IF(AND($I68&lt;&gt;"",$J68&lt;&gt;""),IF(AND(DATEVALUE("1-"&amp;$I68)&lt;=O$83,DATEVALUE("1-"&amp;$J68)&gt;=O$83),"●",""),"")</f>
        <v>●</v>
      </c>
      <c r="P68" s="80" t="str">
        <f>IF(AND($I68&lt;&gt;"",$J68&lt;&gt;""),IF(AND(DATEVALUE("1-"&amp;$I68)&lt;=P$83,DATEVALUE("1-"&amp;$J68)&gt;=P$83),"●",""),"")</f>
        <v>●</v>
      </c>
      <c r="Q68" s="80" t="str">
        <f>IF(AND($I68&lt;&gt;"",$J68&lt;&gt;""),IF(AND(DATEVALUE("1-"&amp;$I68)&lt;=Q$83,DATEVALUE("1-"&amp;$J68)&gt;=Q$83),"●",""),"")</f>
        <v>●</v>
      </c>
      <c r="R68" s="80" t="str">
        <f>IF(AND($I68&lt;&gt;"",$J68&lt;&gt;""),IF(AND(DATEVALUE("1-"&amp;$I68)&lt;=R$83,DATEVALUE("1-"&amp;$J68)&gt;=R$83),"●",""),"")</f>
        <v>●</v>
      </c>
      <c r="S68" s="80" t="str">
        <f>IF(AND($I68&lt;&gt;"",$J68&lt;&gt;""),IF(AND(DATEVALUE("1-"&amp;$I68)&lt;=S$83,DATEVALUE("1-"&amp;$J68)&gt;=S$83),"●",""),"")</f>
        <v>●</v>
      </c>
      <c r="T68" s="80" t="str">
        <f>IF(AND($I68&lt;&gt;"",$J68&lt;&gt;""),IF(AND(DATEVALUE("1-"&amp;$I68)&lt;=T$83,DATEVALUE("1-"&amp;$J68)&gt;=T$83),"●",""),"")</f>
        <v>●</v>
      </c>
      <c r="U68" s="80" t="str">
        <f>IF(AND($I68&lt;&gt;"",$J68&lt;&gt;""),IF(AND(DATEVALUE("1-"&amp;$I68)&lt;=U$83,DATEVALUE("1-"&amp;$J68)&gt;=U$83),"●",""),"")</f>
        <v>●</v>
      </c>
      <c r="V68" s="80" t="str">
        <f>IF(AND($I68&lt;&gt;"",$J68&lt;&gt;""),IF(AND(DATEVALUE("1-"&amp;$I68)&lt;=V$83,DATEVALUE("1-"&amp;$J68)&gt;=V$83),"●",""),"")</f>
        <v>●</v>
      </c>
      <c r="W68" s="80" t="str">
        <f>IF(AND($I68&lt;&gt;"",$J68&lt;&gt;""),IF(AND(DATEVALUE("1-"&amp;$I68)&lt;=W$83,DATEVALUE("1-"&amp;$J68)&gt;=W$83),"●",""),"")</f>
        <v>●</v>
      </c>
      <c r="X68" s="80" t="str">
        <f>IF(AND($I68&lt;&gt;"",$J68&lt;&gt;""),IF(AND(DATEVALUE("1-"&amp;$I68)&lt;=X$83,DATEVALUE("1-"&amp;$J68)&gt;=X$83),"●",""),"")</f>
        <v/>
      </c>
      <c r="Y68" s="80" t="str">
        <f>IF(AND($I68&lt;&gt;"",$J68&lt;&gt;""),IF(AND(DATEVALUE("1-"&amp;$I68)&lt;=Y$83,DATEVALUE("1-"&amp;$J68)&gt;=Y$83),"●",""),"")</f>
        <v/>
      </c>
      <c r="Z68" s="80" t="str">
        <f>IF(AND($I68&lt;&gt;"",$J68&lt;&gt;""),IF(AND(DATEVALUE("1-"&amp;$I68)&lt;=Z$83,DATEVALUE("1-"&amp;$J68)&gt;=Z$83),"●",""),"")</f>
        <v/>
      </c>
      <c r="AA68" s="80" t="str">
        <f>IF(AND($I68&lt;&gt;"",$J68&lt;&gt;""),IF(AND(DATEVALUE("1-"&amp;$I68)&lt;=AA$83,DATEVALUE("1-"&amp;$J68)&gt;=AA$83),"●",""),"")</f>
        <v/>
      </c>
      <c r="AB68" s="80" t="str">
        <f>IF(AND($I68&lt;&gt;"",$J68&lt;&gt;""),IF(AND(DATEVALUE("1-"&amp;$I68)&lt;=AB$83,DATEVALUE("1-"&amp;$J68)&gt;=AB$83),"●",""),"")</f>
        <v/>
      </c>
      <c r="AC68" s="80" t="str">
        <f>IF(AND($I68&lt;&gt;"",$J68&lt;&gt;""),IF(AND(DATEVALUE("1-"&amp;$I68)&lt;=AC$83,DATEVALUE("1-"&amp;$J68)&gt;=AC$83),"●",""),"")</f>
        <v/>
      </c>
      <c r="AD68" s="80" t="str">
        <f>IF(AND($I68&lt;&gt;"",$J68&lt;&gt;""),IF(AND(DATEVALUE("1-"&amp;$I68)&lt;=AD$83,DATEVALUE("1-"&amp;$J68)&gt;=AD$83),"●",""),"")</f>
        <v/>
      </c>
      <c r="AE68" s="80" t="str">
        <f>IF(AND($I68&lt;&gt;"",$J68&lt;&gt;""),IF(AND(DATEVALUE("1-"&amp;$I68)&lt;=AE$83,DATEVALUE("1-"&amp;$J68)&gt;=AE$83),"●",""),"")</f>
        <v/>
      </c>
      <c r="AF68" s="80" t="str">
        <f>IF(AND($I68&lt;&gt;"",$J68&lt;&gt;""),IF(AND(DATEVALUE("1-"&amp;$I68)&lt;=AF$83,DATEVALUE("1-"&amp;$J68)&gt;=AF$83),"●",""),"")</f>
        <v/>
      </c>
      <c r="AG68" s="80" t="str">
        <f>IF(AND($I68&lt;&gt;"",$J68&lt;&gt;""),IF(AND(DATEVALUE("1-"&amp;$I68)&lt;=AG$83,DATEVALUE("1-"&amp;$J68)&gt;=AG$83),"●",""),"")</f>
        <v/>
      </c>
      <c r="AH68" s="80" t="str">
        <f>IF(AND($I68&lt;&gt;"",$J68&lt;&gt;""),IF(AND(DATEVALUE("1-"&amp;$I68)&lt;=AH$83,DATEVALUE("1-"&amp;$J68)&gt;=AH$83),"●",""),"")</f>
        <v/>
      </c>
      <c r="AI68" s="80" t="str">
        <f>IF(AND($I68&lt;&gt;"",$J68&lt;&gt;""),IF(AND(DATEVALUE("1-"&amp;$I68)&lt;=AI$83,DATEVALUE("1-"&amp;$J68)&gt;=AI$83),"●",""),"")</f>
        <v/>
      </c>
      <c r="AJ68" s="80" t="str">
        <f>IF(AND($I68&lt;&gt;"",$J68&lt;&gt;""),IF(AND(DATEVALUE("1-"&amp;$I68)&lt;=AJ$83,DATEVALUE("1-"&amp;$J68)&gt;=AJ$83),"●",""),"")</f>
        <v/>
      </c>
      <c r="AK68" s="80" t="str">
        <f>IF(AND($I68&lt;&gt;"",$J68&lt;&gt;""),IF(AND(DATEVALUE("1-"&amp;$I68)&lt;=AK$83,DATEVALUE("1-"&amp;$J68)&gt;=AK$83),"●",""),"")</f>
        <v/>
      </c>
    </row>
    <row r="69" spans="1:37" ht="15" customHeight="1">
      <c r="A69" s="513"/>
      <c r="B69" s="81" t="s">
        <v>2672</v>
      </c>
      <c r="C69" s="3" t="s">
        <v>2541</v>
      </c>
      <c r="D69" s="3" t="s">
        <v>2542</v>
      </c>
      <c r="E69" s="3" t="s">
        <v>2543</v>
      </c>
      <c r="F69" s="307"/>
      <c r="G69" s="78" t="s">
        <v>2544</v>
      </c>
      <c r="H69" s="3" t="s">
        <v>2545</v>
      </c>
      <c r="I69" s="78" t="s">
        <v>2639</v>
      </c>
      <c r="J69" s="79" t="s">
        <v>2566</v>
      </c>
      <c r="K69" s="80" t="str">
        <f>IF(AND($I69&lt;&gt;"",$J69&lt;&gt;""),IF(AND(DATEVALUE("1-"&amp;$I69)&lt;=K$83,DATEVALUE("1-"&amp;$J69)&gt;=K$83),"●",""),"")</f>
        <v/>
      </c>
      <c r="L69" s="80" t="str">
        <f>IF(AND($I69&lt;&gt;"",$J69&lt;&gt;""),IF(AND(DATEVALUE("1-"&amp;$I69)&lt;=L$83,DATEVALUE("1-"&amp;$J69)&gt;=L$83),"●",""),"")</f>
        <v/>
      </c>
      <c r="M69" s="80" t="str">
        <f>IF(AND($I69&lt;&gt;"",$J69&lt;&gt;""),IF(AND(DATEVALUE("1-"&amp;$I69)&lt;=M$83,DATEVALUE("1-"&amp;$J69)&gt;=M$83),"●",""),"")</f>
        <v/>
      </c>
      <c r="N69" s="80" t="str">
        <f>IF(AND($I69&lt;&gt;"",$J69&lt;&gt;""),IF(AND(DATEVALUE("1-"&amp;$I69)&lt;=N$83,DATEVALUE("1-"&amp;$J69)&gt;=N$83),"●",""),"")</f>
        <v/>
      </c>
      <c r="O69" s="80" t="str">
        <f>IF(AND($I69&lt;&gt;"",$J69&lt;&gt;""),IF(AND(DATEVALUE("1-"&amp;$I69)&lt;=O$83,DATEVALUE("1-"&amp;$J69)&gt;=O$83),"●",""),"")</f>
        <v/>
      </c>
      <c r="P69" s="80" t="str">
        <f>IF(AND($I69&lt;&gt;"",$J69&lt;&gt;""),IF(AND(DATEVALUE("1-"&amp;$I69)&lt;=P$83,DATEVALUE("1-"&amp;$J69)&gt;=P$83),"●",""),"")</f>
        <v/>
      </c>
      <c r="Q69" s="80" t="str">
        <f>IF(AND($I69&lt;&gt;"",$J69&lt;&gt;""),IF(AND(DATEVALUE("1-"&amp;$I69)&lt;=Q$83,DATEVALUE("1-"&amp;$J69)&gt;=Q$83),"●",""),"")</f>
        <v/>
      </c>
      <c r="R69" s="80" t="str">
        <f>IF(AND($I69&lt;&gt;"",$J69&lt;&gt;""),IF(AND(DATEVALUE("1-"&amp;$I69)&lt;=R$83,DATEVALUE("1-"&amp;$J69)&gt;=R$83),"●",""),"")</f>
        <v/>
      </c>
      <c r="S69" s="80" t="str">
        <f>IF(AND($I69&lt;&gt;"",$J69&lt;&gt;""),IF(AND(DATEVALUE("1-"&amp;$I69)&lt;=S$83,DATEVALUE("1-"&amp;$J69)&gt;=S$83),"●",""),"")</f>
        <v>●</v>
      </c>
      <c r="T69" s="80" t="str">
        <f>IF(AND($I69&lt;&gt;"",$J69&lt;&gt;""),IF(AND(DATEVALUE("1-"&amp;$I69)&lt;=T$83,DATEVALUE("1-"&amp;$J69)&gt;=T$83),"●",""),"")</f>
        <v>●</v>
      </c>
      <c r="U69" s="80" t="str">
        <f>IF(AND($I69&lt;&gt;"",$J69&lt;&gt;""),IF(AND(DATEVALUE("1-"&amp;$I69)&lt;=U$83,DATEVALUE("1-"&amp;$J69)&gt;=U$83),"●",""),"")</f>
        <v>●</v>
      </c>
      <c r="V69" s="80" t="str">
        <f>IF(AND($I69&lt;&gt;"",$J69&lt;&gt;""),IF(AND(DATEVALUE("1-"&amp;$I69)&lt;=V$83,DATEVALUE("1-"&amp;$J69)&gt;=V$83),"●",""),"")</f>
        <v>●</v>
      </c>
      <c r="W69" s="80" t="str">
        <f>IF(AND($I69&lt;&gt;"",$J69&lt;&gt;""),IF(AND(DATEVALUE("1-"&amp;$I69)&lt;=W$83,DATEVALUE("1-"&amp;$J69)&gt;=W$83),"●",""),"")</f>
        <v>●</v>
      </c>
      <c r="X69" s="80" t="str">
        <f>IF(AND($I69&lt;&gt;"",$J69&lt;&gt;""),IF(AND(DATEVALUE("1-"&amp;$I69)&lt;=X$83,DATEVALUE("1-"&amp;$J69)&gt;=X$83),"●",""),"")</f>
        <v/>
      </c>
      <c r="Y69" s="80" t="str">
        <f>IF(AND($I69&lt;&gt;"",$J69&lt;&gt;""),IF(AND(DATEVALUE("1-"&amp;$I69)&lt;=Y$83,DATEVALUE("1-"&amp;$J69)&gt;=Y$83),"●",""),"")</f>
        <v/>
      </c>
      <c r="Z69" s="80" t="str">
        <f>IF(AND($I69&lt;&gt;"",$J69&lt;&gt;""),IF(AND(DATEVALUE("1-"&amp;$I69)&lt;=Z$83,DATEVALUE("1-"&amp;$J69)&gt;=Z$83),"●",""),"")</f>
        <v/>
      </c>
      <c r="AA69" s="80" t="str">
        <f>IF(AND($I69&lt;&gt;"",$J69&lt;&gt;""),IF(AND(DATEVALUE("1-"&amp;$I69)&lt;=AA$83,DATEVALUE("1-"&amp;$J69)&gt;=AA$83),"●",""),"")</f>
        <v/>
      </c>
      <c r="AB69" s="80" t="str">
        <f>IF(AND($I69&lt;&gt;"",$J69&lt;&gt;""),IF(AND(DATEVALUE("1-"&amp;$I69)&lt;=AB$83,DATEVALUE("1-"&amp;$J69)&gt;=AB$83),"●",""),"")</f>
        <v/>
      </c>
      <c r="AC69" s="80" t="str">
        <f>IF(AND($I69&lt;&gt;"",$J69&lt;&gt;""),IF(AND(DATEVALUE("1-"&amp;$I69)&lt;=AC$83,DATEVALUE("1-"&amp;$J69)&gt;=AC$83),"●",""),"")</f>
        <v/>
      </c>
      <c r="AD69" s="80" t="str">
        <f>IF(AND($I69&lt;&gt;"",$J69&lt;&gt;""),IF(AND(DATEVALUE("1-"&amp;$I69)&lt;=AD$83,DATEVALUE("1-"&amp;$J69)&gt;=AD$83),"●",""),"")</f>
        <v/>
      </c>
      <c r="AE69" s="80" t="str">
        <f>IF(AND($I69&lt;&gt;"",$J69&lt;&gt;""),IF(AND(DATEVALUE("1-"&amp;$I69)&lt;=AE$83,DATEVALUE("1-"&amp;$J69)&gt;=AE$83),"●",""),"")</f>
        <v/>
      </c>
      <c r="AF69" s="80" t="str">
        <f>IF(AND($I69&lt;&gt;"",$J69&lt;&gt;""),IF(AND(DATEVALUE("1-"&amp;$I69)&lt;=AF$83,DATEVALUE("1-"&amp;$J69)&gt;=AF$83),"●",""),"")</f>
        <v/>
      </c>
      <c r="AG69" s="80" t="str">
        <f>IF(AND($I69&lt;&gt;"",$J69&lt;&gt;""),IF(AND(DATEVALUE("1-"&amp;$I69)&lt;=AG$83,DATEVALUE("1-"&amp;$J69)&gt;=AG$83),"●",""),"")</f>
        <v/>
      </c>
      <c r="AH69" s="80" t="str">
        <f>IF(AND($I69&lt;&gt;"",$J69&lt;&gt;""),IF(AND(DATEVALUE("1-"&amp;$I69)&lt;=AH$83,DATEVALUE("1-"&amp;$J69)&gt;=AH$83),"●",""),"")</f>
        <v/>
      </c>
      <c r="AI69" s="80" t="str">
        <f>IF(AND($I69&lt;&gt;"",$J69&lt;&gt;""),IF(AND(DATEVALUE("1-"&amp;$I69)&lt;=AI$83,DATEVALUE("1-"&amp;$J69)&gt;=AI$83),"●",""),"")</f>
        <v/>
      </c>
      <c r="AJ69" s="80" t="str">
        <f>IF(AND($I69&lt;&gt;"",$J69&lt;&gt;""),IF(AND(DATEVALUE("1-"&amp;$I69)&lt;=AJ$83,DATEVALUE("1-"&amp;$J69)&gt;=AJ$83),"●",""),"")</f>
        <v/>
      </c>
      <c r="AK69" s="80" t="str">
        <f>IF(AND($I69&lt;&gt;"",$J69&lt;&gt;""),IF(AND(DATEVALUE("1-"&amp;$I69)&lt;=AK$83,DATEVALUE("1-"&amp;$J69)&gt;=AK$83),"●",""),"")</f>
        <v/>
      </c>
    </row>
    <row r="70" spans="1:37" ht="15" customHeight="1">
      <c r="A70" s="513"/>
      <c r="B70" s="81" t="s">
        <v>2673</v>
      </c>
      <c r="C70" s="3" t="s">
        <v>2541</v>
      </c>
      <c r="D70" s="3" t="s">
        <v>2542</v>
      </c>
      <c r="E70" s="3" t="s">
        <v>2612</v>
      </c>
      <c r="F70" s="307"/>
      <c r="G70" s="78" t="s">
        <v>2544</v>
      </c>
      <c r="H70" s="3" t="s">
        <v>2560</v>
      </c>
      <c r="I70" s="78" t="s">
        <v>2639</v>
      </c>
      <c r="J70" s="79" t="s">
        <v>2566</v>
      </c>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row>
    <row r="71" spans="1:37" ht="15" customHeight="1">
      <c r="A71" s="513"/>
      <c r="B71" s="81" t="s">
        <v>2647</v>
      </c>
      <c r="C71" s="3" t="s">
        <v>2541</v>
      </c>
      <c r="D71" s="3" t="s">
        <v>2542</v>
      </c>
      <c r="E71" s="3" t="s">
        <v>2647</v>
      </c>
      <c r="F71" s="307"/>
      <c r="G71" s="78" t="s">
        <v>2565</v>
      </c>
      <c r="H71" s="3" t="s">
        <v>2545</v>
      </c>
      <c r="I71" s="78" t="s">
        <v>2547</v>
      </c>
      <c r="J71" s="79" t="s">
        <v>2566</v>
      </c>
      <c r="K71" s="80" t="str">
        <f>IF(AND($I71&lt;&gt;"",$J71&lt;&gt;""),IF(AND(DATEVALUE("1-"&amp;$I71)&lt;=K$83,DATEVALUE("1-"&amp;$J71)&gt;=K$83),"●",""),"")</f>
        <v/>
      </c>
      <c r="L71" s="80" t="str">
        <f>IF(AND($I71&lt;&gt;"",$J71&lt;&gt;""),IF(AND(DATEVALUE("1-"&amp;$I71)&lt;=L$83,DATEVALUE("1-"&amp;$J71)&gt;=L$83),"●",""),"")</f>
        <v/>
      </c>
      <c r="M71" s="80" t="str">
        <f>IF(AND($I71&lt;&gt;"",$J71&lt;&gt;""),IF(AND(DATEVALUE("1-"&amp;$I71)&lt;=M$83,DATEVALUE("1-"&amp;$J71)&gt;=M$83),"●",""),"")</f>
        <v/>
      </c>
      <c r="N71" s="80" t="str">
        <f>IF(AND($I71&lt;&gt;"",$J71&lt;&gt;""),IF(AND(DATEVALUE("1-"&amp;$I71)&lt;=N$83,DATEVALUE("1-"&amp;$J71)&gt;=N$83),"●",""),"")</f>
        <v/>
      </c>
      <c r="O71" s="80" t="str">
        <f>IF(AND($I71&lt;&gt;"",$J71&lt;&gt;""),IF(AND(DATEVALUE("1-"&amp;$I71)&lt;=O$83,DATEVALUE("1-"&amp;$J71)&gt;=O$83),"●",""),"")</f>
        <v/>
      </c>
      <c r="P71" s="80" t="str">
        <f>IF(AND($I71&lt;&gt;"",$J71&lt;&gt;""),IF(AND(DATEVALUE("1-"&amp;$I71)&lt;=P$83,DATEVALUE("1-"&amp;$J71)&gt;=P$83),"●",""),"")</f>
        <v/>
      </c>
      <c r="Q71" s="80" t="str">
        <f>IF(AND($I71&lt;&gt;"",$J71&lt;&gt;""),IF(AND(DATEVALUE("1-"&amp;$I71)&lt;=Q$83,DATEVALUE("1-"&amp;$J71)&gt;=Q$83),"●",""),"")</f>
        <v/>
      </c>
      <c r="R71" s="80" t="str">
        <f>IF(AND($I71&lt;&gt;"",$J71&lt;&gt;""),IF(AND(DATEVALUE("1-"&amp;$I71)&lt;=R$83,DATEVALUE("1-"&amp;$J71)&gt;=R$83),"●",""),"")</f>
        <v/>
      </c>
      <c r="S71" s="80" t="str">
        <f>IF(AND($I71&lt;&gt;"",$J71&lt;&gt;""),IF(AND(DATEVALUE("1-"&amp;$I71)&lt;=S$83,DATEVALUE("1-"&amp;$J71)&gt;=S$83),"●",""),"")</f>
        <v/>
      </c>
      <c r="T71" s="80" t="str">
        <f>IF(AND($I71&lt;&gt;"",$J71&lt;&gt;""),IF(AND(DATEVALUE("1-"&amp;$I71)&lt;=T$83,DATEVALUE("1-"&amp;$J71)&gt;=T$83),"●",""),"")</f>
        <v/>
      </c>
      <c r="U71" s="80" t="str">
        <f>IF(AND($I71&lt;&gt;"",$J71&lt;&gt;""),IF(AND(DATEVALUE("1-"&amp;$I71)&lt;=U$83,DATEVALUE("1-"&amp;$J71)&gt;=U$83),"●",""),"")</f>
        <v/>
      </c>
      <c r="V71" s="80" t="str">
        <f>IF(AND($I71&lt;&gt;"",$J71&lt;&gt;""),IF(AND(DATEVALUE("1-"&amp;$I71)&lt;=V$83,DATEVALUE("1-"&amp;$J71)&gt;=V$83),"●",""),"")</f>
        <v>●</v>
      </c>
      <c r="W71" s="80" t="str">
        <f>IF(AND($I71&lt;&gt;"",$J71&lt;&gt;""),IF(AND(DATEVALUE("1-"&amp;$I71)&lt;=W$83,DATEVALUE("1-"&amp;$J71)&gt;=W$83),"●",""),"")</f>
        <v>●</v>
      </c>
      <c r="X71" s="80" t="str">
        <f>IF(AND($I71&lt;&gt;"",$J71&lt;&gt;""),IF(AND(DATEVALUE("1-"&amp;$I71)&lt;=X$83,DATEVALUE("1-"&amp;$J71)&gt;=X$83),"●",""),"")</f>
        <v/>
      </c>
      <c r="Y71" s="80" t="str">
        <f>IF(AND($I71&lt;&gt;"",$J71&lt;&gt;""),IF(AND(DATEVALUE("1-"&amp;$I71)&lt;=Y$83,DATEVALUE("1-"&amp;$J71)&gt;=Y$83),"●",""),"")</f>
        <v/>
      </c>
      <c r="Z71" s="80" t="str">
        <f>IF(AND($I71&lt;&gt;"",$J71&lt;&gt;""),IF(AND(DATEVALUE("1-"&amp;$I71)&lt;=Z$83,DATEVALUE("1-"&amp;$J71)&gt;=Z$83),"●",""),"")</f>
        <v/>
      </c>
      <c r="AA71" s="80" t="str">
        <f>IF(AND($I71&lt;&gt;"",$J71&lt;&gt;""),IF(AND(DATEVALUE("1-"&amp;$I71)&lt;=AA$83,DATEVALUE("1-"&amp;$J71)&gt;=AA$83),"●",""),"")</f>
        <v/>
      </c>
      <c r="AB71" s="80" t="str">
        <f>IF(AND($I71&lt;&gt;"",$J71&lt;&gt;""),IF(AND(DATEVALUE("1-"&amp;$I71)&lt;=AB$83,DATEVALUE("1-"&amp;$J71)&gt;=AB$83),"●",""),"")</f>
        <v/>
      </c>
      <c r="AC71" s="80" t="str">
        <f>IF(AND($I71&lt;&gt;"",$J71&lt;&gt;""),IF(AND(DATEVALUE("1-"&amp;$I71)&lt;=AC$83,DATEVALUE("1-"&amp;$J71)&gt;=AC$83),"●",""),"")</f>
        <v/>
      </c>
      <c r="AD71" s="80" t="str">
        <f>IF(AND($I71&lt;&gt;"",$J71&lt;&gt;""),IF(AND(DATEVALUE("1-"&amp;$I71)&lt;=AD$83,DATEVALUE("1-"&amp;$J71)&gt;=AD$83),"●",""),"")</f>
        <v/>
      </c>
      <c r="AE71" s="80" t="str">
        <f>IF(AND($I71&lt;&gt;"",$J71&lt;&gt;""),IF(AND(DATEVALUE("1-"&amp;$I71)&lt;=AE$83,DATEVALUE("1-"&amp;$J71)&gt;=AE$83),"●",""),"")</f>
        <v/>
      </c>
      <c r="AF71" s="80" t="str">
        <f>IF(AND($I71&lt;&gt;"",$J71&lt;&gt;""),IF(AND(DATEVALUE("1-"&amp;$I71)&lt;=AF$83,DATEVALUE("1-"&amp;$J71)&gt;=AF$83),"●",""),"")</f>
        <v/>
      </c>
      <c r="AG71" s="80" t="str">
        <f>IF(AND($I71&lt;&gt;"",$J71&lt;&gt;""),IF(AND(DATEVALUE("1-"&amp;$I71)&lt;=AG$83,DATEVALUE("1-"&amp;$J71)&gt;=AG$83),"●",""),"")</f>
        <v/>
      </c>
      <c r="AH71" s="80" t="str">
        <f>IF(AND($I71&lt;&gt;"",$J71&lt;&gt;""),IF(AND(DATEVALUE("1-"&amp;$I71)&lt;=AH$83,DATEVALUE("1-"&amp;$J71)&gt;=AH$83),"●",""),"")</f>
        <v/>
      </c>
      <c r="AI71" s="80" t="str">
        <f>IF(AND($I71&lt;&gt;"",$J71&lt;&gt;""),IF(AND(DATEVALUE("1-"&amp;$I71)&lt;=AI$83,DATEVALUE("1-"&amp;$J71)&gt;=AI$83),"●",""),"")</f>
        <v/>
      </c>
      <c r="AJ71" s="80" t="str">
        <f>IF(AND($I71&lt;&gt;"",$J71&lt;&gt;""),IF(AND(DATEVALUE("1-"&amp;$I71)&lt;=AJ$83,DATEVALUE("1-"&amp;$J71)&gt;=AJ$83),"●",""),"")</f>
        <v/>
      </c>
      <c r="AK71" s="80" t="str">
        <f>IF(AND($I71&lt;&gt;"",$J71&lt;&gt;""),IF(AND(DATEVALUE("1-"&amp;$I71)&lt;=AK$83,DATEVALUE("1-"&amp;$J71)&gt;=AK$83),"●",""),"")</f>
        <v/>
      </c>
    </row>
    <row r="72" spans="1:37" ht="15" customHeight="1">
      <c r="A72" s="513"/>
      <c r="B72" s="81" t="s">
        <v>2674</v>
      </c>
      <c r="C72" s="3" t="s">
        <v>2541</v>
      </c>
      <c r="D72" s="3" t="s">
        <v>2542</v>
      </c>
      <c r="E72" s="3" t="s">
        <v>2578</v>
      </c>
      <c r="F72" s="307"/>
      <c r="G72" s="78" t="s">
        <v>2565</v>
      </c>
      <c r="H72" s="3" t="s">
        <v>2560</v>
      </c>
      <c r="I72" s="78" t="s">
        <v>2594</v>
      </c>
      <c r="J72" s="79" t="s">
        <v>2547</v>
      </c>
      <c r="K72" s="80" t="str">
        <f>IF(AND($I72&lt;&gt;"",$J72&lt;&gt;""),IF(AND(DATEVALUE("1-"&amp;$I72)&lt;=K$83,DATEVALUE("1-"&amp;$J72)&gt;=K$83),"●",""),"")</f>
        <v/>
      </c>
      <c r="L72" s="80" t="str">
        <f>IF(AND($I72&lt;&gt;"",$J72&lt;&gt;""),IF(AND(DATEVALUE("1-"&amp;$I72)&lt;=L$83,DATEVALUE("1-"&amp;$J72)&gt;=L$83),"●",""),"")</f>
        <v/>
      </c>
      <c r="M72" s="80" t="str">
        <f>IF(AND($I72&lt;&gt;"",$J72&lt;&gt;""),IF(AND(DATEVALUE("1-"&amp;$I72)&lt;=M$83,DATEVALUE("1-"&amp;$J72)&gt;=M$83),"●",""),"")</f>
        <v/>
      </c>
      <c r="N72" s="80" t="str">
        <f>IF(AND($I72&lt;&gt;"",$J72&lt;&gt;""),IF(AND(DATEVALUE("1-"&amp;$I72)&lt;=N$83,DATEVALUE("1-"&amp;$J72)&gt;=N$83),"●",""),"")</f>
        <v/>
      </c>
      <c r="O72" s="80" t="str">
        <f>IF(AND($I72&lt;&gt;"",$J72&lt;&gt;""),IF(AND(DATEVALUE("1-"&amp;$I72)&lt;=O$83,DATEVALUE("1-"&amp;$J72)&gt;=O$83),"●",""),"")</f>
        <v>●</v>
      </c>
      <c r="P72" s="80" t="str">
        <f>IF(AND($I72&lt;&gt;"",$J72&lt;&gt;""),IF(AND(DATEVALUE("1-"&amp;$I72)&lt;=P$83,DATEVALUE("1-"&amp;$J72)&gt;=P$83),"●",""),"")</f>
        <v>●</v>
      </c>
      <c r="Q72" s="80" t="str">
        <f>IF(AND($I72&lt;&gt;"",$J72&lt;&gt;""),IF(AND(DATEVALUE("1-"&amp;$I72)&lt;=Q$83,DATEVALUE("1-"&amp;$J72)&gt;=Q$83),"●",""),"")</f>
        <v>●</v>
      </c>
      <c r="R72" s="80" t="str">
        <f>IF(AND($I72&lt;&gt;"",$J72&lt;&gt;""),IF(AND(DATEVALUE("1-"&amp;$I72)&lt;=R$83,DATEVALUE("1-"&amp;$J72)&gt;=R$83),"●",""),"")</f>
        <v>●</v>
      </c>
      <c r="S72" s="80" t="str">
        <f>IF(AND($I72&lt;&gt;"",$J72&lt;&gt;""),IF(AND(DATEVALUE("1-"&amp;$I72)&lt;=S$83,DATEVALUE("1-"&amp;$J72)&gt;=S$83),"●",""),"")</f>
        <v>●</v>
      </c>
      <c r="T72" s="80" t="str">
        <f>IF(AND($I72&lt;&gt;"",$J72&lt;&gt;""),IF(AND(DATEVALUE("1-"&amp;$I72)&lt;=T$83,DATEVALUE("1-"&amp;$J72)&gt;=T$83),"●",""),"")</f>
        <v>●</v>
      </c>
      <c r="U72" s="80" t="str">
        <f>IF(AND($I72&lt;&gt;"",$J72&lt;&gt;""),IF(AND(DATEVALUE("1-"&amp;$I72)&lt;=U$83,DATEVALUE("1-"&amp;$J72)&gt;=U$83),"●",""),"")</f>
        <v>●</v>
      </c>
      <c r="V72" s="80" t="str">
        <f>IF(AND($I72&lt;&gt;"",$J72&lt;&gt;""),IF(AND(DATEVALUE("1-"&amp;$I72)&lt;=V$83,DATEVALUE("1-"&amp;$J72)&gt;=V$83),"●",""),"")</f>
        <v>●</v>
      </c>
      <c r="W72" s="80" t="str">
        <f>IF(AND($I72&lt;&gt;"",$J72&lt;&gt;""),IF(AND(DATEVALUE("1-"&amp;$I72)&lt;=W$83,DATEVALUE("1-"&amp;$J72)&gt;=W$83),"●",""),"")</f>
        <v/>
      </c>
      <c r="X72" s="80" t="str">
        <f>IF(AND($I72&lt;&gt;"",$J72&lt;&gt;""),IF(AND(DATEVALUE("1-"&amp;$I72)&lt;=X$83,DATEVALUE("1-"&amp;$J72)&gt;=X$83),"●",""),"")</f>
        <v/>
      </c>
      <c r="Y72" s="80" t="str">
        <f>IF(AND($I72&lt;&gt;"",$J72&lt;&gt;""),IF(AND(DATEVALUE("1-"&amp;$I72)&lt;=Y$83,DATEVALUE("1-"&amp;$J72)&gt;=Y$83),"●",""),"")</f>
        <v/>
      </c>
      <c r="Z72" s="80" t="str">
        <f>IF(AND($I72&lt;&gt;"",$J72&lt;&gt;""),IF(AND(DATEVALUE("1-"&amp;$I72)&lt;=Z$83,DATEVALUE("1-"&amp;$J72)&gt;=Z$83),"●",""),"")</f>
        <v/>
      </c>
      <c r="AA72" s="80" t="str">
        <f>IF(AND($I72&lt;&gt;"",$J72&lt;&gt;""),IF(AND(DATEVALUE("1-"&amp;$I72)&lt;=AA$83,DATEVALUE("1-"&amp;$J72)&gt;=AA$83),"●",""),"")</f>
        <v/>
      </c>
      <c r="AB72" s="80" t="str">
        <f>IF(AND($I72&lt;&gt;"",$J72&lt;&gt;""),IF(AND(DATEVALUE("1-"&amp;$I72)&lt;=AB$83,DATEVALUE("1-"&amp;$J72)&gt;=AB$83),"●",""),"")</f>
        <v/>
      </c>
      <c r="AC72" s="80" t="str">
        <f>IF(AND($I72&lt;&gt;"",$J72&lt;&gt;""),IF(AND(DATEVALUE("1-"&amp;$I72)&lt;=AC$83,DATEVALUE("1-"&amp;$J72)&gt;=AC$83),"●",""),"")</f>
        <v/>
      </c>
      <c r="AD72" s="80" t="str">
        <f>IF(AND($I72&lt;&gt;"",$J72&lt;&gt;""),IF(AND(DATEVALUE("1-"&amp;$I72)&lt;=AD$83,DATEVALUE("1-"&amp;$J72)&gt;=AD$83),"●",""),"")</f>
        <v/>
      </c>
      <c r="AE72" s="80" t="str">
        <f>IF(AND($I72&lt;&gt;"",$J72&lt;&gt;""),IF(AND(DATEVALUE("1-"&amp;$I72)&lt;=AE$83,DATEVALUE("1-"&amp;$J72)&gt;=AE$83),"●",""),"")</f>
        <v/>
      </c>
      <c r="AF72" s="80" t="str">
        <f>IF(AND($I72&lt;&gt;"",$J72&lt;&gt;""),IF(AND(DATEVALUE("1-"&amp;$I72)&lt;=AF$83,DATEVALUE("1-"&amp;$J72)&gt;=AF$83),"●",""),"")</f>
        <v/>
      </c>
      <c r="AG72" s="80" t="str">
        <f>IF(AND($I72&lt;&gt;"",$J72&lt;&gt;""),IF(AND(DATEVALUE("1-"&amp;$I72)&lt;=AG$83,DATEVALUE("1-"&amp;$J72)&gt;=AG$83),"●",""),"")</f>
        <v/>
      </c>
      <c r="AH72" s="80" t="str">
        <f>IF(AND($I72&lt;&gt;"",$J72&lt;&gt;""),IF(AND(DATEVALUE("1-"&amp;$I72)&lt;=AH$83,DATEVALUE("1-"&amp;$J72)&gt;=AH$83),"●",""),"")</f>
        <v/>
      </c>
      <c r="AI72" s="80" t="str">
        <f>IF(AND($I72&lt;&gt;"",$J72&lt;&gt;""),IF(AND(DATEVALUE("1-"&amp;$I72)&lt;=AI$83,DATEVALUE("1-"&amp;$J72)&gt;=AI$83),"●",""),"")</f>
        <v/>
      </c>
      <c r="AJ72" s="80" t="str">
        <f>IF(AND($I72&lt;&gt;"",$J72&lt;&gt;""),IF(AND(DATEVALUE("1-"&amp;$I72)&lt;=AJ$83,DATEVALUE("1-"&amp;$J72)&gt;=AJ$83),"●",""),"")</f>
        <v/>
      </c>
      <c r="AK72" s="80" t="str">
        <f>IF(AND($I72&lt;&gt;"",$J72&lt;&gt;""),IF(AND(DATEVALUE("1-"&amp;$I72)&lt;=AK$83,DATEVALUE("1-"&amp;$J72)&gt;=AK$83),"●",""),"")</f>
        <v/>
      </c>
    </row>
    <row r="73" spans="1:37" ht="15" customHeight="1">
      <c r="A73" s="513"/>
      <c r="B73" s="3" t="s">
        <v>2675</v>
      </c>
      <c r="C73" s="3" t="s">
        <v>2541</v>
      </c>
      <c r="D73" s="3" t="s">
        <v>2542</v>
      </c>
      <c r="E73" s="3" t="s">
        <v>2676</v>
      </c>
      <c r="F73" s="307"/>
      <c r="G73" s="78" t="s">
        <v>2565</v>
      </c>
      <c r="H73" s="3" t="s">
        <v>2545</v>
      </c>
      <c r="I73" s="78" t="s">
        <v>2639</v>
      </c>
      <c r="J73" s="79" t="s">
        <v>2567</v>
      </c>
      <c r="K73" s="80" t="str">
        <f>IF(AND($I73&lt;&gt;"",$J73&lt;&gt;""),IF(AND(DATEVALUE("1-"&amp;$I73)&lt;=K$83,DATEVALUE("1-"&amp;$J73)&gt;=K$83),"●",""),"")</f>
        <v/>
      </c>
      <c r="L73" s="80" t="str">
        <f>IF(AND($I73&lt;&gt;"",$J73&lt;&gt;""),IF(AND(DATEVALUE("1-"&amp;$I73)&lt;=L$83,DATEVALUE("1-"&amp;$J73)&gt;=L$83),"●",""),"")</f>
        <v/>
      </c>
      <c r="M73" s="80" t="str">
        <f>IF(AND($I73&lt;&gt;"",$J73&lt;&gt;""),IF(AND(DATEVALUE("1-"&amp;$I73)&lt;=M$83,DATEVALUE("1-"&amp;$J73)&gt;=M$83),"●",""),"")</f>
        <v/>
      </c>
      <c r="N73" s="80" t="str">
        <f>IF(AND($I73&lt;&gt;"",$J73&lt;&gt;""),IF(AND(DATEVALUE("1-"&amp;$I73)&lt;=N$83,DATEVALUE("1-"&amp;$J73)&gt;=N$83),"●",""),"")</f>
        <v/>
      </c>
      <c r="O73" s="80" t="str">
        <f>IF(AND($I73&lt;&gt;"",$J73&lt;&gt;""),IF(AND(DATEVALUE("1-"&amp;$I73)&lt;=O$83,DATEVALUE("1-"&amp;$J73)&gt;=O$83),"●",""),"")</f>
        <v/>
      </c>
      <c r="P73" s="80" t="str">
        <f>IF(AND($I73&lt;&gt;"",$J73&lt;&gt;""),IF(AND(DATEVALUE("1-"&amp;$I73)&lt;=P$83,DATEVALUE("1-"&amp;$J73)&gt;=P$83),"●",""),"")</f>
        <v/>
      </c>
      <c r="Q73" s="80" t="str">
        <f>IF(AND($I73&lt;&gt;"",$J73&lt;&gt;""),IF(AND(DATEVALUE("1-"&amp;$I73)&lt;=Q$83,DATEVALUE("1-"&amp;$J73)&gt;=Q$83),"●",""),"")</f>
        <v/>
      </c>
      <c r="R73" s="80" t="str">
        <f>IF(AND($I73&lt;&gt;"",$J73&lt;&gt;""),IF(AND(DATEVALUE("1-"&amp;$I73)&lt;=R$83,DATEVALUE("1-"&amp;$J73)&gt;=R$83),"●",""),"")</f>
        <v/>
      </c>
      <c r="S73" s="80" t="str">
        <f>IF(AND($I73&lt;&gt;"",$J73&lt;&gt;""),IF(AND(DATEVALUE("1-"&amp;$I73)&lt;=S$83,DATEVALUE("1-"&amp;$J73)&gt;=S$83),"●",""),"")</f>
        <v>●</v>
      </c>
      <c r="T73" s="80" t="str">
        <f>IF(AND($I73&lt;&gt;"",$J73&lt;&gt;""),IF(AND(DATEVALUE("1-"&amp;$I73)&lt;=T$83,DATEVALUE("1-"&amp;$J73)&gt;=T$83),"●",""),"")</f>
        <v>●</v>
      </c>
      <c r="U73" s="80" t="str">
        <f>IF(AND($I73&lt;&gt;"",$J73&lt;&gt;""),IF(AND(DATEVALUE("1-"&amp;$I73)&lt;=U$83,DATEVALUE("1-"&amp;$J73)&gt;=U$83),"●",""),"")</f>
        <v>●</v>
      </c>
      <c r="V73" s="80" t="str">
        <f>IF(AND($I73&lt;&gt;"",$J73&lt;&gt;""),IF(AND(DATEVALUE("1-"&amp;$I73)&lt;=V$83,DATEVALUE("1-"&amp;$J73)&gt;=V$83),"●",""),"")</f>
        <v>●</v>
      </c>
      <c r="W73" s="80" t="str">
        <f>IF(AND($I73&lt;&gt;"",$J73&lt;&gt;""),IF(AND(DATEVALUE("1-"&amp;$I73)&lt;=W$83,DATEVALUE("1-"&amp;$J73)&gt;=W$83),"●",""),"")</f>
        <v>●</v>
      </c>
      <c r="X73" s="80" t="str">
        <f>IF(AND($I73&lt;&gt;"",$J73&lt;&gt;""),IF(AND(DATEVALUE("1-"&amp;$I73)&lt;=X$83,DATEVALUE("1-"&amp;$J73)&gt;=X$83),"●",""),"")</f>
        <v>●</v>
      </c>
      <c r="Y73" s="80" t="str">
        <f>IF(AND($I73&lt;&gt;"",$J73&lt;&gt;""),IF(AND(DATEVALUE("1-"&amp;$I73)&lt;=Y$83,DATEVALUE("1-"&amp;$J73)&gt;=Y$83),"●",""),"")</f>
        <v/>
      </c>
      <c r="Z73" s="80" t="str">
        <f>IF(AND($I73&lt;&gt;"",$J73&lt;&gt;""),IF(AND(DATEVALUE("1-"&amp;$I73)&lt;=Z$83,DATEVALUE("1-"&amp;$J73)&gt;=Z$83),"●",""),"")</f>
        <v/>
      </c>
      <c r="AA73" s="80" t="str">
        <f>IF(AND($I73&lt;&gt;"",$J73&lt;&gt;""),IF(AND(DATEVALUE("1-"&amp;$I73)&lt;=AA$83,DATEVALUE("1-"&amp;$J73)&gt;=AA$83),"●",""),"")</f>
        <v/>
      </c>
      <c r="AB73" s="80" t="str">
        <f>IF(AND($I73&lt;&gt;"",$J73&lt;&gt;""),IF(AND(DATEVALUE("1-"&amp;$I73)&lt;=AB$83,DATEVALUE("1-"&amp;$J73)&gt;=AB$83),"●",""),"")</f>
        <v/>
      </c>
      <c r="AC73" s="80" t="str">
        <f>IF(AND($I73&lt;&gt;"",$J73&lt;&gt;""),IF(AND(DATEVALUE("1-"&amp;$I73)&lt;=AC$83,DATEVALUE("1-"&amp;$J73)&gt;=AC$83),"●",""),"")</f>
        <v/>
      </c>
      <c r="AD73" s="80" t="str">
        <f>IF(AND($I73&lt;&gt;"",$J73&lt;&gt;""),IF(AND(DATEVALUE("1-"&amp;$I73)&lt;=AD$83,DATEVALUE("1-"&amp;$J73)&gt;=AD$83),"●",""),"")</f>
        <v/>
      </c>
      <c r="AE73" s="80" t="str">
        <f>IF(AND($I73&lt;&gt;"",$J73&lt;&gt;""),IF(AND(DATEVALUE("1-"&amp;$I73)&lt;=AE$83,DATEVALUE("1-"&amp;$J73)&gt;=AE$83),"●",""),"")</f>
        <v/>
      </c>
      <c r="AF73" s="80" t="str">
        <f>IF(AND($I73&lt;&gt;"",$J73&lt;&gt;""),IF(AND(DATEVALUE("1-"&amp;$I73)&lt;=AF$83,DATEVALUE("1-"&amp;$J73)&gt;=AF$83),"●",""),"")</f>
        <v/>
      </c>
      <c r="AG73" s="80" t="str">
        <f>IF(AND($I73&lt;&gt;"",$J73&lt;&gt;""),IF(AND(DATEVALUE("1-"&amp;$I73)&lt;=AG$83,DATEVALUE("1-"&amp;$J73)&gt;=AG$83),"●",""),"")</f>
        <v/>
      </c>
      <c r="AH73" s="80" t="str">
        <f>IF(AND($I73&lt;&gt;"",$J73&lt;&gt;""),IF(AND(DATEVALUE("1-"&amp;$I73)&lt;=AH$83,DATEVALUE("1-"&amp;$J73)&gt;=AH$83),"●",""),"")</f>
        <v/>
      </c>
      <c r="AI73" s="80" t="str">
        <f>IF(AND($I73&lt;&gt;"",$J73&lt;&gt;""),IF(AND(DATEVALUE("1-"&amp;$I73)&lt;=AI$83,DATEVALUE("1-"&amp;$J73)&gt;=AI$83),"●",""),"")</f>
        <v/>
      </c>
      <c r="AJ73" s="80" t="str">
        <f>IF(AND($I73&lt;&gt;"",$J73&lt;&gt;""),IF(AND(DATEVALUE("1-"&amp;$I73)&lt;=AJ$83,DATEVALUE("1-"&amp;$J73)&gt;=AJ$83),"●",""),"")</f>
        <v/>
      </c>
      <c r="AK73" s="80" t="str">
        <f>IF(AND($I73&lt;&gt;"",$J73&lt;&gt;""),IF(AND(DATEVALUE("1-"&amp;$I73)&lt;=AK$83,DATEVALUE("1-"&amp;$J73)&gt;=AK$83),"●",""),"")</f>
        <v/>
      </c>
    </row>
    <row r="74" spans="1:37" ht="15" customHeight="1">
      <c r="A74" s="517"/>
      <c r="B74" s="81" t="s">
        <v>2677</v>
      </c>
      <c r="C74" s="3" t="s">
        <v>2541</v>
      </c>
      <c r="D74" s="3" t="s">
        <v>2542</v>
      </c>
      <c r="E74" s="3" t="s">
        <v>2543</v>
      </c>
      <c r="F74" s="307"/>
      <c r="G74" s="78" t="s">
        <v>2544</v>
      </c>
      <c r="H74" s="3" t="s">
        <v>2560</v>
      </c>
      <c r="I74" s="79" t="s">
        <v>2639</v>
      </c>
      <c r="J74" s="79" t="s">
        <v>2567</v>
      </c>
      <c r="K74" s="80" t="str">
        <f>IF(AND($I74&lt;&gt;"",$J74&lt;&gt;""),IF(AND(DATEVALUE("1-"&amp;$I74)&lt;=K$83,DATEVALUE("1-"&amp;$J74)&gt;=K$83),"●",""),"")</f>
        <v/>
      </c>
      <c r="L74" s="80" t="str">
        <f>IF(AND($I74&lt;&gt;"",$J74&lt;&gt;""),IF(AND(DATEVALUE("1-"&amp;$I74)&lt;=L$83,DATEVALUE("1-"&amp;$J74)&gt;=L$83),"●",""),"")</f>
        <v/>
      </c>
      <c r="M74" s="80" t="str">
        <f>IF(AND($I74&lt;&gt;"",$J74&lt;&gt;""),IF(AND(DATEVALUE("1-"&amp;$I74)&lt;=M$83,DATEVALUE("1-"&amp;$J74)&gt;=M$83),"●",""),"")</f>
        <v/>
      </c>
      <c r="N74" s="80" t="str">
        <f>IF(AND($I74&lt;&gt;"",$J74&lt;&gt;""),IF(AND(DATEVALUE("1-"&amp;$I74)&lt;=N$83,DATEVALUE("1-"&amp;$J74)&gt;=N$83),"●",""),"")</f>
        <v/>
      </c>
      <c r="O74" s="80" t="str">
        <f>IF(AND($I74&lt;&gt;"",$J74&lt;&gt;""),IF(AND(DATEVALUE("1-"&amp;$I74)&lt;=O$83,DATEVALUE("1-"&amp;$J74)&gt;=O$83),"●",""),"")</f>
        <v/>
      </c>
      <c r="P74" s="80" t="str">
        <f>IF(AND($I74&lt;&gt;"",$J74&lt;&gt;""),IF(AND(DATEVALUE("1-"&amp;$I74)&lt;=P$83,DATEVALUE("1-"&amp;$J74)&gt;=P$83),"●",""),"")</f>
        <v/>
      </c>
      <c r="Q74" s="80" t="str">
        <f>IF(AND($I74&lt;&gt;"",$J74&lt;&gt;""),IF(AND(DATEVALUE("1-"&amp;$I74)&lt;=Q$83,DATEVALUE("1-"&amp;$J74)&gt;=Q$83),"●",""),"")</f>
        <v/>
      </c>
      <c r="R74" s="80" t="str">
        <f>IF(AND($I74&lt;&gt;"",$J74&lt;&gt;""),IF(AND(DATEVALUE("1-"&amp;$I74)&lt;=R$83,DATEVALUE("1-"&amp;$J74)&gt;=R$83),"●",""),"")</f>
        <v/>
      </c>
      <c r="S74" s="80" t="str">
        <f>IF(AND($I74&lt;&gt;"",$J74&lt;&gt;""),IF(AND(DATEVALUE("1-"&amp;$I74)&lt;=S$83,DATEVALUE("1-"&amp;$J74)&gt;=S$83),"●",""),"")</f>
        <v>●</v>
      </c>
      <c r="T74" s="80" t="str">
        <f>IF(AND($I74&lt;&gt;"",$J74&lt;&gt;""),IF(AND(DATEVALUE("1-"&amp;$I74)&lt;=T$83,DATEVALUE("1-"&amp;$J74)&gt;=T$83),"●",""),"")</f>
        <v>●</v>
      </c>
      <c r="U74" s="80" t="str">
        <f>IF(AND($I74&lt;&gt;"",$J74&lt;&gt;""),IF(AND(DATEVALUE("1-"&amp;$I74)&lt;=U$83,DATEVALUE("1-"&amp;$J74)&gt;=U$83),"●",""),"")</f>
        <v>●</v>
      </c>
      <c r="V74" s="80" t="str">
        <f>IF(AND($I74&lt;&gt;"",$J74&lt;&gt;""),IF(AND(DATEVALUE("1-"&amp;$I74)&lt;=V$83,DATEVALUE("1-"&amp;$J74)&gt;=V$83),"●",""),"")</f>
        <v>●</v>
      </c>
      <c r="W74" s="80" t="str">
        <f>IF(AND($I74&lt;&gt;"",$J74&lt;&gt;""),IF(AND(DATEVALUE("1-"&amp;$I74)&lt;=W$83,DATEVALUE("1-"&amp;$J74)&gt;=W$83),"●",""),"")</f>
        <v>●</v>
      </c>
      <c r="X74" s="80" t="str">
        <f>IF(AND($I74&lt;&gt;"",$J74&lt;&gt;""),IF(AND(DATEVALUE("1-"&amp;$I74)&lt;=X$83,DATEVALUE("1-"&amp;$J74)&gt;=X$83),"●",""),"")</f>
        <v>●</v>
      </c>
      <c r="Y74" s="80" t="str">
        <f>IF(AND($I74&lt;&gt;"",$J74&lt;&gt;""),IF(AND(DATEVALUE("1-"&amp;$I74)&lt;=Y$83,DATEVALUE("1-"&amp;$J74)&gt;=Y$83),"●",""),"")</f>
        <v/>
      </c>
      <c r="Z74" s="80" t="str">
        <f>IF(AND($I74&lt;&gt;"",$J74&lt;&gt;""),IF(AND(DATEVALUE("1-"&amp;$I74)&lt;=Z$83,DATEVALUE("1-"&amp;$J74)&gt;=Z$83),"●",""),"")</f>
        <v/>
      </c>
      <c r="AA74" s="80" t="str">
        <f>IF(AND($I74&lt;&gt;"",$J74&lt;&gt;""),IF(AND(DATEVALUE("1-"&amp;$I74)&lt;=AA$83,DATEVALUE("1-"&amp;$J74)&gt;=AA$83),"●",""),"")</f>
        <v/>
      </c>
      <c r="AB74" s="80" t="str">
        <f>IF(AND($I74&lt;&gt;"",$J74&lt;&gt;""),IF(AND(DATEVALUE("1-"&amp;$I74)&lt;=AB$83,DATEVALUE("1-"&amp;$J74)&gt;=AB$83),"●",""),"")</f>
        <v/>
      </c>
      <c r="AC74" s="80" t="str">
        <f>IF(AND($I74&lt;&gt;"",$J74&lt;&gt;""),IF(AND(DATEVALUE("1-"&amp;$I74)&lt;=AC$83,DATEVALUE("1-"&amp;$J74)&gt;=AC$83),"●",""),"")</f>
        <v/>
      </c>
      <c r="AD74" s="80" t="str">
        <f>IF(AND($I74&lt;&gt;"",$J74&lt;&gt;""),IF(AND(DATEVALUE("1-"&amp;$I74)&lt;=AD$83,DATEVALUE("1-"&amp;$J74)&gt;=AD$83),"●",""),"")</f>
        <v/>
      </c>
      <c r="AE74" s="80" t="str">
        <f>IF(AND($I74&lt;&gt;"",$J74&lt;&gt;""),IF(AND(DATEVALUE("1-"&amp;$I74)&lt;=AE$83,DATEVALUE("1-"&amp;$J74)&gt;=AE$83),"●",""),"")</f>
        <v/>
      </c>
      <c r="AF74" s="80" t="str">
        <f>IF(AND($I74&lt;&gt;"",$J74&lt;&gt;""),IF(AND(DATEVALUE("1-"&amp;$I74)&lt;=AF$83,DATEVALUE("1-"&amp;$J74)&gt;=AF$83),"●",""),"")</f>
        <v/>
      </c>
      <c r="AG74" s="80" t="str">
        <f>IF(AND($I74&lt;&gt;"",$J74&lt;&gt;""),IF(AND(DATEVALUE("1-"&amp;$I74)&lt;=AG$83,DATEVALUE("1-"&amp;$J74)&gt;=AG$83),"●",""),"")</f>
        <v/>
      </c>
      <c r="AH74" s="80" t="str">
        <f>IF(AND($I74&lt;&gt;"",$J74&lt;&gt;""),IF(AND(DATEVALUE("1-"&amp;$I74)&lt;=AH$83,DATEVALUE("1-"&amp;$J74)&gt;=AH$83),"●",""),"")</f>
        <v/>
      </c>
      <c r="AI74" s="80" t="str">
        <f>IF(AND($I74&lt;&gt;"",$J74&lt;&gt;""),IF(AND(DATEVALUE("1-"&amp;$I74)&lt;=AI$83,DATEVALUE("1-"&amp;$J74)&gt;=AI$83),"●",""),"")</f>
        <v/>
      </c>
      <c r="AJ74" s="80" t="str">
        <f>IF(AND($I74&lt;&gt;"",$J74&lt;&gt;""),IF(AND(DATEVALUE("1-"&amp;$I74)&lt;=AJ$83,DATEVALUE("1-"&amp;$J74)&gt;=AJ$83),"●",""),"")</f>
        <v/>
      </c>
      <c r="AK74" s="80" t="str">
        <f>IF(AND($I74&lt;&gt;"",$J74&lt;&gt;""),IF(AND(DATEVALUE("1-"&amp;$I74)&lt;=AK$83,DATEVALUE("1-"&amp;$J74)&gt;=AK$83),"●",""),"")</f>
        <v/>
      </c>
    </row>
    <row r="75" spans="1:37" ht="15" customHeight="1">
      <c r="A75" s="517"/>
      <c r="B75" s="81" t="s">
        <v>2678</v>
      </c>
      <c r="C75" s="3" t="s">
        <v>2541</v>
      </c>
      <c r="D75" s="3" t="s">
        <v>2542</v>
      </c>
      <c r="E75" s="3" t="s">
        <v>2543</v>
      </c>
      <c r="F75" s="307"/>
      <c r="G75" s="78" t="s">
        <v>2544</v>
      </c>
      <c r="H75" s="3" t="s">
        <v>2560</v>
      </c>
      <c r="I75" s="79" t="s">
        <v>2594</v>
      </c>
      <c r="J75" s="79" t="s">
        <v>2650</v>
      </c>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row>
    <row r="76" spans="1:37" ht="15" customHeight="1">
      <c r="A76" s="517"/>
      <c r="B76" s="81" t="s">
        <v>2679</v>
      </c>
      <c r="C76" s="3" t="s">
        <v>2541</v>
      </c>
      <c r="D76" s="3" t="s">
        <v>2542</v>
      </c>
      <c r="E76" s="3" t="s">
        <v>2612</v>
      </c>
      <c r="F76" s="307"/>
      <c r="G76" s="78" t="s">
        <v>2544</v>
      </c>
      <c r="H76" s="3" t="s">
        <v>2545</v>
      </c>
      <c r="I76" s="79" t="s">
        <v>2639</v>
      </c>
      <c r="J76" s="79" t="s">
        <v>2566</v>
      </c>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row>
    <row r="77" spans="1:37" ht="15" customHeight="1">
      <c r="A77" s="517"/>
      <c r="B77" s="81" t="s">
        <v>2680</v>
      </c>
      <c r="C77" s="3" t="s">
        <v>2541</v>
      </c>
      <c r="D77" s="3" t="s">
        <v>2542</v>
      </c>
      <c r="E77" s="3" t="s">
        <v>2612</v>
      </c>
      <c r="F77" s="307"/>
      <c r="G77" s="78" t="s">
        <v>2544</v>
      </c>
      <c r="H77" s="3" t="s">
        <v>2545</v>
      </c>
      <c r="I77" s="79" t="s">
        <v>2639</v>
      </c>
      <c r="J77" s="79" t="s">
        <v>2566</v>
      </c>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row>
    <row r="78" spans="1:37" ht="15" customHeight="1">
      <c r="A78" s="517"/>
      <c r="B78" s="3" t="s">
        <v>2681</v>
      </c>
      <c r="C78" s="3" t="s">
        <v>2541</v>
      </c>
      <c r="D78" s="3" t="s">
        <v>2542</v>
      </c>
      <c r="E78" s="3" t="s">
        <v>2612</v>
      </c>
      <c r="F78" s="307"/>
      <c r="G78" s="78" t="s">
        <v>2544</v>
      </c>
      <c r="H78" s="3" t="s">
        <v>2545</v>
      </c>
      <c r="I78" s="79" t="s">
        <v>2639</v>
      </c>
      <c r="J78" s="79" t="s">
        <v>2547</v>
      </c>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row>
    <row r="79" spans="1:37" ht="15" customHeight="1">
      <c r="A79" s="517"/>
      <c r="B79" s="321" t="s">
        <v>1006</v>
      </c>
      <c r="C79" s="3" t="s">
        <v>2541</v>
      </c>
      <c r="D79" s="3" t="s">
        <v>2542</v>
      </c>
      <c r="E79" s="84" t="s">
        <v>2612</v>
      </c>
      <c r="F79" s="308"/>
      <c r="G79" s="78" t="s">
        <v>2544</v>
      </c>
      <c r="H79" s="3" t="s">
        <v>2560</v>
      </c>
      <c r="I79" s="79" t="s">
        <v>2639</v>
      </c>
      <c r="J79" s="79" t="s">
        <v>2571</v>
      </c>
      <c r="K79" s="80"/>
      <c r="L79" s="80" t="str">
        <f>IF(AND($I79&lt;&gt;"",$J79&lt;&gt;""),IF(AND(DATEVALUE("1-"&amp;$I79)&lt;=L$83,DATEVALUE("1-"&amp;$J79)&gt;=L$83),"●",""),"")</f>
        <v/>
      </c>
      <c r="M79" s="80" t="str">
        <f>IF(AND($I79&lt;&gt;"",$J79&lt;&gt;""),IF(AND(DATEVALUE("1-"&amp;$I79)&lt;=M$83,DATEVALUE("1-"&amp;$J79)&gt;=M$83),"●",""),"")</f>
        <v/>
      </c>
      <c r="N79" s="80" t="str">
        <f>IF(AND($I79&lt;&gt;"",$J79&lt;&gt;""),IF(AND(DATEVALUE("1-"&amp;$I79)&lt;=N$83,DATEVALUE("1-"&amp;$J79)&gt;=N$83),"●",""),"")</f>
        <v/>
      </c>
      <c r="O79" s="80" t="str">
        <f>IF(AND($I79&lt;&gt;"",$J79&lt;&gt;""),IF(AND(DATEVALUE("1-"&amp;$I79)&lt;=O$83,DATEVALUE("1-"&amp;$J79)&gt;=O$83),"●",""),"")</f>
        <v/>
      </c>
      <c r="P79" s="80" t="str">
        <f>IF(AND($I79&lt;&gt;"",$J79&lt;&gt;""),IF(AND(DATEVALUE("1-"&amp;$I79)&lt;=P$83,DATEVALUE("1-"&amp;$J79)&gt;=P$83),"●",""),"")</f>
        <v/>
      </c>
      <c r="Q79" s="80" t="str">
        <f>IF(AND($I79&lt;&gt;"",$J79&lt;&gt;""),IF(AND(DATEVALUE("1-"&amp;$I79)&lt;=Q$83,DATEVALUE("1-"&amp;$J79)&gt;=Q$83),"●",""),"")</f>
        <v/>
      </c>
      <c r="R79" s="80" t="str">
        <f>IF(AND($I79&lt;&gt;"",$J79&lt;&gt;""),IF(AND(DATEVALUE("1-"&amp;$I79)&lt;=R$83,DATEVALUE("1-"&amp;$J79)&gt;=R$83),"●",""),"")</f>
        <v/>
      </c>
      <c r="S79" s="80" t="str">
        <f>IF(AND($I79&lt;&gt;"",$J79&lt;&gt;""),IF(AND(DATEVALUE("1-"&amp;$I79)&lt;=S$83,DATEVALUE("1-"&amp;$J79)&gt;=S$83),"●",""),"")</f>
        <v>●</v>
      </c>
      <c r="T79" s="80" t="str">
        <f>IF(AND($I79&lt;&gt;"",$J79&lt;&gt;""),IF(AND(DATEVALUE("1-"&amp;$I79)&lt;=T$83,DATEVALUE("1-"&amp;$J79)&gt;=T$83),"●",""),"")</f>
        <v>●</v>
      </c>
      <c r="U79" s="80" t="str">
        <f>IF(AND($I79&lt;&gt;"",$J79&lt;&gt;""),IF(AND(DATEVALUE("1-"&amp;$I79)&lt;=U$83,DATEVALUE("1-"&amp;$J79)&gt;=U$83),"●",""),"")</f>
        <v>●</v>
      </c>
      <c r="V79" s="80" t="str">
        <f>IF(AND($I79&lt;&gt;"",$J79&lt;&gt;""),IF(AND(DATEVALUE("1-"&amp;$I79)&lt;=V$83,DATEVALUE("1-"&amp;$J79)&gt;=V$83),"●",""),"")</f>
        <v>●</v>
      </c>
      <c r="W79" s="80" t="str">
        <f>IF(AND($I79&lt;&gt;"",$J79&lt;&gt;""),IF(AND(DATEVALUE("1-"&amp;$I79)&lt;=W$83,DATEVALUE("1-"&amp;$J79)&gt;=W$83),"●",""),"")</f>
        <v>●</v>
      </c>
      <c r="X79" s="80" t="str">
        <f>IF(AND($I79&lt;&gt;"",$J79&lt;&gt;""),IF(AND(DATEVALUE("1-"&amp;$I79)&lt;=X$83,DATEVALUE("1-"&amp;$J79)&gt;=X$83),"●",""),"")</f>
        <v>●</v>
      </c>
      <c r="Y79" s="80" t="str">
        <f>IF(AND($I79&lt;&gt;"",$J79&lt;&gt;""),IF(AND(DATEVALUE("1-"&amp;$I79)&lt;=Y$83,DATEVALUE("1-"&amp;$J79)&gt;=Y$83),"●",""),"")</f>
        <v>●</v>
      </c>
      <c r="Z79" s="80" t="str">
        <f>IF(AND($I79&lt;&gt;"",$J79&lt;&gt;""),IF(AND(DATEVALUE("1-"&amp;$I79)&lt;=Z$83,DATEVALUE("1-"&amp;$J79)&gt;=Z$83),"●",""),"")</f>
        <v/>
      </c>
      <c r="AA79" s="80" t="str">
        <f>IF(AND($I79&lt;&gt;"",$J79&lt;&gt;""),IF(AND(DATEVALUE("1-"&amp;$I79)&lt;=AA$83,DATEVALUE("1-"&amp;$J79)&gt;=AA$83),"●",""),"")</f>
        <v/>
      </c>
      <c r="AB79" s="80" t="str">
        <f>IF(AND($I79&lt;&gt;"",$J79&lt;&gt;""),IF(AND(DATEVALUE("1-"&amp;$I79)&lt;=AB$83,DATEVALUE("1-"&amp;$J79)&gt;=AB$83),"●",""),"")</f>
        <v/>
      </c>
      <c r="AC79" s="80" t="str">
        <f>IF(AND($I79&lt;&gt;"",$J79&lt;&gt;""),IF(AND(DATEVALUE("1-"&amp;$I79)&lt;=AC$83,DATEVALUE("1-"&amp;$J79)&gt;=AC$83),"●",""),"")</f>
        <v/>
      </c>
      <c r="AD79" s="80" t="str">
        <f>IF(AND($I79&lt;&gt;"",$J79&lt;&gt;""),IF(AND(DATEVALUE("1-"&amp;$I79)&lt;=AD$83,DATEVALUE("1-"&amp;$J79)&gt;=AD$83),"●",""),"")</f>
        <v/>
      </c>
      <c r="AE79" s="80" t="str">
        <f>IF(AND($I79&lt;&gt;"",$J79&lt;&gt;""),IF(AND(DATEVALUE("1-"&amp;$I79)&lt;=AE$83,DATEVALUE("1-"&amp;$J79)&gt;=AE$83),"●",""),"")</f>
        <v/>
      </c>
      <c r="AF79" s="80" t="str">
        <f>IF(AND($I79&lt;&gt;"",$J79&lt;&gt;""),IF(AND(DATEVALUE("1-"&amp;$I79)&lt;=AF$83,DATEVALUE("1-"&amp;$J79)&gt;=AF$83),"●",""),"")</f>
        <v/>
      </c>
      <c r="AG79" s="80" t="str">
        <f>IF(AND($I79&lt;&gt;"",$J79&lt;&gt;""),IF(AND(DATEVALUE("1-"&amp;$I79)&lt;=AG$83,DATEVALUE("1-"&amp;$J79)&gt;=AG$83),"●",""),"")</f>
        <v/>
      </c>
      <c r="AH79" s="80" t="str">
        <f>IF(AND($I79&lt;&gt;"",$J79&lt;&gt;""),IF(AND(DATEVALUE("1-"&amp;$I79)&lt;=AH$83,DATEVALUE("1-"&amp;$J79)&gt;=AH$83),"●",""),"")</f>
        <v/>
      </c>
      <c r="AI79" s="80" t="str">
        <f>IF(AND($I79&lt;&gt;"",$J79&lt;&gt;""),IF(AND(DATEVALUE("1-"&amp;$I79)&lt;=AI$83,DATEVALUE("1-"&amp;$J79)&gt;=AI$83),"●",""),"")</f>
        <v/>
      </c>
      <c r="AJ79" s="80" t="str">
        <f>IF(AND($I79&lt;&gt;"",$J79&lt;&gt;""),IF(AND(DATEVALUE("1-"&amp;$I79)&lt;=AJ$83,DATEVALUE("1-"&amp;$J79)&gt;=AJ$83),"●",""),"")</f>
        <v/>
      </c>
      <c r="AK79" s="80" t="str">
        <f>IF(AND($I79&lt;&gt;"",$J79&lt;&gt;""),IF(AND(DATEVALUE("1-"&amp;$I79)&lt;=AK$83,DATEVALUE("1-"&amp;$J79)&gt;=AK$83),"●",""),"")</f>
        <v/>
      </c>
    </row>
    <row r="80" spans="1:37" ht="15" customHeight="1">
      <c r="A80" s="513" t="s">
        <v>2682</v>
      </c>
      <c r="B80" s="3" t="s">
        <v>2683</v>
      </c>
      <c r="C80" s="3" t="s">
        <v>2541</v>
      </c>
      <c r="D80" s="3" t="s">
        <v>2542</v>
      </c>
      <c r="E80" s="3" t="s">
        <v>2612</v>
      </c>
      <c r="F80" s="307"/>
      <c r="G80" s="78" t="s">
        <v>2544</v>
      </c>
      <c r="H80" s="3" t="s">
        <v>2555</v>
      </c>
      <c r="I80" s="79" t="s">
        <v>2587</v>
      </c>
      <c r="J80" s="79" t="s">
        <v>2566</v>
      </c>
      <c r="K80" s="80" t="str">
        <f t="shared" ref="K80:T82" si="0">IF(AND($I80&lt;&gt;"",$J80&lt;&gt;""),IF(AND(DATEVALUE("1-"&amp;$I80)&lt;=K$83,DATEVALUE("1-"&amp;$J80)&gt;=K$83),"●",""),"")</f>
        <v/>
      </c>
      <c r="L80" s="80" t="str">
        <f t="shared" si="0"/>
        <v/>
      </c>
      <c r="M80" s="80" t="str">
        <f t="shared" si="0"/>
        <v>●</v>
      </c>
      <c r="N80" s="80" t="str">
        <f t="shared" si="0"/>
        <v>●</v>
      </c>
      <c r="O80" s="80" t="str">
        <f t="shared" si="0"/>
        <v>●</v>
      </c>
      <c r="P80" s="80" t="str">
        <f t="shared" si="0"/>
        <v>●</v>
      </c>
      <c r="Q80" s="80" t="str">
        <f t="shared" si="0"/>
        <v>●</v>
      </c>
      <c r="R80" s="80" t="str">
        <f t="shared" si="0"/>
        <v>●</v>
      </c>
      <c r="S80" s="80" t="str">
        <f t="shared" si="0"/>
        <v>●</v>
      </c>
      <c r="T80" s="80" t="str">
        <f t="shared" si="0"/>
        <v>●</v>
      </c>
      <c r="U80" s="80" t="str">
        <f t="shared" ref="U80:AD82" si="1">IF(AND($I80&lt;&gt;"",$J80&lt;&gt;""),IF(AND(DATEVALUE("1-"&amp;$I80)&lt;=U$83,DATEVALUE("1-"&amp;$J80)&gt;=U$83),"●",""),"")</f>
        <v>●</v>
      </c>
      <c r="V80" s="80" t="str">
        <f t="shared" si="1"/>
        <v>●</v>
      </c>
      <c r="W80" s="80" t="str">
        <f t="shared" si="1"/>
        <v>●</v>
      </c>
      <c r="X80" s="80" t="str">
        <f t="shared" si="1"/>
        <v/>
      </c>
      <c r="Y80" s="80" t="str">
        <f t="shared" si="1"/>
        <v/>
      </c>
      <c r="Z80" s="80" t="str">
        <f t="shared" si="1"/>
        <v/>
      </c>
      <c r="AA80" s="80" t="str">
        <f t="shared" si="1"/>
        <v/>
      </c>
      <c r="AB80" s="80" t="str">
        <f t="shared" si="1"/>
        <v/>
      </c>
      <c r="AC80" s="80" t="str">
        <f t="shared" si="1"/>
        <v/>
      </c>
      <c r="AD80" s="80" t="str">
        <f t="shared" si="1"/>
        <v/>
      </c>
      <c r="AE80" s="80" t="str">
        <f t="shared" ref="AE80:AK82" si="2">IF(AND($I80&lt;&gt;"",$J80&lt;&gt;""),IF(AND(DATEVALUE("1-"&amp;$I80)&lt;=AE$83,DATEVALUE("1-"&amp;$J80)&gt;=AE$83),"●",""),"")</f>
        <v/>
      </c>
      <c r="AF80" s="80" t="str">
        <f t="shared" si="2"/>
        <v/>
      </c>
      <c r="AG80" s="80" t="str">
        <f t="shared" si="2"/>
        <v/>
      </c>
      <c r="AH80" s="80" t="str">
        <f t="shared" si="2"/>
        <v/>
      </c>
      <c r="AI80" s="80" t="str">
        <f t="shared" si="2"/>
        <v/>
      </c>
      <c r="AJ80" s="80" t="str">
        <f t="shared" si="2"/>
        <v/>
      </c>
      <c r="AK80" s="80" t="str">
        <f t="shared" si="2"/>
        <v/>
      </c>
    </row>
    <row r="81" spans="1:37" ht="15" customHeight="1">
      <c r="A81" s="513"/>
      <c r="B81" s="3" t="s">
        <v>2684</v>
      </c>
      <c r="C81" s="3" t="s">
        <v>2541</v>
      </c>
      <c r="D81" s="3" t="s">
        <v>2542</v>
      </c>
      <c r="E81" s="3" t="s">
        <v>2612</v>
      </c>
      <c r="F81" s="307"/>
      <c r="G81" s="78" t="s">
        <v>2544</v>
      </c>
      <c r="H81" s="3" t="s">
        <v>2545</v>
      </c>
      <c r="I81" s="78" t="s">
        <v>2547</v>
      </c>
      <c r="J81" s="79" t="s">
        <v>2566</v>
      </c>
      <c r="K81" s="80" t="str">
        <f t="shared" si="0"/>
        <v/>
      </c>
      <c r="L81" s="80" t="str">
        <f t="shared" si="0"/>
        <v/>
      </c>
      <c r="M81" s="80" t="str">
        <f t="shared" si="0"/>
        <v/>
      </c>
      <c r="N81" s="80" t="str">
        <f t="shared" si="0"/>
        <v/>
      </c>
      <c r="O81" s="80" t="str">
        <f t="shared" si="0"/>
        <v/>
      </c>
      <c r="P81" s="80" t="str">
        <f t="shared" si="0"/>
        <v/>
      </c>
      <c r="Q81" s="80" t="str">
        <f t="shared" si="0"/>
        <v/>
      </c>
      <c r="R81" s="80" t="str">
        <f t="shared" si="0"/>
        <v/>
      </c>
      <c r="S81" s="80" t="str">
        <f t="shared" si="0"/>
        <v/>
      </c>
      <c r="T81" s="80" t="str">
        <f t="shared" si="0"/>
        <v/>
      </c>
      <c r="U81" s="80" t="str">
        <f t="shared" si="1"/>
        <v/>
      </c>
      <c r="V81" s="80" t="str">
        <f t="shared" si="1"/>
        <v>●</v>
      </c>
      <c r="W81" s="80" t="str">
        <f t="shared" si="1"/>
        <v>●</v>
      </c>
      <c r="X81" s="80" t="str">
        <f t="shared" si="1"/>
        <v/>
      </c>
      <c r="Y81" s="80" t="str">
        <f t="shared" si="1"/>
        <v/>
      </c>
      <c r="Z81" s="80" t="str">
        <f t="shared" si="1"/>
        <v/>
      </c>
      <c r="AA81" s="80" t="str">
        <f t="shared" si="1"/>
        <v/>
      </c>
      <c r="AB81" s="80" t="str">
        <f t="shared" si="1"/>
        <v/>
      </c>
      <c r="AC81" s="80" t="str">
        <f t="shared" si="1"/>
        <v/>
      </c>
      <c r="AD81" s="80" t="str">
        <f t="shared" si="1"/>
        <v/>
      </c>
      <c r="AE81" s="80" t="str">
        <f t="shared" si="2"/>
        <v/>
      </c>
      <c r="AF81" s="80" t="str">
        <f t="shared" si="2"/>
        <v/>
      </c>
      <c r="AG81" s="80" t="str">
        <f t="shared" si="2"/>
        <v/>
      </c>
      <c r="AH81" s="80" t="str">
        <f t="shared" si="2"/>
        <v/>
      </c>
      <c r="AI81" s="80" t="str">
        <f t="shared" si="2"/>
        <v/>
      </c>
      <c r="AJ81" s="80" t="str">
        <f t="shared" si="2"/>
        <v/>
      </c>
      <c r="AK81" s="80" t="str">
        <f t="shared" si="2"/>
        <v/>
      </c>
    </row>
    <row r="82" spans="1:37" ht="15" customHeight="1">
      <c r="A82" s="514"/>
      <c r="B82" s="3" t="s">
        <v>2685</v>
      </c>
      <c r="C82" s="3" t="s">
        <v>2541</v>
      </c>
      <c r="D82" s="3" t="s">
        <v>2542</v>
      </c>
      <c r="E82" s="3" t="s">
        <v>2543</v>
      </c>
      <c r="F82" s="307"/>
      <c r="G82" s="78" t="s">
        <v>2544</v>
      </c>
      <c r="H82" s="3" t="s">
        <v>2545</v>
      </c>
      <c r="I82" s="78" t="s">
        <v>2594</v>
      </c>
      <c r="J82" s="79" t="s">
        <v>2566</v>
      </c>
      <c r="K82" s="80" t="str">
        <f t="shared" si="0"/>
        <v/>
      </c>
      <c r="L82" s="80" t="str">
        <f t="shared" si="0"/>
        <v/>
      </c>
      <c r="M82" s="80" t="str">
        <f t="shared" si="0"/>
        <v/>
      </c>
      <c r="N82" s="80" t="str">
        <f t="shared" si="0"/>
        <v/>
      </c>
      <c r="O82" s="80" t="str">
        <f t="shared" si="0"/>
        <v>●</v>
      </c>
      <c r="P82" s="80" t="str">
        <f t="shared" si="0"/>
        <v>●</v>
      </c>
      <c r="Q82" s="80" t="str">
        <f t="shared" si="0"/>
        <v>●</v>
      </c>
      <c r="R82" s="80" t="str">
        <f t="shared" si="0"/>
        <v>●</v>
      </c>
      <c r="S82" s="80" t="str">
        <f t="shared" si="0"/>
        <v>●</v>
      </c>
      <c r="T82" s="80" t="str">
        <f t="shared" si="0"/>
        <v>●</v>
      </c>
      <c r="U82" s="80" t="str">
        <f t="shared" si="1"/>
        <v>●</v>
      </c>
      <c r="V82" s="80" t="str">
        <f t="shared" si="1"/>
        <v>●</v>
      </c>
      <c r="W82" s="80" t="str">
        <f t="shared" si="1"/>
        <v>●</v>
      </c>
      <c r="X82" s="80" t="str">
        <f t="shared" si="1"/>
        <v/>
      </c>
      <c r="Y82" s="80" t="str">
        <f t="shared" si="1"/>
        <v/>
      </c>
      <c r="Z82" s="80" t="str">
        <f t="shared" si="1"/>
        <v/>
      </c>
      <c r="AA82" s="80" t="str">
        <f t="shared" si="1"/>
        <v/>
      </c>
      <c r="AB82" s="80" t="str">
        <f t="shared" si="1"/>
        <v/>
      </c>
      <c r="AC82" s="80" t="str">
        <f t="shared" si="1"/>
        <v/>
      </c>
      <c r="AD82" s="80" t="str">
        <f t="shared" si="1"/>
        <v/>
      </c>
      <c r="AE82" s="80" t="str">
        <f t="shared" si="2"/>
        <v/>
      </c>
      <c r="AF82" s="80" t="str">
        <f t="shared" si="2"/>
        <v/>
      </c>
      <c r="AG82" s="80" t="str">
        <f t="shared" si="2"/>
        <v/>
      </c>
      <c r="AH82" s="80" t="str">
        <f t="shared" si="2"/>
        <v/>
      </c>
      <c r="AI82" s="80" t="str">
        <f t="shared" si="2"/>
        <v/>
      </c>
      <c r="AJ82" s="80" t="str">
        <f t="shared" si="2"/>
        <v/>
      </c>
      <c r="AK82" s="80" t="str">
        <f t="shared" si="2"/>
        <v/>
      </c>
    </row>
    <row r="83" spans="1:37" ht="15" customHeight="1">
      <c r="K83" s="76">
        <f>DATEVALUE("2025-10-01")</f>
        <v>45931</v>
      </c>
      <c r="L83" s="76">
        <f>DATEVALUE("2025-11-01")</f>
        <v>45962</v>
      </c>
      <c r="M83" s="76">
        <f>DATEVALUE("2025-12-01")</f>
        <v>45992</v>
      </c>
      <c r="N83" s="76">
        <f>DATEVALUE("2026-01-01")</f>
        <v>46023</v>
      </c>
      <c r="O83" s="76">
        <f>DATEVALUE("2026-02-01")</f>
        <v>46054</v>
      </c>
      <c r="P83" s="76">
        <f>DATEVALUE("2026-03-01")</f>
        <v>46082</v>
      </c>
      <c r="Q83" s="76">
        <f>DATEVALUE("2026-04-01")</f>
        <v>46113</v>
      </c>
      <c r="R83" s="76">
        <f>DATEVALUE("2026-05-01")</f>
        <v>46143</v>
      </c>
      <c r="S83" s="76">
        <f>DATEVALUE("2026-06-01")</f>
        <v>46174</v>
      </c>
      <c r="T83" s="76">
        <f>DATEVALUE("2026-07-01")</f>
        <v>46204</v>
      </c>
      <c r="U83" s="76">
        <f>DATEVALUE("2026-08-01")</f>
        <v>46235</v>
      </c>
      <c r="V83" s="76">
        <f>DATEVALUE("2026-09-01")</f>
        <v>46266</v>
      </c>
      <c r="W83" s="76">
        <f>DATEVALUE("2026-10-01")</f>
        <v>46296</v>
      </c>
      <c r="X83" s="76">
        <f>DATEVALUE("2026-11-01")</f>
        <v>46327</v>
      </c>
      <c r="Y83" s="76">
        <f>DATEVALUE("2026-12-01")</f>
        <v>46357</v>
      </c>
      <c r="Z83" s="76">
        <f>DATEVALUE("2027-01-01")</f>
        <v>46388</v>
      </c>
      <c r="AA83" s="76">
        <f>DATEVALUE("2027-02-01")</f>
        <v>46419</v>
      </c>
      <c r="AB83" s="76">
        <f>DATEVALUE("2027-03-01")</f>
        <v>46447</v>
      </c>
      <c r="AC83" s="76">
        <f>DATEVALUE("2027-04-01")</f>
        <v>46478</v>
      </c>
      <c r="AD83" s="76">
        <f>DATEVALUE("2027-05-01")</f>
        <v>46508</v>
      </c>
      <c r="AE83" s="76">
        <f>DATEVALUE("2027-06-01")</f>
        <v>46539</v>
      </c>
      <c r="AF83" s="76">
        <f>DATEVALUE("2027-07-01")</f>
        <v>46569</v>
      </c>
      <c r="AG83" s="76">
        <f>DATEVALUE("2027-08-01")</f>
        <v>46600</v>
      </c>
      <c r="AH83" s="76">
        <f>DATEVALUE("2027-09-01")</f>
        <v>46631</v>
      </c>
      <c r="AI83" s="76">
        <f>DATEVALUE("2027-10-01")</f>
        <v>46661</v>
      </c>
      <c r="AJ83" s="76">
        <f>DATEVALUE("2027-11-01")</f>
        <v>46692</v>
      </c>
      <c r="AK83" s="76">
        <f>DATEVALUE("2027-12-01")</f>
        <v>46722</v>
      </c>
    </row>
    <row r="90" spans="1:37" ht="15" customHeight="1">
      <c r="B90"/>
      <c r="C90"/>
      <c r="D90"/>
      <c r="E90"/>
      <c r="F90"/>
      <c r="G90"/>
      <c r="H90"/>
      <c r="I90"/>
      <c r="J90"/>
      <c r="K90"/>
      <c r="L90"/>
      <c r="M90"/>
      <c r="N90"/>
      <c r="O90"/>
      <c r="P90"/>
      <c r="Q90"/>
      <c r="R90"/>
      <c r="S90"/>
      <c r="T90"/>
      <c r="U90"/>
      <c r="V90"/>
      <c r="W90"/>
      <c r="X90"/>
      <c r="Y90"/>
      <c r="Z90"/>
      <c r="AA90"/>
      <c r="AB90"/>
      <c r="AC90"/>
      <c r="AD90"/>
      <c r="AE90"/>
      <c r="AF90"/>
      <c r="AG90"/>
      <c r="AH90"/>
      <c r="AI90"/>
      <c r="AJ90"/>
      <c r="AK90"/>
    </row>
    <row r="91" spans="1:37" ht="15" customHeight="1">
      <c r="B91"/>
      <c r="C91"/>
      <c r="D91"/>
      <c r="E91"/>
      <c r="F91"/>
      <c r="G91"/>
      <c r="H91"/>
      <c r="I91"/>
      <c r="J91"/>
      <c r="K91"/>
      <c r="L91"/>
      <c r="M91"/>
      <c r="N91"/>
      <c r="O91"/>
      <c r="P91"/>
      <c r="Q91"/>
      <c r="R91"/>
      <c r="S91"/>
      <c r="T91"/>
      <c r="U91"/>
      <c r="V91"/>
      <c r="W91"/>
      <c r="X91"/>
      <c r="Y91"/>
      <c r="Z91"/>
      <c r="AA91"/>
      <c r="AB91"/>
      <c r="AC91"/>
      <c r="AD91"/>
      <c r="AE91"/>
      <c r="AF91"/>
      <c r="AG91"/>
      <c r="AH91"/>
      <c r="AI91"/>
      <c r="AJ91"/>
      <c r="AK91"/>
    </row>
    <row r="92" spans="1:37" ht="15" customHeight="1">
      <c r="B92"/>
      <c r="C92"/>
      <c r="D92"/>
      <c r="E92"/>
      <c r="F92"/>
      <c r="G92"/>
      <c r="H92"/>
      <c r="I92"/>
      <c r="J92"/>
      <c r="K92"/>
      <c r="L92"/>
      <c r="M92"/>
      <c r="N92"/>
      <c r="O92"/>
      <c r="P92"/>
      <c r="Q92"/>
      <c r="R92"/>
      <c r="S92"/>
      <c r="T92"/>
      <c r="U92"/>
      <c r="V92"/>
      <c r="W92"/>
      <c r="X92"/>
      <c r="Y92"/>
      <c r="Z92"/>
      <c r="AA92"/>
      <c r="AB92"/>
      <c r="AC92"/>
      <c r="AD92"/>
      <c r="AE92"/>
      <c r="AF92"/>
      <c r="AG92"/>
      <c r="AH92"/>
      <c r="AI92"/>
      <c r="AJ92"/>
      <c r="AK92"/>
    </row>
    <row r="93" spans="1:37" ht="15" customHeight="1">
      <c r="B93"/>
      <c r="C93"/>
      <c r="D93"/>
      <c r="E93"/>
      <c r="F93"/>
      <c r="G93"/>
      <c r="H93"/>
      <c r="I93"/>
      <c r="J93"/>
      <c r="K93"/>
      <c r="L93"/>
      <c r="M93"/>
      <c r="N93"/>
      <c r="O93"/>
      <c r="P93"/>
      <c r="Q93"/>
      <c r="R93"/>
      <c r="S93"/>
      <c r="T93"/>
      <c r="U93"/>
      <c r="V93"/>
      <c r="W93"/>
      <c r="X93"/>
      <c r="Y93"/>
      <c r="Z93"/>
      <c r="AA93"/>
      <c r="AB93"/>
      <c r="AC93"/>
      <c r="AD93"/>
      <c r="AE93"/>
      <c r="AF93"/>
      <c r="AG93"/>
      <c r="AH93"/>
      <c r="AI93"/>
      <c r="AJ93"/>
      <c r="AK93"/>
    </row>
    <row r="94" spans="1:37" ht="15" customHeight="1">
      <c r="B94"/>
      <c r="C94"/>
      <c r="D94"/>
      <c r="E94"/>
      <c r="F94"/>
      <c r="G94"/>
      <c r="H94"/>
      <c r="I94"/>
      <c r="J94"/>
      <c r="K94"/>
      <c r="L94"/>
      <c r="M94"/>
      <c r="N94"/>
      <c r="O94"/>
      <c r="P94"/>
      <c r="Q94"/>
      <c r="R94"/>
      <c r="S94"/>
      <c r="T94"/>
      <c r="U94"/>
      <c r="V94"/>
      <c r="W94"/>
      <c r="X94"/>
      <c r="Y94"/>
      <c r="Z94"/>
      <c r="AA94"/>
      <c r="AB94"/>
      <c r="AC94"/>
      <c r="AD94"/>
      <c r="AE94"/>
      <c r="AF94"/>
      <c r="AG94"/>
      <c r="AH94"/>
      <c r="AI94"/>
      <c r="AJ94"/>
      <c r="AK94"/>
    </row>
    <row r="95" spans="1:37" ht="15" customHeight="1">
      <c r="B95"/>
      <c r="C95"/>
      <c r="D95"/>
      <c r="E95"/>
      <c r="F95"/>
      <c r="G95"/>
      <c r="H95"/>
      <c r="I95"/>
      <c r="J95"/>
      <c r="K95"/>
      <c r="L95"/>
      <c r="M95"/>
      <c r="N95"/>
      <c r="O95"/>
      <c r="P95"/>
      <c r="Q95"/>
      <c r="R95"/>
      <c r="S95"/>
      <c r="T95"/>
      <c r="U95"/>
      <c r="V95"/>
      <c r="W95"/>
      <c r="X95"/>
      <c r="Y95"/>
      <c r="Z95"/>
      <c r="AA95"/>
      <c r="AB95"/>
      <c r="AC95"/>
      <c r="AD95"/>
      <c r="AE95"/>
      <c r="AF95"/>
      <c r="AG95"/>
      <c r="AH95"/>
      <c r="AI95"/>
      <c r="AJ95"/>
      <c r="AK95"/>
    </row>
    <row r="96" spans="1:37" ht="15" customHeight="1">
      <c r="B96"/>
      <c r="C96"/>
      <c r="D96"/>
      <c r="E96"/>
      <c r="F96"/>
      <c r="G96"/>
      <c r="H96"/>
      <c r="I96"/>
      <c r="J96"/>
      <c r="K96"/>
      <c r="L96"/>
      <c r="M96"/>
      <c r="N96"/>
      <c r="O96"/>
      <c r="P96"/>
      <c r="Q96"/>
      <c r="R96"/>
      <c r="S96"/>
      <c r="T96"/>
      <c r="U96"/>
      <c r="V96"/>
      <c r="W96"/>
      <c r="X96"/>
      <c r="Y96"/>
      <c r="Z96"/>
      <c r="AA96"/>
      <c r="AB96"/>
      <c r="AC96"/>
      <c r="AD96"/>
      <c r="AE96"/>
      <c r="AF96"/>
      <c r="AG96"/>
      <c r="AH96"/>
      <c r="AI96"/>
      <c r="AJ96"/>
      <c r="AK96"/>
    </row>
    <row r="97" spans="2:37" ht="15" customHeight="1">
      <c r="B97"/>
      <c r="C97"/>
      <c r="D97"/>
      <c r="E97"/>
      <c r="F97"/>
      <c r="G97"/>
      <c r="H97"/>
      <c r="I97"/>
      <c r="J97"/>
      <c r="K97"/>
      <c r="L97"/>
      <c r="M97"/>
      <c r="N97"/>
      <c r="O97"/>
      <c r="P97"/>
      <c r="Q97"/>
      <c r="R97"/>
      <c r="S97"/>
      <c r="T97"/>
      <c r="U97"/>
      <c r="V97"/>
      <c r="W97"/>
      <c r="X97"/>
      <c r="Y97"/>
      <c r="Z97"/>
      <c r="AA97"/>
      <c r="AB97"/>
      <c r="AC97"/>
      <c r="AD97"/>
      <c r="AE97"/>
      <c r="AF97"/>
      <c r="AG97"/>
      <c r="AH97"/>
      <c r="AI97"/>
      <c r="AJ97"/>
      <c r="AK97"/>
    </row>
    <row r="98" spans="2:37" ht="15" customHeight="1">
      <c r="B98"/>
      <c r="C98"/>
      <c r="D98"/>
      <c r="E98"/>
      <c r="F98"/>
      <c r="G98"/>
      <c r="H98"/>
      <c r="I98"/>
      <c r="J98"/>
      <c r="K98"/>
      <c r="L98"/>
      <c r="M98"/>
      <c r="N98"/>
      <c r="O98"/>
      <c r="P98"/>
      <c r="Q98"/>
      <c r="R98"/>
      <c r="S98"/>
      <c r="T98"/>
      <c r="U98"/>
      <c r="V98"/>
      <c r="W98"/>
      <c r="X98"/>
      <c r="Y98"/>
      <c r="Z98"/>
      <c r="AA98"/>
      <c r="AB98"/>
      <c r="AC98"/>
      <c r="AD98"/>
      <c r="AE98"/>
      <c r="AF98"/>
      <c r="AG98"/>
      <c r="AH98"/>
      <c r="AI98"/>
      <c r="AJ98"/>
      <c r="AK98"/>
    </row>
    <row r="99" spans="2:37" ht="15" customHeight="1">
      <c r="B99"/>
      <c r="C99"/>
      <c r="D99"/>
      <c r="E99"/>
      <c r="F99"/>
      <c r="G99"/>
      <c r="H99"/>
      <c r="I99"/>
      <c r="J99"/>
      <c r="K99"/>
      <c r="L99"/>
      <c r="M99"/>
      <c r="N99"/>
      <c r="O99"/>
      <c r="P99"/>
      <c r="Q99"/>
      <c r="R99"/>
      <c r="S99"/>
      <c r="T99"/>
      <c r="U99"/>
      <c r="V99"/>
      <c r="W99"/>
      <c r="X99"/>
      <c r="Y99"/>
      <c r="Z99"/>
      <c r="AA99"/>
      <c r="AB99"/>
      <c r="AC99"/>
      <c r="AD99"/>
      <c r="AE99"/>
      <c r="AF99"/>
      <c r="AG99"/>
      <c r="AH99"/>
      <c r="AI99"/>
      <c r="AJ99"/>
      <c r="AK99"/>
    </row>
    <row r="100" spans="2:37" ht="15" customHeight="1">
      <c r="B100"/>
      <c r="C100"/>
      <c r="D100"/>
      <c r="E100"/>
      <c r="F100"/>
      <c r="G100"/>
      <c r="H100"/>
      <c r="J100"/>
      <c r="K100"/>
      <c r="L100"/>
      <c r="M100"/>
      <c r="N100"/>
      <c r="O100"/>
      <c r="P100"/>
      <c r="Q100"/>
      <c r="R100"/>
      <c r="S100"/>
      <c r="T100"/>
      <c r="U100"/>
      <c r="V100"/>
      <c r="W100"/>
      <c r="X100"/>
      <c r="Y100"/>
      <c r="Z100"/>
      <c r="AA100"/>
      <c r="AB100"/>
      <c r="AC100"/>
      <c r="AD100"/>
      <c r="AE100"/>
      <c r="AF100"/>
      <c r="AG100"/>
      <c r="AH100"/>
      <c r="AI100"/>
      <c r="AJ100"/>
      <c r="AK100"/>
    </row>
    <row r="101" spans="2:37" ht="15" customHeight="1">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row>
    <row r="102" spans="2:37" ht="15" customHeight="1">
      <c r="B102"/>
      <c r="C102"/>
      <c r="D102"/>
      <c r="E102"/>
      <c r="F102"/>
      <c r="G102"/>
      <c r="H102"/>
      <c r="I102"/>
      <c r="J102"/>
      <c r="K102"/>
      <c r="L102"/>
      <c r="M102"/>
      <c r="N102"/>
      <c r="O102"/>
      <c r="P102"/>
      <c r="Q102"/>
      <c r="R102"/>
      <c r="S102"/>
      <c r="T102"/>
      <c r="U102"/>
      <c r="V102"/>
      <c r="W102"/>
      <c r="X102"/>
      <c r="Y102"/>
      <c r="Z102"/>
      <c r="AA102"/>
      <c r="AB102"/>
      <c r="AC102"/>
      <c r="AD102"/>
      <c r="AE102"/>
      <c r="AF102"/>
      <c r="AG102"/>
      <c r="AH102"/>
      <c r="AI102"/>
      <c r="AJ102"/>
      <c r="AK102"/>
    </row>
    <row r="103" spans="2:37" ht="15" customHeight="1">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row>
    <row r="104" spans="2:37" ht="15" customHeight="1">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row>
    <row r="105" spans="2:37" ht="15" customHeight="1">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row>
    <row r="106" spans="2:37" ht="15" customHeight="1">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row>
    <row r="107" spans="2:37" ht="15" customHeight="1">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row>
    <row r="108" spans="2:37" ht="15" customHeight="1">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row>
    <row r="109" spans="2:37" ht="15" customHeight="1">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row>
    <row r="110" spans="2:37" ht="15" customHeight="1">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row>
    <row r="111" spans="2:37" ht="15" customHeight="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row>
    <row r="112" spans="2:37" ht="15" customHeight="1">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row>
    <row r="113" spans="2:37" ht="15" customHeight="1">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row>
    <row r="114" spans="2:37" ht="15" customHeight="1">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row>
    <row r="115" spans="2:37" ht="15" customHeight="1">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row>
    <row r="116" spans="2:37" ht="15" customHeight="1">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row>
    <row r="117" spans="2:37" ht="15" customHeight="1">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row>
    <row r="118" spans="2:37" ht="15" customHeight="1">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row>
    <row r="119" spans="2:37" ht="15" customHeight="1">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row>
    <row r="120" spans="2:37" ht="15" customHeight="1">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row>
    <row r="121" spans="2:37" ht="15" customHeight="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row>
    <row r="122" spans="2:37" ht="15" customHeight="1">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row>
  </sheetData>
  <autoFilter ref="A3:AN83" xr:uid="{6916525E-5876-42CF-A406-042E62FF9F4B}"/>
  <mergeCells count="7">
    <mergeCell ref="Z1:AK1"/>
    <mergeCell ref="A80:A82"/>
    <mergeCell ref="K1:M1"/>
    <mergeCell ref="A4:A5"/>
    <mergeCell ref="A6:A12"/>
    <mergeCell ref="A67:A79"/>
    <mergeCell ref="A13:A66"/>
  </mergeCells>
  <phoneticPr fontId="3" type="noConversion"/>
  <conditionalFormatting sqref="G4:G12 G57:G82">
    <cfRule type="containsText" dxfId="443" priority="780" operator="containsText" text="Full">
      <formula>NOT(ISERROR(SEARCH("Full",G4)))</formula>
    </cfRule>
    <cfRule type="containsText" dxfId="442" priority="781" operator="containsText" text="Half">
      <formula>NOT(ISERROR(SEARCH("Half",G4)))</formula>
    </cfRule>
    <cfRule type="containsText" dxfId="441" priority="782" operator="containsText" text="Minimal">
      <formula>NOT(ISERROR(SEARCH("Minimal",G4)))</formula>
    </cfRule>
  </conditionalFormatting>
  <conditionalFormatting sqref="H4:H12 H57:H82">
    <cfRule type="containsText" dxfId="440" priority="775" operator="containsText" text="Contact">
      <formula>NOT(ISERROR(SEARCH("Contact",H4)))</formula>
    </cfRule>
    <cfRule type="containsText" dxfId="439" priority="776" operator="containsText" text="NDA/Contract">
      <formula>NOT(ISERROR(SEARCH("NDA/Contract",H4)))</formula>
    </cfRule>
    <cfRule type="containsText" dxfId="438" priority="777" operator="containsText" text="In Development">
      <formula>NOT(ISERROR(SEARCH("In Development",H4)))</formula>
    </cfRule>
    <cfRule type="containsText" dxfId="437" priority="778" operator="containsText" text="Testing">
      <formula>NOT(ISERROR(SEARCH("Testing",H4)))</formula>
    </cfRule>
    <cfRule type="containsText" dxfId="436" priority="779" operator="containsText" text="Live">
      <formula>NOT(ISERROR(SEARCH("Live",H4)))</formula>
    </cfRule>
  </conditionalFormatting>
  <conditionalFormatting sqref="I4:J4 I64:J64 I3:I12 I68:J68 I70:J71 I69 I57:J62">
    <cfRule type="expression" dxfId="435" priority="762">
      <formula>AND(#REF!&lt;=1,#REF!&gt;=1)</formula>
    </cfRule>
  </conditionalFormatting>
  <conditionalFormatting sqref="I72">
    <cfRule type="expression" dxfId="434" priority="643">
      <formula>AND(#REF!&lt;=2,#REF!&gt;=2)</formula>
    </cfRule>
  </conditionalFormatting>
  <conditionalFormatting sqref="I81:I82">
    <cfRule type="expression" dxfId="433" priority="647">
      <formula>AND(#REF!&lt;=2,#REF!&gt;=2)</formula>
    </cfRule>
  </conditionalFormatting>
  <conditionalFormatting sqref="I4:J4">
    <cfRule type="expression" dxfId="432" priority="705">
      <formula>AND(#REF!&lt;=2,#REF!&gt;=2)</formula>
    </cfRule>
  </conditionalFormatting>
  <conditionalFormatting sqref="I6:J6">
    <cfRule type="expression" dxfId="431" priority="677">
      <formula>AND(#REF!&lt;=1,#REF!&gt;=1)</formula>
    </cfRule>
  </conditionalFormatting>
  <conditionalFormatting sqref="I7:J9">
    <cfRule type="expression" dxfId="430" priority="658">
      <formula>AND(#REF!&lt;=2,#REF!&gt;=2)</formula>
    </cfRule>
  </conditionalFormatting>
  <conditionalFormatting sqref="I10:J12">
    <cfRule type="expression" dxfId="429" priority="655">
      <formula>AND(#REF!&lt;=1,#REF!&gt;=1)</formula>
    </cfRule>
  </conditionalFormatting>
  <conditionalFormatting sqref="I73 I79:J79">
    <cfRule type="expression" dxfId="428" priority="617">
      <formula>AND(#REF!&lt;=1,#REF!&gt;=1)</formula>
    </cfRule>
  </conditionalFormatting>
  <conditionalFormatting sqref="I80">
    <cfRule type="expression" dxfId="427" priority="649">
      <formula>AND(#REF!&lt;=2,#REF!&gt;=2)</formula>
    </cfRule>
  </conditionalFormatting>
  <conditionalFormatting sqref="J3:J12">
    <cfRule type="expression" dxfId="426" priority="763">
      <formula>AND(#REF!&lt;=2,#REF!&gt;=2)</formula>
    </cfRule>
  </conditionalFormatting>
  <conditionalFormatting sqref="I67:J67">
    <cfRule type="expression" dxfId="425" priority="704">
      <formula>AND(#REF!&lt;=2,#REF!&gt;=2)</formula>
    </cfRule>
  </conditionalFormatting>
  <conditionalFormatting sqref="J80:J82">
    <cfRule type="expression" dxfId="424" priority="612">
      <formula>AND(#REF!&lt;=2,#REF!&gt;=2)</formula>
    </cfRule>
  </conditionalFormatting>
  <conditionalFormatting sqref="K3">
    <cfRule type="expression" dxfId="423" priority="774">
      <formula>AND(#REF!&lt;=12,#REF!&gt;=12)</formula>
    </cfRule>
  </conditionalFormatting>
  <conditionalFormatting sqref="K4:AK12">
    <cfRule type="containsText" dxfId="422" priority="783" operator="containsText" text="●">
      <formula>NOT(ISERROR(SEARCH("●",K4)))</formula>
    </cfRule>
  </conditionalFormatting>
  <conditionalFormatting sqref="K6:AK12">
    <cfRule type="containsText" dxfId="421" priority="784" operator="containsText" text="●">
      <formula>NOT(ISERROR(SEARCH("●",K6)))</formula>
    </cfRule>
  </conditionalFormatting>
  <conditionalFormatting sqref="Q67:R79 K60:AK60 L57:AK59 K62:AK64 L61:AK61 L65:AK66">
    <cfRule type="containsText" dxfId="420" priority="785" operator="containsText" text="●">
      <formula>NOT(ISERROR(SEARCH("●",K57)))</formula>
    </cfRule>
  </conditionalFormatting>
  <conditionalFormatting sqref="K80:AK82">
    <cfRule type="containsText" dxfId="419" priority="787" operator="containsText" text="●">
      <formula>NOT(ISERROR(SEARCH("●",K80)))</formula>
    </cfRule>
  </conditionalFormatting>
  <conditionalFormatting sqref="N3">
    <cfRule type="expression" dxfId="418" priority="765">
      <formula>AND(#REF!&lt;=3,#REF!&gt;=3)</formula>
    </cfRule>
  </conditionalFormatting>
  <conditionalFormatting sqref="O3">
    <cfRule type="expression" dxfId="417" priority="766">
      <formula>AND(#REF!&lt;=4,#REF!&gt;=4)</formula>
    </cfRule>
  </conditionalFormatting>
  <conditionalFormatting sqref="P3">
    <cfRule type="expression" dxfId="416" priority="767">
      <formula>AND(#REF!&lt;=5,#REF!&gt;=5)</formula>
    </cfRule>
  </conditionalFormatting>
  <conditionalFormatting sqref="P79">
    <cfRule type="containsText" dxfId="415" priority="616" operator="containsText" text="●">
      <formula>NOT(ISERROR(SEARCH("●",P79)))</formula>
    </cfRule>
  </conditionalFormatting>
  <conditionalFormatting sqref="Q3">
    <cfRule type="expression" dxfId="414" priority="768">
      <formula>AND(#REF!&lt;=6,#REF!&gt;=6)</formula>
    </cfRule>
  </conditionalFormatting>
  <conditionalFormatting sqref="R3">
    <cfRule type="expression" dxfId="413" priority="769">
      <formula>AND(#REF!&lt;=7,#REF!&gt;=7)</formula>
    </cfRule>
  </conditionalFormatting>
  <conditionalFormatting sqref="S3">
    <cfRule type="expression" dxfId="412" priority="770">
      <formula>AND(#REF!&lt;=8,#REF!&gt;=8)</formula>
    </cfRule>
  </conditionalFormatting>
  <conditionalFormatting sqref="S67">
    <cfRule type="containsText" dxfId="411" priority="613" operator="containsText" text="●">
      <formula>NOT(ISERROR(SEARCH("●",S67)))</formula>
    </cfRule>
  </conditionalFormatting>
  <conditionalFormatting sqref="T3">
    <cfRule type="expression" dxfId="410" priority="771">
      <formula>AND(#REF!&lt;=9,#REF!&gt;=9)</formula>
    </cfRule>
  </conditionalFormatting>
  <conditionalFormatting sqref="K67:P78 K79:O79 T67:AK67 S68:AK79">
    <cfRule type="containsText" dxfId="409" priority="786" operator="containsText" text="●">
      <formula>NOT(ISERROR(SEARCH("●",K67)))</formula>
    </cfRule>
  </conditionalFormatting>
  <conditionalFormatting sqref="U3">
    <cfRule type="expression" dxfId="408" priority="772">
      <formula>AND(#REF!&lt;=10,#REF!&gt;=10)</formula>
    </cfRule>
  </conditionalFormatting>
  <conditionalFormatting sqref="V3">
    <cfRule type="expression" dxfId="407" priority="773">
      <formula>AND(#REF!&lt;=11,#REF!&gt;=11)</formula>
    </cfRule>
  </conditionalFormatting>
  <conditionalFormatting sqref="W3">
    <cfRule type="expression" dxfId="406" priority="712">
      <formula>AND(#REF!&lt;=12,#REF!&gt;=12)</formula>
    </cfRule>
  </conditionalFormatting>
  <conditionalFormatting sqref="AM5">
    <cfRule type="expression" dxfId="405" priority="650">
      <formula>AND(#REF!&lt;=12,#REF!&gt;=12)</formula>
    </cfRule>
  </conditionalFormatting>
  <conditionalFormatting sqref="G13">
    <cfRule type="containsText" dxfId="404" priority="388" operator="containsText" text="Full">
      <formula>NOT(ISERROR(SEARCH("Full",G13)))</formula>
    </cfRule>
    <cfRule type="containsText" dxfId="403" priority="389" operator="containsText" text="Half">
      <formula>NOT(ISERROR(SEARCH("Half",G13)))</formula>
    </cfRule>
    <cfRule type="containsText" dxfId="402" priority="390" operator="containsText" text="Minimal">
      <formula>NOT(ISERROR(SEARCH("Minimal",G13)))</formula>
    </cfRule>
  </conditionalFormatting>
  <conditionalFormatting sqref="H13">
    <cfRule type="containsText" dxfId="401" priority="383" operator="containsText" text="Contact">
      <formula>NOT(ISERROR(SEARCH("Contact",H13)))</formula>
    </cfRule>
    <cfRule type="containsText" dxfId="400" priority="384" operator="containsText" text="NDA/Contract">
      <formula>NOT(ISERROR(SEARCH("NDA/Contract",H13)))</formula>
    </cfRule>
    <cfRule type="containsText" dxfId="399" priority="385" operator="containsText" text="In Development">
      <formula>NOT(ISERROR(SEARCH("In Development",H13)))</formula>
    </cfRule>
    <cfRule type="containsText" dxfId="398" priority="386" operator="containsText" text="Testing">
      <formula>NOT(ISERROR(SEARCH("Testing",H13)))</formula>
    </cfRule>
    <cfRule type="containsText" dxfId="397" priority="387" operator="containsText" text="Live">
      <formula>NOT(ISERROR(SEARCH("Live",H13)))</formula>
    </cfRule>
  </conditionalFormatting>
  <conditionalFormatting sqref="I13:J13">
    <cfRule type="expression" dxfId="396" priority="382">
      <formula>AND(#REF!&lt;=1,#REF!&gt;=1)</formula>
    </cfRule>
  </conditionalFormatting>
  <conditionalFormatting sqref="K13:AK13">
    <cfRule type="containsText" dxfId="395" priority="391" operator="containsText" text="●">
      <formula>NOT(ISERROR(SEARCH("●",K13)))</formula>
    </cfRule>
  </conditionalFormatting>
  <conditionalFormatting sqref="K13:AK13">
    <cfRule type="containsText" dxfId="394" priority="392" operator="containsText" text="●">
      <formula>NOT(ISERROR(SEARCH("●",K13)))</formula>
    </cfRule>
  </conditionalFormatting>
  <conditionalFormatting sqref="G14">
    <cfRule type="containsText" dxfId="393" priority="377" operator="containsText" text="Full">
      <formula>NOT(ISERROR(SEARCH("Full",G14)))</formula>
    </cfRule>
    <cfRule type="containsText" dxfId="392" priority="378" operator="containsText" text="Half">
      <formula>NOT(ISERROR(SEARCH("Half",G14)))</formula>
    </cfRule>
    <cfRule type="containsText" dxfId="391" priority="379" operator="containsText" text="Minimal">
      <formula>NOT(ISERROR(SEARCH("Minimal",G14)))</formula>
    </cfRule>
  </conditionalFormatting>
  <conditionalFormatting sqref="H14">
    <cfRule type="containsText" dxfId="390" priority="372" operator="containsText" text="Contact">
      <formula>NOT(ISERROR(SEARCH("Contact",H14)))</formula>
    </cfRule>
    <cfRule type="containsText" dxfId="389" priority="373" operator="containsText" text="NDA/Contract">
      <formula>NOT(ISERROR(SEARCH("NDA/Contract",H14)))</formula>
    </cfRule>
    <cfRule type="containsText" dxfId="388" priority="374" operator="containsText" text="In Development">
      <formula>NOT(ISERROR(SEARCH("In Development",H14)))</formula>
    </cfRule>
    <cfRule type="containsText" dxfId="387" priority="375" operator="containsText" text="Testing">
      <formula>NOT(ISERROR(SEARCH("Testing",H14)))</formula>
    </cfRule>
    <cfRule type="containsText" dxfId="386" priority="376" operator="containsText" text="Live">
      <formula>NOT(ISERROR(SEARCH("Live",H14)))</formula>
    </cfRule>
  </conditionalFormatting>
  <conditionalFormatting sqref="I14">
    <cfRule type="expression" dxfId="385" priority="371">
      <formula>AND(#REF!&lt;=1,#REF!&gt;=1)</formula>
    </cfRule>
  </conditionalFormatting>
  <conditionalFormatting sqref="J14">
    <cfRule type="expression" dxfId="384" priority="370">
      <formula>AND(#REF!&lt;=2,#REF!&gt;=2)</formula>
    </cfRule>
  </conditionalFormatting>
  <conditionalFormatting sqref="K14:AK14">
    <cfRule type="containsText" dxfId="383" priority="380" operator="containsText" text="●">
      <formula>NOT(ISERROR(SEARCH("●",K14)))</formula>
    </cfRule>
  </conditionalFormatting>
  <conditionalFormatting sqref="K14:AK14">
    <cfRule type="containsText" dxfId="382" priority="381" operator="containsText" text="●">
      <formula>NOT(ISERROR(SEARCH("●",K14)))</formula>
    </cfRule>
  </conditionalFormatting>
  <conditionalFormatting sqref="G15">
    <cfRule type="containsText" dxfId="381" priority="365" operator="containsText" text="Full">
      <formula>NOT(ISERROR(SEARCH("Full",G15)))</formula>
    </cfRule>
    <cfRule type="containsText" dxfId="380" priority="366" operator="containsText" text="Half">
      <formula>NOT(ISERROR(SEARCH("Half",G15)))</formula>
    </cfRule>
    <cfRule type="containsText" dxfId="379" priority="367" operator="containsText" text="Minimal">
      <formula>NOT(ISERROR(SEARCH("Minimal",G15)))</formula>
    </cfRule>
  </conditionalFormatting>
  <conditionalFormatting sqref="H15">
    <cfRule type="containsText" dxfId="378" priority="360" operator="containsText" text="Contact">
      <formula>NOT(ISERROR(SEARCH("Contact",H15)))</formula>
    </cfRule>
    <cfRule type="containsText" dxfId="377" priority="361" operator="containsText" text="NDA/Contract">
      <formula>NOT(ISERROR(SEARCH("NDA/Contract",H15)))</formula>
    </cfRule>
    <cfRule type="containsText" dxfId="376" priority="362" operator="containsText" text="In Development">
      <formula>NOT(ISERROR(SEARCH("In Development",H15)))</formula>
    </cfRule>
    <cfRule type="containsText" dxfId="375" priority="363" operator="containsText" text="Testing">
      <formula>NOT(ISERROR(SEARCH("Testing",H15)))</formula>
    </cfRule>
    <cfRule type="containsText" dxfId="374" priority="364" operator="containsText" text="Live">
      <formula>NOT(ISERROR(SEARCH("Live",H15)))</formula>
    </cfRule>
  </conditionalFormatting>
  <conditionalFormatting sqref="I15:J15">
    <cfRule type="expression" dxfId="373" priority="359">
      <formula>AND(#REF!&lt;=2,#REF!&gt;=2)</formula>
    </cfRule>
  </conditionalFormatting>
  <conditionalFormatting sqref="K15:AK15">
    <cfRule type="containsText" dxfId="372" priority="368" operator="containsText" text="●">
      <formula>NOT(ISERROR(SEARCH("●",K15)))</formula>
    </cfRule>
  </conditionalFormatting>
  <conditionalFormatting sqref="K15:AK15">
    <cfRule type="containsText" dxfId="371" priority="369" operator="containsText" text="●">
      <formula>NOT(ISERROR(SEARCH("●",K15)))</formula>
    </cfRule>
  </conditionalFormatting>
  <conditionalFormatting sqref="G16">
    <cfRule type="containsText" dxfId="370" priority="354" operator="containsText" text="Full">
      <formula>NOT(ISERROR(SEARCH("Full",G16)))</formula>
    </cfRule>
    <cfRule type="containsText" dxfId="369" priority="355" operator="containsText" text="Half">
      <formula>NOT(ISERROR(SEARCH("Half",G16)))</formula>
    </cfRule>
    <cfRule type="containsText" dxfId="368" priority="356" operator="containsText" text="Minimal">
      <formula>NOT(ISERROR(SEARCH("Minimal",G16)))</formula>
    </cfRule>
  </conditionalFormatting>
  <conditionalFormatting sqref="H16">
    <cfRule type="containsText" dxfId="367" priority="349" operator="containsText" text="Contact">
      <formula>NOT(ISERROR(SEARCH("Contact",H16)))</formula>
    </cfRule>
    <cfRule type="containsText" dxfId="366" priority="350" operator="containsText" text="NDA/Contract">
      <formula>NOT(ISERROR(SEARCH("NDA/Contract",H16)))</formula>
    </cfRule>
    <cfRule type="containsText" dxfId="365" priority="351" operator="containsText" text="In Development">
      <formula>NOT(ISERROR(SEARCH("In Development",H16)))</formula>
    </cfRule>
    <cfRule type="containsText" dxfId="364" priority="352" operator="containsText" text="Testing">
      <formula>NOT(ISERROR(SEARCH("Testing",H16)))</formula>
    </cfRule>
    <cfRule type="containsText" dxfId="363" priority="353" operator="containsText" text="Live">
      <formula>NOT(ISERROR(SEARCH("Live",H16)))</formula>
    </cfRule>
  </conditionalFormatting>
  <conditionalFormatting sqref="I16">
    <cfRule type="expression" dxfId="362" priority="347">
      <formula>AND(#REF!&lt;=2,#REF!&gt;=2)</formula>
    </cfRule>
  </conditionalFormatting>
  <conditionalFormatting sqref="J16">
    <cfRule type="expression" dxfId="361" priority="348">
      <formula>AND(#REF!&lt;=2,#REF!&gt;=2)</formula>
    </cfRule>
  </conditionalFormatting>
  <conditionalFormatting sqref="K16:R16 T16:AK16">
    <cfRule type="containsText" dxfId="360" priority="357" operator="containsText" text="●">
      <formula>NOT(ISERROR(SEARCH("●",K16)))</formula>
    </cfRule>
  </conditionalFormatting>
  <conditionalFormatting sqref="K16:R16 T16:AK16">
    <cfRule type="containsText" dxfId="359" priority="358" operator="containsText" text="●">
      <formula>NOT(ISERROR(SEARCH("●",K16)))</formula>
    </cfRule>
  </conditionalFormatting>
  <conditionalFormatting sqref="G17">
    <cfRule type="containsText" dxfId="358" priority="342" operator="containsText" text="Full">
      <formula>NOT(ISERROR(SEARCH("Full",G17)))</formula>
    </cfRule>
    <cfRule type="containsText" dxfId="357" priority="343" operator="containsText" text="Half">
      <formula>NOT(ISERROR(SEARCH("Half",G17)))</formula>
    </cfRule>
    <cfRule type="containsText" dxfId="356" priority="344" operator="containsText" text="Minimal">
      <formula>NOT(ISERROR(SEARCH("Minimal",G17)))</formula>
    </cfRule>
  </conditionalFormatting>
  <conditionalFormatting sqref="H17">
    <cfRule type="containsText" dxfId="355" priority="337" operator="containsText" text="Contact">
      <formula>NOT(ISERROR(SEARCH("Contact",H17)))</formula>
    </cfRule>
    <cfRule type="containsText" dxfId="354" priority="338" operator="containsText" text="NDA/Contract">
      <formula>NOT(ISERROR(SEARCH("NDA/Contract",H17)))</formula>
    </cfRule>
    <cfRule type="containsText" dxfId="353" priority="339" operator="containsText" text="In Development">
      <formula>NOT(ISERROR(SEARCH("In Development",H17)))</formula>
    </cfRule>
    <cfRule type="containsText" dxfId="352" priority="340" operator="containsText" text="Testing">
      <formula>NOT(ISERROR(SEARCH("Testing",H17)))</formula>
    </cfRule>
    <cfRule type="containsText" dxfId="351" priority="341" operator="containsText" text="Live">
      <formula>NOT(ISERROR(SEARCH("Live",H17)))</formula>
    </cfRule>
  </conditionalFormatting>
  <conditionalFormatting sqref="I17">
    <cfRule type="expression" dxfId="350" priority="335">
      <formula>AND(#REF!&lt;=1,#REF!&gt;=1)</formula>
    </cfRule>
  </conditionalFormatting>
  <conditionalFormatting sqref="J17">
    <cfRule type="expression" dxfId="349" priority="336">
      <formula>AND(#REF!&lt;=2,#REF!&gt;=2)</formula>
    </cfRule>
  </conditionalFormatting>
  <conditionalFormatting sqref="K17:AK17">
    <cfRule type="containsText" dxfId="348" priority="345" operator="containsText" text="●">
      <formula>NOT(ISERROR(SEARCH("●",K17)))</formula>
    </cfRule>
  </conditionalFormatting>
  <conditionalFormatting sqref="K17:AK17">
    <cfRule type="containsText" dxfId="347" priority="346" operator="containsText" text="●">
      <formula>NOT(ISERROR(SEARCH("●",K17)))</formula>
    </cfRule>
  </conditionalFormatting>
  <conditionalFormatting sqref="G18">
    <cfRule type="containsText" dxfId="346" priority="331" operator="containsText" text="Full">
      <formula>NOT(ISERROR(SEARCH("Full",G18)))</formula>
    </cfRule>
    <cfRule type="containsText" dxfId="345" priority="332" operator="containsText" text="Half">
      <formula>NOT(ISERROR(SEARCH("Half",G18)))</formula>
    </cfRule>
    <cfRule type="containsText" dxfId="344" priority="333" operator="containsText" text="Minimal">
      <formula>NOT(ISERROR(SEARCH("Minimal",G18)))</formula>
    </cfRule>
  </conditionalFormatting>
  <conditionalFormatting sqref="H18">
    <cfRule type="containsText" dxfId="343" priority="326" operator="containsText" text="Contact">
      <formula>NOT(ISERROR(SEARCH("Contact",H18)))</formula>
    </cfRule>
    <cfRule type="containsText" dxfId="342" priority="327" operator="containsText" text="NDA/Contract">
      <formula>NOT(ISERROR(SEARCH("NDA/Contract",H18)))</formula>
    </cfRule>
    <cfRule type="containsText" dxfId="341" priority="328" operator="containsText" text="In Development">
      <formula>NOT(ISERROR(SEARCH("In Development",H18)))</formula>
    </cfRule>
    <cfRule type="containsText" dxfId="340" priority="329" operator="containsText" text="Testing">
      <formula>NOT(ISERROR(SEARCH("Testing",H18)))</formula>
    </cfRule>
    <cfRule type="containsText" dxfId="339" priority="330" operator="containsText" text="Live">
      <formula>NOT(ISERROR(SEARCH("Live",H18)))</formula>
    </cfRule>
  </conditionalFormatting>
  <conditionalFormatting sqref="I18:J18">
    <cfRule type="expression" dxfId="338" priority="324">
      <formula>AND(#REF!&lt;=1,#REF!&gt;=1)</formula>
    </cfRule>
  </conditionalFormatting>
  <conditionalFormatting sqref="J18">
    <cfRule type="expression" dxfId="337" priority="325">
      <formula>AND(#REF!&lt;=1,#REF!&gt;=1)</formula>
    </cfRule>
  </conditionalFormatting>
  <conditionalFormatting sqref="K18:P18 R18:AK18">
    <cfRule type="containsText" dxfId="336" priority="334" operator="containsText" text="●">
      <formula>NOT(ISERROR(SEARCH("●",K18)))</formula>
    </cfRule>
  </conditionalFormatting>
  <conditionalFormatting sqref="G19">
    <cfRule type="containsText" dxfId="335" priority="320" operator="containsText" text="Full">
      <formula>NOT(ISERROR(SEARCH("Full",G19)))</formula>
    </cfRule>
    <cfRule type="containsText" dxfId="334" priority="321" operator="containsText" text="Half">
      <formula>NOT(ISERROR(SEARCH("Half",G19)))</formula>
    </cfRule>
    <cfRule type="containsText" dxfId="333" priority="322" operator="containsText" text="Minimal">
      <formula>NOT(ISERROR(SEARCH("Minimal",G19)))</formula>
    </cfRule>
  </conditionalFormatting>
  <conditionalFormatting sqref="H19">
    <cfRule type="containsText" dxfId="332" priority="315" operator="containsText" text="Contact">
      <formula>NOT(ISERROR(SEARCH("Contact",H19)))</formula>
    </cfRule>
    <cfRule type="containsText" dxfId="331" priority="316" operator="containsText" text="NDA/Contract">
      <formula>NOT(ISERROR(SEARCH("NDA/Contract",H19)))</formula>
    </cfRule>
    <cfRule type="containsText" dxfId="330" priority="317" operator="containsText" text="In Development">
      <formula>NOT(ISERROR(SEARCH("In Development",H19)))</formula>
    </cfRule>
    <cfRule type="containsText" dxfId="329" priority="318" operator="containsText" text="Testing">
      <formula>NOT(ISERROR(SEARCH("Testing",H19)))</formula>
    </cfRule>
    <cfRule type="containsText" dxfId="328" priority="319" operator="containsText" text="Live">
      <formula>NOT(ISERROR(SEARCH("Live",H19)))</formula>
    </cfRule>
  </conditionalFormatting>
  <conditionalFormatting sqref="I19:J19">
    <cfRule type="expression" dxfId="327" priority="313">
      <formula>AND(#REF!&lt;=1,#REF!&gt;=1)</formula>
    </cfRule>
  </conditionalFormatting>
  <conditionalFormatting sqref="K19:Q19 S19:AK19">
    <cfRule type="containsText" dxfId="326" priority="323" operator="containsText" text="●">
      <formula>NOT(ISERROR(SEARCH("●",K19)))</formula>
    </cfRule>
  </conditionalFormatting>
  <conditionalFormatting sqref="G20">
    <cfRule type="containsText" dxfId="325" priority="308" operator="containsText" text="Full">
      <formula>NOT(ISERROR(SEARCH("Full",G20)))</formula>
    </cfRule>
    <cfRule type="containsText" dxfId="324" priority="309" operator="containsText" text="Half">
      <formula>NOT(ISERROR(SEARCH("Half",G20)))</formula>
    </cfRule>
    <cfRule type="containsText" dxfId="323" priority="310" operator="containsText" text="Minimal">
      <formula>NOT(ISERROR(SEARCH("Minimal",G20)))</formula>
    </cfRule>
  </conditionalFormatting>
  <conditionalFormatting sqref="H20">
    <cfRule type="containsText" dxfId="322" priority="303" operator="containsText" text="Contact">
      <formula>NOT(ISERROR(SEARCH("Contact",H20)))</formula>
    </cfRule>
    <cfRule type="containsText" dxfId="321" priority="304" operator="containsText" text="NDA/Contract">
      <formula>NOT(ISERROR(SEARCH("NDA/Contract",H20)))</formula>
    </cfRule>
    <cfRule type="containsText" dxfId="320" priority="305" operator="containsText" text="In Development">
      <formula>NOT(ISERROR(SEARCH("In Development",H20)))</formula>
    </cfRule>
    <cfRule type="containsText" dxfId="319" priority="306" operator="containsText" text="Testing">
      <formula>NOT(ISERROR(SEARCH("Testing",H20)))</formula>
    </cfRule>
    <cfRule type="containsText" dxfId="318" priority="307" operator="containsText" text="Live">
      <formula>NOT(ISERROR(SEARCH("Live",H20)))</formula>
    </cfRule>
  </conditionalFormatting>
  <conditionalFormatting sqref="I20:J20">
    <cfRule type="expression" dxfId="317" priority="302">
      <formula>AND(#REF!&lt;=2,#REF!&gt;=2)</formula>
    </cfRule>
  </conditionalFormatting>
  <conditionalFormatting sqref="K20:AK20">
    <cfRule type="containsText" dxfId="316" priority="311" operator="containsText" text="●">
      <formula>NOT(ISERROR(SEARCH("●",K20)))</formula>
    </cfRule>
  </conditionalFormatting>
  <conditionalFormatting sqref="K20:AK20">
    <cfRule type="containsText" dxfId="315" priority="312" operator="containsText" text="●">
      <formula>NOT(ISERROR(SEARCH("●",K20)))</formula>
    </cfRule>
  </conditionalFormatting>
  <conditionalFormatting sqref="G21">
    <cfRule type="containsText" dxfId="314" priority="297" operator="containsText" text="Full">
      <formula>NOT(ISERROR(SEARCH("Full",G21)))</formula>
    </cfRule>
    <cfRule type="containsText" dxfId="313" priority="298" operator="containsText" text="Half">
      <formula>NOT(ISERROR(SEARCH("Half",G21)))</formula>
    </cfRule>
    <cfRule type="containsText" dxfId="312" priority="299" operator="containsText" text="Minimal">
      <formula>NOT(ISERROR(SEARCH("Minimal",G21)))</formula>
    </cfRule>
  </conditionalFormatting>
  <conditionalFormatting sqref="H21">
    <cfRule type="containsText" dxfId="311" priority="292" operator="containsText" text="Contact">
      <formula>NOT(ISERROR(SEARCH("Contact",H21)))</formula>
    </cfRule>
    <cfRule type="containsText" dxfId="310" priority="293" operator="containsText" text="NDA/Contract">
      <formula>NOT(ISERROR(SEARCH("NDA/Contract",H21)))</formula>
    </cfRule>
    <cfRule type="containsText" dxfId="309" priority="294" operator="containsText" text="In Development">
      <formula>NOT(ISERROR(SEARCH("In Development",H21)))</formula>
    </cfRule>
    <cfRule type="containsText" dxfId="308" priority="295" operator="containsText" text="Testing">
      <formula>NOT(ISERROR(SEARCH("Testing",H21)))</formula>
    </cfRule>
    <cfRule type="containsText" dxfId="307" priority="296" operator="containsText" text="Live">
      <formula>NOT(ISERROR(SEARCH("Live",H21)))</formula>
    </cfRule>
  </conditionalFormatting>
  <conditionalFormatting sqref="I21">
    <cfRule type="expression" dxfId="306" priority="290">
      <formula>AND(#REF!&lt;=2,#REF!&gt;=2)</formula>
    </cfRule>
  </conditionalFormatting>
  <conditionalFormatting sqref="J21">
    <cfRule type="expression" dxfId="305" priority="291">
      <formula>AND(#REF!&lt;=2,#REF!&gt;=2)</formula>
    </cfRule>
  </conditionalFormatting>
  <conditionalFormatting sqref="K21:AK21">
    <cfRule type="containsText" dxfId="304" priority="300" operator="containsText" text="●">
      <formula>NOT(ISERROR(SEARCH("●",K21)))</formula>
    </cfRule>
  </conditionalFormatting>
  <conditionalFormatting sqref="K21:AK21">
    <cfRule type="containsText" dxfId="303" priority="301" operator="containsText" text="●">
      <formula>NOT(ISERROR(SEARCH("●",K21)))</formula>
    </cfRule>
  </conditionalFormatting>
  <conditionalFormatting sqref="G22">
    <cfRule type="containsText" dxfId="302" priority="285" operator="containsText" text="Full">
      <formula>NOT(ISERROR(SEARCH("Full",G22)))</formula>
    </cfRule>
    <cfRule type="containsText" dxfId="301" priority="286" operator="containsText" text="Half">
      <formula>NOT(ISERROR(SEARCH("Half",G22)))</formula>
    </cfRule>
    <cfRule type="containsText" dxfId="300" priority="287" operator="containsText" text="Minimal">
      <formula>NOT(ISERROR(SEARCH("Minimal",G22)))</formula>
    </cfRule>
  </conditionalFormatting>
  <conditionalFormatting sqref="H22">
    <cfRule type="containsText" dxfId="299" priority="280" operator="containsText" text="Contact">
      <formula>NOT(ISERROR(SEARCH("Contact",H22)))</formula>
    </cfRule>
    <cfRule type="containsText" dxfId="298" priority="281" operator="containsText" text="NDA/Contract">
      <formula>NOT(ISERROR(SEARCH("NDA/Contract",H22)))</formula>
    </cfRule>
    <cfRule type="containsText" dxfId="297" priority="282" operator="containsText" text="In Development">
      <formula>NOT(ISERROR(SEARCH("In Development",H22)))</formula>
    </cfRule>
    <cfRule type="containsText" dxfId="296" priority="283" operator="containsText" text="Testing">
      <formula>NOT(ISERROR(SEARCH("Testing",H22)))</formula>
    </cfRule>
    <cfRule type="containsText" dxfId="295" priority="284" operator="containsText" text="Live">
      <formula>NOT(ISERROR(SEARCH("Live",H22)))</formula>
    </cfRule>
  </conditionalFormatting>
  <conditionalFormatting sqref="I22">
    <cfRule type="expression" dxfId="294" priority="278">
      <formula>AND(#REF!&lt;=2,#REF!&gt;=2)</formula>
    </cfRule>
  </conditionalFormatting>
  <conditionalFormatting sqref="J22">
    <cfRule type="expression" dxfId="293" priority="279">
      <formula>AND(#REF!&lt;=2,#REF!&gt;=2)</formula>
    </cfRule>
  </conditionalFormatting>
  <conditionalFormatting sqref="K22:AK22">
    <cfRule type="containsText" dxfId="292" priority="288" operator="containsText" text="●">
      <formula>NOT(ISERROR(SEARCH("●",K22)))</formula>
    </cfRule>
  </conditionalFormatting>
  <conditionalFormatting sqref="K22:AK22">
    <cfRule type="containsText" dxfId="291" priority="289" operator="containsText" text="●">
      <formula>NOT(ISERROR(SEARCH("●",K22)))</formula>
    </cfRule>
  </conditionalFormatting>
  <conditionalFormatting sqref="G23">
    <cfRule type="containsText" dxfId="290" priority="273" operator="containsText" text="Full">
      <formula>NOT(ISERROR(SEARCH("Full",G23)))</formula>
    </cfRule>
    <cfRule type="containsText" dxfId="289" priority="274" operator="containsText" text="Half">
      <formula>NOT(ISERROR(SEARCH("Half",G23)))</formula>
    </cfRule>
    <cfRule type="containsText" dxfId="288" priority="275" operator="containsText" text="Minimal">
      <formula>NOT(ISERROR(SEARCH("Minimal",G23)))</formula>
    </cfRule>
  </conditionalFormatting>
  <conditionalFormatting sqref="H23">
    <cfRule type="containsText" dxfId="287" priority="268" operator="containsText" text="Contact">
      <formula>NOT(ISERROR(SEARCH("Contact",H23)))</formula>
    </cfRule>
    <cfRule type="containsText" dxfId="286" priority="269" operator="containsText" text="NDA/Contract">
      <formula>NOT(ISERROR(SEARCH("NDA/Contract",H23)))</formula>
    </cfRule>
    <cfRule type="containsText" dxfId="285" priority="270" operator="containsText" text="In Development">
      <formula>NOT(ISERROR(SEARCH("In Development",H23)))</formula>
    </cfRule>
    <cfRule type="containsText" dxfId="284" priority="271" operator="containsText" text="Testing">
      <formula>NOT(ISERROR(SEARCH("Testing",H23)))</formula>
    </cfRule>
    <cfRule type="containsText" dxfId="283" priority="272" operator="containsText" text="Live">
      <formula>NOT(ISERROR(SEARCH("Live",H23)))</formula>
    </cfRule>
  </conditionalFormatting>
  <conditionalFormatting sqref="I23">
    <cfRule type="expression" dxfId="282" priority="266">
      <formula>AND(#REF!&lt;=2,#REF!&gt;=2)</formula>
    </cfRule>
  </conditionalFormatting>
  <conditionalFormatting sqref="J23">
    <cfRule type="expression" dxfId="281" priority="267">
      <formula>AND(#REF!&lt;=2,#REF!&gt;=2)</formula>
    </cfRule>
  </conditionalFormatting>
  <conditionalFormatting sqref="K23:AK23">
    <cfRule type="containsText" dxfId="280" priority="276" operator="containsText" text="●">
      <formula>NOT(ISERROR(SEARCH("●",K23)))</formula>
    </cfRule>
  </conditionalFormatting>
  <conditionalFormatting sqref="K23:AK23">
    <cfRule type="containsText" dxfId="279" priority="277" operator="containsText" text="●">
      <formula>NOT(ISERROR(SEARCH("●",K23)))</formula>
    </cfRule>
  </conditionalFormatting>
  <conditionalFormatting sqref="G24">
    <cfRule type="containsText" dxfId="278" priority="261" operator="containsText" text="Full">
      <formula>NOT(ISERROR(SEARCH("Full",G24)))</formula>
    </cfRule>
    <cfRule type="containsText" dxfId="277" priority="262" operator="containsText" text="Half">
      <formula>NOT(ISERROR(SEARCH("Half",G24)))</formula>
    </cfRule>
    <cfRule type="containsText" dxfId="276" priority="263" operator="containsText" text="Minimal">
      <formula>NOT(ISERROR(SEARCH("Minimal",G24)))</formula>
    </cfRule>
  </conditionalFormatting>
  <conditionalFormatting sqref="H24:H33">
    <cfRule type="containsText" dxfId="275" priority="256" operator="containsText" text="Contact">
      <formula>NOT(ISERROR(SEARCH("Contact",H24)))</formula>
    </cfRule>
    <cfRule type="containsText" dxfId="274" priority="257" operator="containsText" text="NDA/Contract">
      <formula>NOT(ISERROR(SEARCH("NDA/Contract",H24)))</formula>
    </cfRule>
    <cfRule type="containsText" dxfId="273" priority="258" operator="containsText" text="In Development">
      <formula>NOT(ISERROR(SEARCH("In Development",H24)))</formula>
    </cfRule>
    <cfRule type="containsText" dxfId="272" priority="259" operator="containsText" text="Testing">
      <formula>NOT(ISERROR(SEARCH("Testing",H24)))</formula>
    </cfRule>
    <cfRule type="containsText" dxfId="271" priority="260" operator="containsText" text="Live">
      <formula>NOT(ISERROR(SEARCH("Live",H24)))</formula>
    </cfRule>
  </conditionalFormatting>
  <conditionalFormatting sqref="J24:J33">
    <cfRule type="expression" dxfId="270" priority="255">
      <formula>AND(#REF!&lt;=1,#REF!&gt;=1)</formula>
    </cfRule>
  </conditionalFormatting>
  <conditionalFormatting sqref="I24:I33">
    <cfRule type="expression" dxfId="269" priority="254">
      <formula>AND(#REF!&lt;=2,#REF!&gt;=2)</formula>
    </cfRule>
  </conditionalFormatting>
  <conditionalFormatting sqref="K24:AK33">
    <cfRule type="containsText" dxfId="268" priority="264" operator="containsText" text="●">
      <formula>NOT(ISERROR(SEARCH("●",K24)))</formula>
    </cfRule>
  </conditionalFormatting>
  <conditionalFormatting sqref="K24:AK33">
    <cfRule type="containsText" dxfId="267" priority="265" operator="containsText" text="●">
      <formula>NOT(ISERROR(SEARCH("●",K24)))</formula>
    </cfRule>
  </conditionalFormatting>
  <conditionalFormatting sqref="G25:G34">
    <cfRule type="containsText" dxfId="266" priority="249" operator="containsText" text="Full">
      <formula>NOT(ISERROR(SEARCH("Full",G25)))</formula>
    </cfRule>
    <cfRule type="containsText" dxfId="265" priority="250" operator="containsText" text="Half">
      <formula>NOT(ISERROR(SEARCH("Half",G25)))</formula>
    </cfRule>
    <cfRule type="containsText" dxfId="264" priority="251" operator="containsText" text="Minimal">
      <formula>NOT(ISERROR(SEARCH("Minimal",G25)))</formula>
    </cfRule>
  </conditionalFormatting>
  <conditionalFormatting sqref="H34:H36">
    <cfRule type="containsText" dxfId="263" priority="244" operator="containsText" text="Contact">
      <formula>NOT(ISERROR(SEARCH("Contact",H34)))</formula>
    </cfRule>
    <cfRule type="containsText" dxfId="262" priority="245" operator="containsText" text="NDA/Contract">
      <formula>NOT(ISERROR(SEARCH("NDA/Contract",H34)))</formula>
    </cfRule>
    <cfRule type="containsText" dxfId="261" priority="246" operator="containsText" text="In Development">
      <formula>NOT(ISERROR(SEARCH("In Development",H34)))</formula>
    </cfRule>
    <cfRule type="containsText" dxfId="260" priority="247" operator="containsText" text="Testing">
      <formula>NOT(ISERROR(SEARCH("Testing",H34)))</formula>
    </cfRule>
    <cfRule type="containsText" dxfId="259" priority="248" operator="containsText" text="Live">
      <formula>NOT(ISERROR(SEARCH("Live",H34)))</formula>
    </cfRule>
  </conditionalFormatting>
  <conditionalFormatting sqref="I34:J36">
    <cfRule type="expression" dxfId="258" priority="243">
      <formula>AND(#REF!&lt;=1,#REF!&gt;=1)</formula>
    </cfRule>
  </conditionalFormatting>
  <conditionalFormatting sqref="K34:AK36">
    <cfRule type="containsText" dxfId="257" priority="252" operator="containsText" text="●">
      <formula>NOT(ISERROR(SEARCH("●",K34)))</formula>
    </cfRule>
  </conditionalFormatting>
  <conditionalFormatting sqref="K34:AK36">
    <cfRule type="containsText" dxfId="256" priority="253" operator="containsText" text="●">
      <formula>NOT(ISERROR(SEARCH("●",K34)))</formula>
    </cfRule>
  </conditionalFormatting>
  <conditionalFormatting sqref="G37">
    <cfRule type="containsText" dxfId="255" priority="238" operator="containsText" text="Full">
      <formula>NOT(ISERROR(SEARCH("Full",G37)))</formula>
    </cfRule>
    <cfRule type="containsText" dxfId="254" priority="239" operator="containsText" text="Half">
      <formula>NOT(ISERROR(SEARCH("Half",G37)))</formula>
    </cfRule>
    <cfRule type="containsText" dxfId="253" priority="240" operator="containsText" text="Minimal">
      <formula>NOT(ISERROR(SEARCH("Minimal",G37)))</formula>
    </cfRule>
  </conditionalFormatting>
  <conditionalFormatting sqref="H37">
    <cfRule type="containsText" dxfId="252" priority="233" operator="containsText" text="Contact">
      <formula>NOT(ISERROR(SEARCH("Contact",H37)))</formula>
    </cfRule>
    <cfRule type="containsText" dxfId="251" priority="234" operator="containsText" text="NDA/Contract">
      <formula>NOT(ISERROR(SEARCH("NDA/Contract",H37)))</formula>
    </cfRule>
    <cfRule type="containsText" dxfId="250" priority="235" operator="containsText" text="In Development">
      <formula>NOT(ISERROR(SEARCH("In Development",H37)))</formula>
    </cfRule>
    <cfRule type="containsText" dxfId="249" priority="236" operator="containsText" text="Testing">
      <formula>NOT(ISERROR(SEARCH("Testing",H37)))</formula>
    </cfRule>
    <cfRule type="containsText" dxfId="248" priority="237" operator="containsText" text="Live">
      <formula>NOT(ISERROR(SEARCH("Live",H37)))</formula>
    </cfRule>
  </conditionalFormatting>
  <conditionalFormatting sqref="I37:J37">
    <cfRule type="expression" dxfId="247" priority="232">
      <formula>AND(#REF!&lt;=1,#REF!&gt;=1)</formula>
    </cfRule>
  </conditionalFormatting>
  <conditionalFormatting sqref="K37:AK37">
    <cfRule type="containsText" dxfId="246" priority="241" operator="containsText" text="●">
      <formula>NOT(ISERROR(SEARCH("●",K37)))</formula>
    </cfRule>
  </conditionalFormatting>
  <conditionalFormatting sqref="K37:AK37">
    <cfRule type="containsText" dxfId="245" priority="242" operator="containsText" text="●">
      <formula>NOT(ISERROR(SEARCH("●",K37)))</formula>
    </cfRule>
  </conditionalFormatting>
  <conditionalFormatting sqref="G38">
    <cfRule type="containsText" dxfId="244" priority="227" operator="containsText" text="Full">
      <formula>NOT(ISERROR(SEARCH("Full",G38)))</formula>
    </cfRule>
    <cfRule type="containsText" dxfId="243" priority="228" operator="containsText" text="Half">
      <formula>NOT(ISERROR(SEARCH("Half",G38)))</formula>
    </cfRule>
    <cfRule type="containsText" dxfId="242" priority="229" operator="containsText" text="Minimal">
      <formula>NOT(ISERROR(SEARCH("Minimal",G38)))</formula>
    </cfRule>
  </conditionalFormatting>
  <conditionalFormatting sqref="H38">
    <cfRule type="containsText" dxfId="241" priority="222" operator="containsText" text="Contact">
      <formula>NOT(ISERROR(SEARCH("Contact",H38)))</formula>
    </cfRule>
    <cfRule type="containsText" dxfId="240" priority="223" operator="containsText" text="NDA/Contract">
      <formula>NOT(ISERROR(SEARCH("NDA/Contract",H38)))</formula>
    </cfRule>
    <cfRule type="containsText" dxfId="239" priority="224" operator="containsText" text="In Development">
      <formula>NOT(ISERROR(SEARCH("In Development",H38)))</formula>
    </cfRule>
    <cfRule type="containsText" dxfId="238" priority="225" operator="containsText" text="Testing">
      <formula>NOT(ISERROR(SEARCH("Testing",H38)))</formula>
    </cfRule>
    <cfRule type="containsText" dxfId="237" priority="226" operator="containsText" text="Live">
      <formula>NOT(ISERROR(SEARCH("Live",H38)))</formula>
    </cfRule>
  </conditionalFormatting>
  <conditionalFormatting sqref="I38:J38">
    <cfRule type="expression" dxfId="236" priority="221">
      <formula>AND(#REF!&lt;=1,#REF!&gt;=1)</formula>
    </cfRule>
  </conditionalFormatting>
  <conditionalFormatting sqref="K38:AK38">
    <cfRule type="containsText" dxfId="235" priority="230" operator="containsText" text="●">
      <formula>NOT(ISERROR(SEARCH("●",K38)))</formula>
    </cfRule>
  </conditionalFormatting>
  <conditionalFormatting sqref="K38:AK38">
    <cfRule type="containsText" dxfId="234" priority="231" operator="containsText" text="●">
      <formula>NOT(ISERROR(SEARCH("●",K38)))</formula>
    </cfRule>
  </conditionalFormatting>
  <conditionalFormatting sqref="G39">
    <cfRule type="containsText" dxfId="233" priority="216" operator="containsText" text="Full">
      <formula>NOT(ISERROR(SEARCH("Full",G39)))</formula>
    </cfRule>
    <cfRule type="containsText" dxfId="232" priority="217" operator="containsText" text="Half">
      <formula>NOT(ISERROR(SEARCH("Half",G39)))</formula>
    </cfRule>
    <cfRule type="containsText" dxfId="231" priority="218" operator="containsText" text="Minimal">
      <formula>NOT(ISERROR(SEARCH("Minimal",G39)))</formula>
    </cfRule>
  </conditionalFormatting>
  <conditionalFormatting sqref="H39">
    <cfRule type="containsText" dxfId="230" priority="211" operator="containsText" text="Contact">
      <formula>NOT(ISERROR(SEARCH("Contact",H39)))</formula>
    </cfRule>
    <cfRule type="containsText" dxfId="229" priority="212" operator="containsText" text="NDA/Contract">
      <formula>NOT(ISERROR(SEARCH("NDA/Contract",H39)))</formula>
    </cfRule>
    <cfRule type="containsText" dxfId="228" priority="213" operator="containsText" text="In Development">
      <formula>NOT(ISERROR(SEARCH("In Development",H39)))</formula>
    </cfRule>
    <cfRule type="containsText" dxfId="227" priority="214" operator="containsText" text="Testing">
      <formula>NOT(ISERROR(SEARCH("Testing",H39)))</formula>
    </cfRule>
    <cfRule type="containsText" dxfId="226" priority="215" operator="containsText" text="Live">
      <formula>NOT(ISERROR(SEARCH("Live",H39)))</formula>
    </cfRule>
  </conditionalFormatting>
  <conditionalFormatting sqref="I39:J39">
    <cfRule type="expression" dxfId="225" priority="210">
      <formula>AND(#REF!&lt;=1,#REF!&gt;=1)</formula>
    </cfRule>
  </conditionalFormatting>
  <conditionalFormatting sqref="K39:AK39">
    <cfRule type="containsText" dxfId="224" priority="219" operator="containsText" text="●">
      <formula>NOT(ISERROR(SEARCH("●",K39)))</formula>
    </cfRule>
  </conditionalFormatting>
  <conditionalFormatting sqref="K39:AK39">
    <cfRule type="containsText" dxfId="223" priority="220" operator="containsText" text="●">
      <formula>NOT(ISERROR(SEARCH("●",K39)))</formula>
    </cfRule>
  </conditionalFormatting>
  <conditionalFormatting sqref="G40">
    <cfRule type="containsText" dxfId="222" priority="206" operator="containsText" text="Full">
      <formula>NOT(ISERROR(SEARCH("Full",G40)))</formula>
    </cfRule>
    <cfRule type="containsText" dxfId="221" priority="207" operator="containsText" text="Half">
      <formula>NOT(ISERROR(SEARCH("Half",G40)))</formula>
    </cfRule>
    <cfRule type="containsText" dxfId="220" priority="208" operator="containsText" text="Minimal">
      <formula>NOT(ISERROR(SEARCH("Minimal",G40)))</formula>
    </cfRule>
  </conditionalFormatting>
  <conditionalFormatting sqref="H40">
    <cfRule type="containsText" dxfId="219" priority="201" operator="containsText" text="Contact">
      <formula>NOT(ISERROR(SEARCH("Contact",H40)))</formula>
    </cfRule>
    <cfRule type="containsText" dxfId="218" priority="202" operator="containsText" text="NDA/Contract">
      <formula>NOT(ISERROR(SEARCH("NDA/Contract",H40)))</formula>
    </cfRule>
    <cfRule type="containsText" dxfId="217" priority="203" operator="containsText" text="In Development">
      <formula>NOT(ISERROR(SEARCH("In Development",H40)))</formula>
    </cfRule>
    <cfRule type="containsText" dxfId="216" priority="204" operator="containsText" text="Testing">
      <formula>NOT(ISERROR(SEARCH("Testing",H40)))</formula>
    </cfRule>
    <cfRule type="containsText" dxfId="215" priority="205" operator="containsText" text="Live">
      <formula>NOT(ISERROR(SEARCH("Live",H40)))</formula>
    </cfRule>
  </conditionalFormatting>
  <conditionalFormatting sqref="I40:J40">
    <cfRule type="expression" dxfId="214" priority="200">
      <formula>AND(#REF!&lt;=1,#REF!&gt;=1)</formula>
    </cfRule>
  </conditionalFormatting>
  <conditionalFormatting sqref="K40:AK40">
    <cfRule type="containsText" dxfId="213" priority="209" operator="containsText" text="●">
      <formula>NOT(ISERROR(SEARCH("●",K40)))</formula>
    </cfRule>
  </conditionalFormatting>
  <conditionalFormatting sqref="G41">
    <cfRule type="containsText" dxfId="212" priority="196" operator="containsText" text="Full">
      <formula>NOT(ISERROR(SEARCH("Full",G41)))</formula>
    </cfRule>
    <cfRule type="containsText" dxfId="211" priority="197" operator="containsText" text="Half">
      <formula>NOT(ISERROR(SEARCH("Half",G41)))</formula>
    </cfRule>
    <cfRule type="containsText" dxfId="210" priority="198" operator="containsText" text="Minimal">
      <formula>NOT(ISERROR(SEARCH("Minimal",G41)))</formula>
    </cfRule>
  </conditionalFormatting>
  <conditionalFormatting sqref="H41">
    <cfRule type="containsText" dxfId="209" priority="191" operator="containsText" text="Contact">
      <formula>NOT(ISERROR(SEARCH("Contact",H41)))</formula>
    </cfRule>
    <cfRule type="containsText" dxfId="208" priority="192" operator="containsText" text="NDA/Contract">
      <formula>NOT(ISERROR(SEARCH("NDA/Contract",H41)))</formula>
    </cfRule>
    <cfRule type="containsText" dxfId="207" priority="193" operator="containsText" text="In Development">
      <formula>NOT(ISERROR(SEARCH("In Development",H41)))</formula>
    </cfRule>
    <cfRule type="containsText" dxfId="206" priority="194" operator="containsText" text="Testing">
      <formula>NOT(ISERROR(SEARCH("Testing",H41)))</formula>
    </cfRule>
    <cfRule type="containsText" dxfId="205" priority="195" operator="containsText" text="Live">
      <formula>NOT(ISERROR(SEARCH("Live",H41)))</formula>
    </cfRule>
  </conditionalFormatting>
  <conditionalFormatting sqref="I41:J41">
    <cfRule type="expression" dxfId="204" priority="190">
      <formula>AND(#REF!&lt;=1,#REF!&gt;=1)</formula>
    </cfRule>
  </conditionalFormatting>
  <conditionalFormatting sqref="K41:AK41">
    <cfRule type="containsText" dxfId="203" priority="199" operator="containsText" text="●">
      <formula>NOT(ISERROR(SEARCH("●",K41)))</formula>
    </cfRule>
  </conditionalFormatting>
  <conditionalFormatting sqref="G42">
    <cfRule type="containsText" dxfId="202" priority="186" operator="containsText" text="Full">
      <formula>NOT(ISERROR(SEARCH("Full",G42)))</formula>
    </cfRule>
    <cfRule type="containsText" dxfId="201" priority="187" operator="containsText" text="Half">
      <formula>NOT(ISERROR(SEARCH("Half",G42)))</formula>
    </cfRule>
    <cfRule type="containsText" dxfId="200" priority="188" operator="containsText" text="Minimal">
      <formula>NOT(ISERROR(SEARCH("Minimal",G42)))</formula>
    </cfRule>
  </conditionalFormatting>
  <conditionalFormatting sqref="H42">
    <cfRule type="containsText" dxfId="199" priority="181" operator="containsText" text="Contact">
      <formula>NOT(ISERROR(SEARCH("Contact",H42)))</formula>
    </cfRule>
    <cfRule type="containsText" dxfId="198" priority="182" operator="containsText" text="NDA/Contract">
      <formula>NOT(ISERROR(SEARCH("NDA/Contract",H42)))</formula>
    </cfRule>
    <cfRule type="containsText" dxfId="197" priority="183" operator="containsText" text="In Development">
      <formula>NOT(ISERROR(SEARCH("In Development",H42)))</formula>
    </cfRule>
    <cfRule type="containsText" dxfId="196" priority="184" operator="containsText" text="Testing">
      <formula>NOT(ISERROR(SEARCH("Testing",H42)))</formula>
    </cfRule>
    <cfRule type="containsText" dxfId="195" priority="185" operator="containsText" text="Live">
      <formula>NOT(ISERROR(SEARCH("Live",H42)))</formula>
    </cfRule>
  </conditionalFormatting>
  <conditionalFormatting sqref="I42:J42">
    <cfRule type="expression" dxfId="194" priority="180">
      <formula>AND(#REF!&lt;=1,#REF!&gt;=1)</formula>
    </cfRule>
  </conditionalFormatting>
  <conditionalFormatting sqref="K42:AK42">
    <cfRule type="containsText" dxfId="193" priority="189" operator="containsText" text="●">
      <formula>NOT(ISERROR(SEARCH("●",K42)))</formula>
    </cfRule>
  </conditionalFormatting>
  <conditionalFormatting sqref="G43">
    <cfRule type="containsText" dxfId="192" priority="176" operator="containsText" text="Full">
      <formula>NOT(ISERROR(SEARCH("Full",G43)))</formula>
    </cfRule>
    <cfRule type="containsText" dxfId="191" priority="177" operator="containsText" text="Half">
      <formula>NOT(ISERROR(SEARCH("Half",G43)))</formula>
    </cfRule>
    <cfRule type="containsText" dxfId="190" priority="178" operator="containsText" text="Minimal">
      <formula>NOT(ISERROR(SEARCH("Minimal",G43)))</formula>
    </cfRule>
  </conditionalFormatting>
  <conditionalFormatting sqref="H43">
    <cfRule type="containsText" dxfId="189" priority="171" operator="containsText" text="Contact">
      <formula>NOT(ISERROR(SEARCH("Contact",H43)))</formula>
    </cfRule>
    <cfRule type="containsText" dxfId="188" priority="172" operator="containsText" text="NDA/Contract">
      <formula>NOT(ISERROR(SEARCH("NDA/Contract",H43)))</formula>
    </cfRule>
    <cfRule type="containsText" dxfId="187" priority="173" operator="containsText" text="In Development">
      <formula>NOT(ISERROR(SEARCH("In Development",H43)))</formula>
    </cfRule>
    <cfRule type="containsText" dxfId="186" priority="174" operator="containsText" text="Testing">
      <formula>NOT(ISERROR(SEARCH("Testing",H43)))</formula>
    </cfRule>
    <cfRule type="containsText" dxfId="185" priority="175" operator="containsText" text="Live">
      <formula>NOT(ISERROR(SEARCH("Live",H43)))</formula>
    </cfRule>
  </conditionalFormatting>
  <conditionalFormatting sqref="I43:J43">
    <cfRule type="expression" dxfId="184" priority="170">
      <formula>AND(#REF!&lt;=1,#REF!&gt;=1)</formula>
    </cfRule>
  </conditionalFormatting>
  <conditionalFormatting sqref="K43:AK43">
    <cfRule type="containsText" dxfId="183" priority="179" operator="containsText" text="●">
      <formula>NOT(ISERROR(SEARCH("●",K43)))</formula>
    </cfRule>
  </conditionalFormatting>
  <conditionalFormatting sqref="G44">
    <cfRule type="containsText" dxfId="182" priority="166" operator="containsText" text="Full">
      <formula>NOT(ISERROR(SEARCH("Full",G44)))</formula>
    </cfRule>
    <cfRule type="containsText" dxfId="181" priority="167" operator="containsText" text="Half">
      <formula>NOT(ISERROR(SEARCH("Half",G44)))</formula>
    </cfRule>
    <cfRule type="containsText" dxfId="180" priority="168" operator="containsText" text="Minimal">
      <formula>NOT(ISERROR(SEARCH("Minimal",G44)))</formula>
    </cfRule>
  </conditionalFormatting>
  <conditionalFormatting sqref="H44">
    <cfRule type="containsText" dxfId="179" priority="161" operator="containsText" text="Contact">
      <formula>NOT(ISERROR(SEARCH("Contact",H44)))</formula>
    </cfRule>
    <cfRule type="containsText" dxfId="178" priority="162" operator="containsText" text="NDA/Contract">
      <formula>NOT(ISERROR(SEARCH("NDA/Contract",H44)))</formula>
    </cfRule>
    <cfRule type="containsText" dxfId="177" priority="163" operator="containsText" text="In Development">
      <formula>NOT(ISERROR(SEARCH("In Development",H44)))</formula>
    </cfRule>
    <cfRule type="containsText" dxfId="176" priority="164" operator="containsText" text="Testing">
      <formula>NOT(ISERROR(SEARCH("Testing",H44)))</formula>
    </cfRule>
    <cfRule type="containsText" dxfId="175" priority="165" operator="containsText" text="Live">
      <formula>NOT(ISERROR(SEARCH("Live",H44)))</formula>
    </cfRule>
  </conditionalFormatting>
  <conditionalFormatting sqref="I44:J44">
    <cfRule type="expression" dxfId="174" priority="160">
      <formula>AND(#REF!&lt;=1,#REF!&gt;=1)</formula>
    </cfRule>
  </conditionalFormatting>
  <conditionalFormatting sqref="K44:AK44">
    <cfRule type="containsText" dxfId="173" priority="169" operator="containsText" text="●">
      <formula>NOT(ISERROR(SEARCH("●",K44)))</formula>
    </cfRule>
  </conditionalFormatting>
  <conditionalFormatting sqref="G45">
    <cfRule type="containsText" dxfId="172" priority="156" operator="containsText" text="Full">
      <formula>NOT(ISERROR(SEARCH("Full",G45)))</formula>
    </cfRule>
    <cfRule type="containsText" dxfId="171" priority="157" operator="containsText" text="Half">
      <formula>NOT(ISERROR(SEARCH("Half",G45)))</formula>
    </cfRule>
    <cfRule type="containsText" dxfId="170" priority="158" operator="containsText" text="Minimal">
      <formula>NOT(ISERROR(SEARCH("Minimal",G45)))</formula>
    </cfRule>
  </conditionalFormatting>
  <conditionalFormatting sqref="H45">
    <cfRule type="containsText" dxfId="169" priority="151" operator="containsText" text="Contact">
      <formula>NOT(ISERROR(SEARCH("Contact",H45)))</formula>
    </cfRule>
    <cfRule type="containsText" dxfId="168" priority="152" operator="containsText" text="NDA/Contract">
      <formula>NOT(ISERROR(SEARCH("NDA/Contract",H45)))</formula>
    </cfRule>
    <cfRule type="containsText" dxfId="167" priority="153" operator="containsText" text="In Development">
      <formula>NOT(ISERROR(SEARCH("In Development",H45)))</formula>
    </cfRule>
    <cfRule type="containsText" dxfId="166" priority="154" operator="containsText" text="Testing">
      <formula>NOT(ISERROR(SEARCH("Testing",H45)))</formula>
    </cfRule>
    <cfRule type="containsText" dxfId="165" priority="155" operator="containsText" text="Live">
      <formula>NOT(ISERROR(SEARCH("Live",H45)))</formula>
    </cfRule>
  </conditionalFormatting>
  <conditionalFormatting sqref="I45:J45">
    <cfRule type="expression" dxfId="164" priority="150">
      <formula>AND(#REF!&lt;=1,#REF!&gt;=1)</formula>
    </cfRule>
  </conditionalFormatting>
  <conditionalFormatting sqref="K45:AK45">
    <cfRule type="containsText" dxfId="163" priority="159" operator="containsText" text="●">
      <formula>NOT(ISERROR(SEARCH("●",K45)))</formula>
    </cfRule>
  </conditionalFormatting>
  <conditionalFormatting sqref="G46">
    <cfRule type="containsText" dxfId="162" priority="146" operator="containsText" text="Full">
      <formula>NOT(ISERROR(SEARCH("Full",G46)))</formula>
    </cfRule>
    <cfRule type="containsText" dxfId="161" priority="147" operator="containsText" text="Half">
      <formula>NOT(ISERROR(SEARCH("Half",G46)))</formula>
    </cfRule>
    <cfRule type="containsText" dxfId="160" priority="148" operator="containsText" text="Minimal">
      <formula>NOT(ISERROR(SEARCH("Minimal",G46)))</formula>
    </cfRule>
  </conditionalFormatting>
  <conditionalFormatting sqref="H46">
    <cfRule type="containsText" dxfId="159" priority="141" operator="containsText" text="Contact">
      <formula>NOT(ISERROR(SEARCH("Contact",H46)))</formula>
    </cfRule>
    <cfRule type="containsText" dxfId="158" priority="142" operator="containsText" text="NDA/Contract">
      <formula>NOT(ISERROR(SEARCH("NDA/Contract",H46)))</formula>
    </cfRule>
    <cfRule type="containsText" dxfId="157" priority="143" operator="containsText" text="In Development">
      <formula>NOT(ISERROR(SEARCH("In Development",H46)))</formula>
    </cfRule>
    <cfRule type="containsText" dxfId="156" priority="144" operator="containsText" text="Testing">
      <formula>NOT(ISERROR(SEARCH("Testing",H46)))</formula>
    </cfRule>
    <cfRule type="containsText" dxfId="155" priority="145" operator="containsText" text="Live">
      <formula>NOT(ISERROR(SEARCH("Live",H46)))</formula>
    </cfRule>
  </conditionalFormatting>
  <conditionalFormatting sqref="I46:J46">
    <cfRule type="expression" dxfId="154" priority="140">
      <formula>AND(#REF!&lt;=1,#REF!&gt;=1)</formula>
    </cfRule>
  </conditionalFormatting>
  <conditionalFormatting sqref="K46:AK46">
    <cfRule type="containsText" dxfId="153" priority="149" operator="containsText" text="●">
      <formula>NOT(ISERROR(SEARCH("●",K46)))</formula>
    </cfRule>
  </conditionalFormatting>
  <conditionalFormatting sqref="G47">
    <cfRule type="containsText" dxfId="152" priority="136" operator="containsText" text="Full">
      <formula>NOT(ISERROR(SEARCH("Full",G47)))</formula>
    </cfRule>
    <cfRule type="containsText" dxfId="151" priority="137" operator="containsText" text="Half">
      <formula>NOT(ISERROR(SEARCH("Half",G47)))</formula>
    </cfRule>
    <cfRule type="containsText" dxfId="150" priority="138" operator="containsText" text="Minimal">
      <formula>NOT(ISERROR(SEARCH("Minimal",G47)))</formula>
    </cfRule>
  </conditionalFormatting>
  <conditionalFormatting sqref="H47">
    <cfRule type="containsText" dxfId="149" priority="131" operator="containsText" text="Contact">
      <formula>NOT(ISERROR(SEARCH("Contact",H47)))</formula>
    </cfRule>
    <cfRule type="containsText" dxfId="148" priority="132" operator="containsText" text="NDA/Contract">
      <formula>NOT(ISERROR(SEARCH("NDA/Contract",H47)))</formula>
    </cfRule>
    <cfRule type="containsText" dxfId="147" priority="133" operator="containsText" text="In Development">
      <formula>NOT(ISERROR(SEARCH("In Development",H47)))</formula>
    </cfRule>
    <cfRule type="containsText" dxfId="146" priority="134" operator="containsText" text="Testing">
      <formula>NOT(ISERROR(SEARCH("Testing",H47)))</formula>
    </cfRule>
    <cfRule type="containsText" dxfId="145" priority="135" operator="containsText" text="Live">
      <formula>NOT(ISERROR(SEARCH("Live",H47)))</formula>
    </cfRule>
  </conditionalFormatting>
  <conditionalFormatting sqref="I47:J47">
    <cfRule type="expression" dxfId="144" priority="130">
      <formula>AND(#REF!&lt;=1,#REF!&gt;=1)</formula>
    </cfRule>
  </conditionalFormatting>
  <conditionalFormatting sqref="K47:AK47">
    <cfRule type="containsText" dxfId="143" priority="139" operator="containsText" text="●">
      <formula>NOT(ISERROR(SEARCH("●",K47)))</formula>
    </cfRule>
  </conditionalFormatting>
  <conditionalFormatting sqref="G48">
    <cfRule type="containsText" dxfId="142" priority="126" operator="containsText" text="Full">
      <formula>NOT(ISERROR(SEARCH("Full",G48)))</formula>
    </cfRule>
    <cfRule type="containsText" dxfId="141" priority="127" operator="containsText" text="Half">
      <formula>NOT(ISERROR(SEARCH("Half",G48)))</formula>
    </cfRule>
    <cfRule type="containsText" dxfId="140" priority="128" operator="containsText" text="Minimal">
      <formula>NOT(ISERROR(SEARCH("Minimal",G48)))</formula>
    </cfRule>
  </conditionalFormatting>
  <conditionalFormatting sqref="H48">
    <cfRule type="containsText" dxfId="139" priority="121" operator="containsText" text="Contact">
      <formula>NOT(ISERROR(SEARCH("Contact",H48)))</formula>
    </cfRule>
    <cfRule type="containsText" dxfId="138" priority="122" operator="containsText" text="NDA/Contract">
      <formula>NOT(ISERROR(SEARCH("NDA/Contract",H48)))</formula>
    </cfRule>
    <cfRule type="containsText" dxfId="137" priority="123" operator="containsText" text="In Development">
      <formula>NOT(ISERROR(SEARCH("In Development",H48)))</formula>
    </cfRule>
    <cfRule type="containsText" dxfId="136" priority="124" operator="containsText" text="Testing">
      <formula>NOT(ISERROR(SEARCH("Testing",H48)))</formula>
    </cfRule>
    <cfRule type="containsText" dxfId="135" priority="125" operator="containsText" text="Live">
      <formula>NOT(ISERROR(SEARCH("Live",H48)))</formula>
    </cfRule>
  </conditionalFormatting>
  <conditionalFormatting sqref="I48:J48">
    <cfRule type="expression" dxfId="134" priority="120">
      <formula>AND(#REF!&lt;=1,#REF!&gt;=1)</formula>
    </cfRule>
  </conditionalFormatting>
  <conditionalFormatting sqref="K48:AK48">
    <cfRule type="containsText" dxfId="133" priority="129" operator="containsText" text="●">
      <formula>NOT(ISERROR(SEARCH("●",K48)))</formula>
    </cfRule>
  </conditionalFormatting>
  <conditionalFormatting sqref="G49">
    <cfRule type="containsText" dxfId="132" priority="116" operator="containsText" text="Full">
      <formula>NOT(ISERROR(SEARCH("Full",G49)))</formula>
    </cfRule>
    <cfRule type="containsText" dxfId="131" priority="117" operator="containsText" text="Half">
      <formula>NOT(ISERROR(SEARCH("Half",G49)))</formula>
    </cfRule>
    <cfRule type="containsText" dxfId="130" priority="118" operator="containsText" text="Minimal">
      <formula>NOT(ISERROR(SEARCH("Minimal",G49)))</formula>
    </cfRule>
  </conditionalFormatting>
  <conditionalFormatting sqref="H49">
    <cfRule type="containsText" dxfId="129" priority="111" operator="containsText" text="Contact">
      <formula>NOT(ISERROR(SEARCH("Contact",H49)))</formula>
    </cfRule>
    <cfRule type="containsText" dxfId="128" priority="112" operator="containsText" text="NDA/Contract">
      <formula>NOT(ISERROR(SEARCH("NDA/Contract",H49)))</formula>
    </cfRule>
    <cfRule type="containsText" dxfId="127" priority="113" operator="containsText" text="In Development">
      <formula>NOT(ISERROR(SEARCH("In Development",H49)))</formula>
    </cfRule>
    <cfRule type="containsText" dxfId="126" priority="114" operator="containsText" text="Testing">
      <formula>NOT(ISERROR(SEARCH("Testing",H49)))</formula>
    </cfRule>
    <cfRule type="containsText" dxfId="125" priority="115" operator="containsText" text="Live">
      <formula>NOT(ISERROR(SEARCH("Live",H49)))</formula>
    </cfRule>
  </conditionalFormatting>
  <conditionalFormatting sqref="K49:AK49">
    <cfRule type="containsText" dxfId="124" priority="119" operator="containsText" text="●">
      <formula>NOT(ISERROR(SEARCH("●",K49)))</formula>
    </cfRule>
  </conditionalFormatting>
  <conditionalFormatting sqref="G50">
    <cfRule type="containsText" dxfId="123" priority="107" operator="containsText" text="Full">
      <formula>NOT(ISERROR(SEARCH("Full",G50)))</formula>
    </cfRule>
    <cfRule type="containsText" dxfId="122" priority="108" operator="containsText" text="Half">
      <formula>NOT(ISERROR(SEARCH("Half",G50)))</formula>
    </cfRule>
    <cfRule type="containsText" dxfId="121" priority="109" operator="containsText" text="Minimal">
      <formula>NOT(ISERROR(SEARCH("Minimal",G50)))</formula>
    </cfRule>
  </conditionalFormatting>
  <conditionalFormatting sqref="H50">
    <cfRule type="containsText" dxfId="120" priority="102" operator="containsText" text="Contact">
      <formula>NOT(ISERROR(SEARCH("Contact",H50)))</formula>
    </cfRule>
    <cfRule type="containsText" dxfId="119" priority="103" operator="containsText" text="NDA/Contract">
      <formula>NOT(ISERROR(SEARCH("NDA/Contract",H50)))</formula>
    </cfRule>
    <cfRule type="containsText" dxfId="118" priority="104" operator="containsText" text="In Development">
      <formula>NOT(ISERROR(SEARCH("In Development",H50)))</formula>
    </cfRule>
    <cfRule type="containsText" dxfId="117" priority="105" operator="containsText" text="Testing">
      <formula>NOT(ISERROR(SEARCH("Testing",H50)))</formula>
    </cfRule>
    <cfRule type="containsText" dxfId="116" priority="106" operator="containsText" text="Live">
      <formula>NOT(ISERROR(SEARCH("Live",H50)))</formula>
    </cfRule>
  </conditionalFormatting>
  <conditionalFormatting sqref="L50:AK50">
    <cfRule type="containsText" dxfId="115" priority="110" operator="containsText" text="●">
      <formula>NOT(ISERROR(SEARCH("●",L50)))</formula>
    </cfRule>
  </conditionalFormatting>
  <conditionalFormatting sqref="G51">
    <cfRule type="containsText" dxfId="114" priority="98" operator="containsText" text="Full">
      <formula>NOT(ISERROR(SEARCH("Full",G51)))</formula>
    </cfRule>
    <cfRule type="containsText" dxfId="113" priority="99" operator="containsText" text="Half">
      <formula>NOT(ISERROR(SEARCH("Half",G51)))</formula>
    </cfRule>
    <cfRule type="containsText" dxfId="112" priority="100" operator="containsText" text="Minimal">
      <formula>NOT(ISERROR(SEARCH("Minimal",G51)))</formula>
    </cfRule>
  </conditionalFormatting>
  <conditionalFormatting sqref="H51">
    <cfRule type="containsText" dxfId="111" priority="93" operator="containsText" text="Contact">
      <formula>NOT(ISERROR(SEARCH("Contact",H51)))</formula>
    </cfRule>
    <cfRule type="containsText" dxfId="110" priority="94" operator="containsText" text="NDA/Contract">
      <formula>NOT(ISERROR(SEARCH("NDA/Contract",H51)))</formula>
    </cfRule>
    <cfRule type="containsText" dxfId="109" priority="95" operator="containsText" text="In Development">
      <formula>NOT(ISERROR(SEARCH("In Development",H51)))</formula>
    </cfRule>
    <cfRule type="containsText" dxfId="108" priority="96" operator="containsText" text="Testing">
      <formula>NOT(ISERROR(SEARCH("Testing",H51)))</formula>
    </cfRule>
    <cfRule type="containsText" dxfId="107" priority="97" operator="containsText" text="Live">
      <formula>NOT(ISERROR(SEARCH("Live",H51)))</formula>
    </cfRule>
  </conditionalFormatting>
  <conditionalFormatting sqref="I51:J51">
    <cfRule type="expression" dxfId="106" priority="92">
      <formula>AND(#REF!&lt;=1,#REF!&gt;=1)</formula>
    </cfRule>
  </conditionalFormatting>
  <conditionalFormatting sqref="K51:AK51">
    <cfRule type="containsText" dxfId="105" priority="101" operator="containsText" text="●">
      <formula>NOT(ISERROR(SEARCH("●",K51)))</formula>
    </cfRule>
  </conditionalFormatting>
  <conditionalFormatting sqref="G52">
    <cfRule type="containsText" dxfId="104" priority="88" operator="containsText" text="Full">
      <formula>NOT(ISERROR(SEARCH("Full",G52)))</formula>
    </cfRule>
    <cfRule type="containsText" dxfId="103" priority="89" operator="containsText" text="Half">
      <formula>NOT(ISERROR(SEARCH("Half",G52)))</formula>
    </cfRule>
    <cfRule type="containsText" dxfId="102" priority="90" operator="containsText" text="Minimal">
      <formula>NOT(ISERROR(SEARCH("Minimal",G52)))</formula>
    </cfRule>
  </conditionalFormatting>
  <conditionalFormatting sqref="H52">
    <cfRule type="containsText" dxfId="101" priority="83" operator="containsText" text="Contact">
      <formula>NOT(ISERROR(SEARCH("Contact",H52)))</formula>
    </cfRule>
    <cfRule type="containsText" dxfId="100" priority="84" operator="containsText" text="NDA/Contract">
      <formula>NOT(ISERROR(SEARCH("NDA/Contract",H52)))</formula>
    </cfRule>
    <cfRule type="containsText" dxfId="99" priority="85" operator="containsText" text="In Development">
      <formula>NOT(ISERROR(SEARCH("In Development",H52)))</formula>
    </cfRule>
    <cfRule type="containsText" dxfId="98" priority="86" operator="containsText" text="Testing">
      <formula>NOT(ISERROR(SEARCH("Testing",H52)))</formula>
    </cfRule>
    <cfRule type="containsText" dxfId="97" priority="87" operator="containsText" text="Live">
      <formula>NOT(ISERROR(SEARCH("Live",H52)))</formula>
    </cfRule>
  </conditionalFormatting>
  <conditionalFormatting sqref="I52:J52">
    <cfRule type="expression" dxfId="96" priority="82">
      <formula>AND(#REF!&lt;=1,#REF!&gt;=1)</formula>
    </cfRule>
  </conditionalFormatting>
  <conditionalFormatting sqref="K52:AK52">
    <cfRule type="containsText" dxfId="95" priority="91" operator="containsText" text="●">
      <formula>NOT(ISERROR(SEARCH("●",K52)))</formula>
    </cfRule>
  </conditionalFormatting>
  <conditionalFormatting sqref="G53">
    <cfRule type="containsText" dxfId="94" priority="78" operator="containsText" text="Full">
      <formula>NOT(ISERROR(SEARCH("Full",G53)))</formula>
    </cfRule>
    <cfRule type="containsText" dxfId="93" priority="79" operator="containsText" text="Half">
      <formula>NOT(ISERROR(SEARCH("Half",G53)))</formula>
    </cfRule>
    <cfRule type="containsText" dxfId="92" priority="80" operator="containsText" text="Minimal">
      <formula>NOT(ISERROR(SEARCH("Minimal",G53)))</formula>
    </cfRule>
  </conditionalFormatting>
  <conditionalFormatting sqref="H53">
    <cfRule type="containsText" dxfId="91" priority="73" operator="containsText" text="Contact">
      <formula>NOT(ISERROR(SEARCH("Contact",H53)))</formula>
    </cfRule>
    <cfRule type="containsText" dxfId="90" priority="74" operator="containsText" text="NDA/Contract">
      <formula>NOT(ISERROR(SEARCH("NDA/Contract",H53)))</formula>
    </cfRule>
    <cfRule type="containsText" dxfId="89" priority="75" operator="containsText" text="In Development">
      <formula>NOT(ISERROR(SEARCH("In Development",H53)))</formula>
    </cfRule>
    <cfRule type="containsText" dxfId="88" priority="76" operator="containsText" text="Testing">
      <formula>NOT(ISERROR(SEARCH("Testing",H53)))</formula>
    </cfRule>
    <cfRule type="containsText" dxfId="87" priority="77" operator="containsText" text="Live">
      <formula>NOT(ISERROR(SEARCH("Live",H53)))</formula>
    </cfRule>
  </conditionalFormatting>
  <conditionalFormatting sqref="I53:J53">
    <cfRule type="expression" dxfId="86" priority="72">
      <formula>AND(#REF!&lt;=1,#REF!&gt;=1)</formula>
    </cfRule>
  </conditionalFormatting>
  <conditionalFormatting sqref="K53:AK53">
    <cfRule type="containsText" dxfId="85" priority="81" operator="containsText" text="●">
      <formula>NOT(ISERROR(SEARCH("●",K53)))</formula>
    </cfRule>
  </conditionalFormatting>
  <conditionalFormatting sqref="G54">
    <cfRule type="containsText" dxfId="84" priority="68" operator="containsText" text="Full">
      <formula>NOT(ISERROR(SEARCH("Full",G54)))</formula>
    </cfRule>
    <cfRule type="containsText" dxfId="83" priority="69" operator="containsText" text="Half">
      <formula>NOT(ISERROR(SEARCH("Half",G54)))</formula>
    </cfRule>
    <cfRule type="containsText" dxfId="82" priority="70" operator="containsText" text="Minimal">
      <formula>NOT(ISERROR(SEARCH("Minimal",G54)))</formula>
    </cfRule>
  </conditionalFormatting>
  <conditionalFormatting sqref="H54">
    <cfRule type="containsText" dxfId="81" priority="63" operator="containsText" text="Contact">
      <formula>NOT(ISERROR(SEARCH("Contact",H54)))</formula>
    </cfRule>
    <cfRule type="containsText" dxfId="80" priority="64" operator="containsText" text="NDA/Contract">
      <formula>NOT(ISERROR(SEARCH("NDA/Contract",H54)))</formula>
    </cfRule>
    <cfRule type="containsText" dxfId="79" priority="65" operator="containsText" text="In Development">
      <formula>NOT(ISERROR(SEARCH("In Development",H54)))</formula>
    </cfRule>
    <cfRule type="containsText" dxfId="78" priority="66" operator="containsText" text="Testing">
      <formula>NOT(ISERROR(SEARCH("Testing",H54)))</formula>
    </cfRule>
    <cfRule type="containsText" dxfId="77" priority="67" operator="containsText" text="Live">
      <formula>NOT(ISERROR(SEARCH("Live",H54)))</formula>
    </cfRule>
  </conditionalFormatting>
  <conditionalFormatting sqref="I54:J54">
    <cfRule type="expression" dxfId="76" priority="62">
      <formula>AND(#REF!&lt;=1,#REF!&gt;=1)</formula>
    </cfRule>
  </conditionalFormatting>
  <conditionalFormatting sqref="K54:AK54">
    <cfRule type="containsText" dxfId="75" priority="71" operator="containsText" text="●">
      <formula>NOT(ISERROR(SEARCH("●",K54)))</formula>
    </cfRule>
  </conditionalFormatting>
  <conditionalFormatting sqref="G55">
    <cfRule type="containsText" dxfId="74" priority="58" operator="containsText" text="Full">
      <formula>NOT(ISERROR(SEARCH("Full",G55)))</formula>
    </cfRule>
    <cfRule type="containsText" dxfId="73" priority="59" operator="containsText" text="Half">
      <formula>NOT(ISERROR(SEARCH("Half",G55)))</formula>
    </cfRule>
    <cfRule type="containsText" dxfId="72" priority="60" operator="containsText" text="Minimal">
      <formula>NOT(ISERROR(SEARCH("Minimal",G55)))</formula>
    </cfRule>
  </conditionalFormatting>
  <conditionalFormatting sqref="H55">
    <cfRule type="containsText" dxfId="71" priority="53" operator="containsText" text="Contact">
      <formula>NOT(ISERROR(SEARCH("Contact",H55)))</formula>
    </cfRule>
    <cfRule type="containsText" dxfId="70" priority="54" operator="containsText" text="NDA/Contract">
      <formula>NOT(ISERROR(SEARCH("NDA/Contract",H55)))</formula>
    </cfRule>
    <cfRule type="containsText" dxfId="69" priority="55" operator="containsText" text="In Development">
      <formula>NOT(ISERROR(SEARCH("In Development",H55)))</formula>
    </cfRule>
    <cfRule type="containsText" dxfId="68" priority="56" operator="containsText" text="Testing">
      <formula>NOT(ISERROR(SEARCH("Testing",H55)))</formula>
    </cfRule>
    <cfRule type="containsText" dxfId="67" priority="57" operator="containsText" text="Live">
      <formula>NOT(ISERROR(SEARCH("Live",H55)))</formula>
    </cfRule>
  </conditionalFormatting>
  <conditionalFormatting sqref="I55:J55">
    <cfRule type="expression" dxfId="66" priority="52">
      <formula>AND(#REF!&lt;=1,#REF!&gt;=1)</formula>
    </cfRule>
  </conditionalFormatting>
  <conditionalFormatting sqref="K55:AK55">
    <cfRule type="containsText" dxfId="65" priority="61" operator="containsText" text="●">
      <formula>NOT(ISERROR(SEARCH("●",K55)))</formula>
    </cfRule>
  </conditionalFormatting>
  <conditionalFormatting sqref="G56">
    <cfRule type="containsText" dxfId="64" priority="48" operator="containsText" text="Full">
      <formula>NOT(ISERROR(SEARCH("Full",G56)))</formula>
    </cfRule>
    <cfRule type="containsText" dxfId="63" priority="49" operator="containsText" text="Half">
      <formula>NOT(ISERROR(SEARCH("Half",G56)))</formula>
    </cfRule>
    <cfRule type="containsText" dxfId="62" priority="50" operator="containsText" text="Minimal">
      <formula>NOT(ISERROR(SEARCH("Minimal",G56)))</formula>
    </cfRule>
  </conditionalFormatting>
  <conditionalFormatting sqref="H56">
    <cfRule type="containsText" dxfId="61" priority="43" operator="containsText" text="Contact">
      <formula>NOT(ISERROR(SEARCH("Contact",H56)))</formula>
    </cfRule>
    <cfRule type="containsText" dxfId="60" priority="44" operator="containsText" text="NDA/Contract">
      <formula>NOT(ISERROR(SEARCH("NDA/Contract",H56)))</formula>
    </cfRule>
    <cfRule type="containsText" dxfId="59" priority="45" operator="containsText" text="In Development">
      <formula>NOT(ISERROR(SEARCH("In Development",H56)))</formula>
    </cfRule>
    <cfRule type="containsText" dxfId="58" priority="46" operator="containsText" text="Testing">
      <formula>NOT(ISERROR(SEARCH("Testing",H56)))</formula>
    </cfRule>
    <cfRule type="containsText" dxfId="57" priority="47" operator="containsText" text="Live">
      <formula>NOT(ISERROR(SEARCH("Live",H56)))</formula>
    </cfRule>
  </conditionalFormatting>
  <conditionalFormatting sqref="I56:J56">
    <cfRule type="expression" dxfId="56" priority="42">
      <formula>AND(#REF!&lt;=1,#REF!&gt;=1)</formula>
    </cfRule>
  </conditionalFormatting>
  <conditionalFormatting sqref="L56:AK56">
    <cfRule type="containsText" dxfId="55" priority="51" operator="containsText" text="●">
      <formula>NOT(ISERROR(SEARCH("●",L56)))</formula>
    </cfRule>
  </conditionalFormatting>
  <conditionalFormatting sqref="G35">
    <cfRule type="containsText" dxfId="54" priority="39" operator="containsText" text="Full">
      <formula>NOT(ISERROR(SEARCH("Full",G35)))</formula>
    </cfRule>
    <cfRule type="containsText" dxfId="53" priority="40" operator="containsText" text="Half">
      <formula>NOT(ISERROR(SEARCH("Half",G35)))</formula>
    </cfRule>
    <cfRule type="containsText" dxfId="52" priority="41" operator="containsText" text="Minimal">
      <formula>NOT(ISERROR(SEARCH("Minimal",G35)))</formula>
    </cfRule>
  </conditionalFormatting>
  <conditionalFormatting sqref="G36">
    <cfRule type="containsText" dxfId="51" priority="36" operator="containsText" text="Full">
      <formula>NOT(ISERROR(SEARCH("Full",G36)))</formula>
    </cfRule>
    <cfRule type="containsText" dxfId="50" priority="37" operator="containsText" text="Half">
      <formula>NOT(ISERROR(SEARCH("Half",G36)))</formula>
    </cfRule>
    <cfRule type="containsText" dxfId="49" priority="38" operator="containsText" text="Minimal">
      <formula>NOT(ISERROR(SEARCH("Minimal",G36)))</formula>
    </cfRule>
  </conditionalFormatting>
  <conditionalFormatting sqref="I63">
    <cfRule type="expression" dxfId="48" priority="35">
      <formula>AND(#REF!&lt;=1,#REF!&gt;=1)</formula>
    </cfRule>
  </conditionalFormatting>
  <conditionalFormatting sqref="J63">
    <cfRule type="expression" dxfId="47" priority="34">
      <formula>AND(#REF!&lt;=1,#REF!&gt;=1)</formula>
    </cfRule>
  </conditionalFormatting>
  <conditionalFormatting sqref="Q18">
    <cfRule type="containsText" dxfId="46" priority="32" operator="containsText" text="●">
      <formula>NOT(ISERROR(SEARCH("●",Q18)))</formula>
    </cfRule>
  </conditionalFormatting>
  <conditionalFormatting sqref="Q18">
    <cfRule type="containsText" dxfId="45" priority="33" operator="containsText" text="●">
      <formula>NOT(ISERROR(SEARCH("●",Q18)))</formula>
    </cfRule>
  </conditionalFormatting>
  <conditionalFormatting sqref="S16">
    <cfRule type="containsText" dxfId="44" priority="30" operator="containsText" text="●">
      <formula>NOT(ISERROR(SEARCH("●",S16)))</formula>
    </cfRule>
  </conditionalFormatting>
  <conditionalFormatting sqref="S16">
    <cfRule type="containsText" dxfId="43" priority="31" operator="containsText" text="●">
      <formula>NOT(ISERROR(SEARCH("●",S16)))</formula>
    </cfRule>
  </conditionalFormatting>
  <conditionalFormatting sqref="R19">
    <cfRule type="containsText" dxfId="42" priority="28" operator="containsText" text="●">
      <formula>NOT(ISERROR(SEARCH("●",R19)))</formula>
    </cfRule>
  </conditionalFormatting>
  <conditionalFormatting sqref="R19">
    <cfRule type="containsText" dxfId="41" priority="29" operator="containsText" text="●">
      <formula>NOT(ISERROR(SEARCH("●",R19)))</formula>
    </cfRule>
  </conditionalFormatting>
  <conditionalFormatting sqref="I49:J49">
    <cfRule type="expression" dxfId="40" priority="26">
      <formula>AND(#REF!&lt;=1,#REF!&gt;=1)</formula>
    </cfRule>
  </conditionalFormatting>
  <conditionalFormatting sqref="K50">
    <cfRule type="containsText" dxfId="39" priority="23" operator="containsText" text="●">
      <formula>NOT(ISERROR(SEARCH("●",K50)))</formula>
    </cfRule>
  </conditionalFormatting>
  <conditionalFormatting sqref="K50">
    <cfRule type="containsText" dxfId="38" priority="24" operator="containsText" text="●">
      <formula>NOT(ISERROR(SEARCH("●",K50)))</formula>
    </cfRule>
  </conditionalFormatting>
  <conditionalFormatting sqref="K61 K56:K59">
    <cfRule type="containsText" dxfId="37" priority="21" operator="containsText" text="●">
      <formula>NOT(ISERROR(SEARCH("●",K56)))</formula>
    </cfRule>
  </conditionalFormatting>
  <conditionalFormatting sqref="K61 K56:K59">
    <cfRule type="containsText" dxfId="36" priority="22" operator="containsText" text="●">
      <formula>NOT(ISERROR(SEARCH("●",K56)))</formula>
    </cfRule>
  </conditionalFormatting>
  <conditionalFormatting sqref="K65">
    <cfRule type="containsText" dxfId="35" priority="19" operator="containsText" text="●">
      <formula>NOT(ISERROR(SEARCH("●",K65)))</formula>
    </cfRule>
  </conditionalFormatting>
  <conditionalFormatting sqref="K65">
    <cfRule type="containsText" dxfId="34" priority="20" operator="containsText" text="●">
      <formula>NOT(ISERROR(SEARCH("●",K65)))</formula>
    </cfRule>
  </conditionalFormatting>
  <conditionalFormatting sqref="J73:J74">
    <cfRule type="expression" dxfId="33" priority="12">
      <formula>AND(#REF!&lt;=1,#REF!&gt;=1)</formula>
    </cfRule>
  </conditionalFormatting>
  <conditionalFormatting sqref="J75:J78">
    <cfRule type="expression" dxfId="32" priority="11">
      <formula>AND(#REF!&lt;=1,#REF!&gt;=1)</formula>
    </cfRule>
  </conditionalFormatting>
  <conditionalFormatting sqref="I74">
    <cfRule type="expression" dxfId="31" priority="10">
      <formula>AND(#REF!&lt;=1,#REF!&gt;=1)</formula>
    </cfRule>
  </conditionalFormatting>
  <conditionalFormatting sqref="I75">
    <cfRule type="expression" dxfId="30" priority="9">
      <formula>AND(#REF!&lt;=1,#REF!&gt;=1)</formula>
    </cfRule>
  </conditionalFormatting>
  <conditionalFormatting sqref="I76">
    <cfRule type="expression" dxfId="29" priority="8">
      <formula>AND(#REF!&lt;=1,#REF!&gt;=1)</formula>
    </cfRule>
  </conditionalFormatting>
  <conditionalFormatting sqref="I77">
    <cfRule type="expression" dxfId="28" priority="7">
      <formula>AND(#REF!&lt;=1,#REF!&gt;=1)</formula>
    </cfRule>
  </conditionalFormatting>
  <conditionalFormatting sqref="I78">
    <cfRule type="expression" dxfId="27" priority="6">
      <formula>AND(#REF!&lt;=1,#REF!&gt;=1)</formula>
    </cfRule>
  </conditionalFormatting>
  <conditionalFormatting sqref="J72">
    <cfRule type="expression" dxfId="26" priority="5">
      <formula>AND(#REF!&lt;=1,#REF!&gt;=1)</formula>
    </cfRule>
  </conditionalFormatting>
  <conditionalFormatting sqref="J69">
    <cfRule type="expression" dxfId="25" priority="4">
      <formula>AND(#REF!&lt;=2,#REF!&gt;=2)</formula>
    </cfRule>
  </conditionalFormatting>
  <conditionalFormatting sqref="I65:J66">
    <cfRule type="expression" dxfId="24" priority="3">
      <formula>AND(#REF!&lt;=1,#REF!&gt;=1)</formula>
    </cfRule>
  </conditionalFormatting>
  <conditionalFormatting sqref="K66">
    <cfRule type="containsText" dxfId="23" priority="1" operator="containsText" text="●">
      <formula>NOT(ISERROR(SEARCH("●",K66)))</formula>
    </cfRule>
  </conditionalFormatting>
  <conditionalFormatting sqref="K66">
    <cfRule type="containsText" dxfId="22" priority="2" operator="containsText" text="●">
      <formula>NOT(ISERROR(SEARCH("●",K66)))</formula>
    </cfRule>
  </conditionalFormatting>
  <dataValidations count="2">
    <dataValidation type="list" allowBlank="1" showInputMessage="1" showErrorMessage="1" sqref="C3:D3" xr:uid="{7B6D7CB4-3CFE-4791-9DF7-CC2F988E4983}">
      <formula1>"High,Medium,Low"</formula1>
    </dataValidation>
    <dataValidation type="list" errorStyle="warning" allowBlank="1" showInputMessage="1" showErrorMessage="1" errorTitle="Invalid Status" error="Please select from the dropdown list." promptTitle="Status" prompt="Select a status: Contact → NDA/Contract → In Development → Testing → Live" sqref="H4:H82" xr:uid="{24086AA7-BA71-4D69-9524-1BEA7019319B}">
      <formula1>"Contact,NDA/Contract,In Development,Testing,Live"</formula1>
    </dataValidation>
  </dataValidations>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AB7A-282B-49A9-B866-CE25163E2B4D}">
  <dimension ref="A1"/>
  <sheetViews>
    <sheetView topLeftCell="A7" workbookViewId="0">
      <selection activeCell="L25" sqref="L25"/>
    </sheetView>
  </sheetViews>
  <sheetFormatPr defaultRowHeight="17.100000000000001"/>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6" customWidth="1"/>
    <col min="2" max="2" width="20" style="6" customWidth="1"/>
    <col min="3" max="3" width="15" style="6" customWidth="1"/>
    <col min="4" max="4" width="23.25" style="6" customWidth="1"/>
    <col min="5" max="6" width="15.875" style="6" customWidth="1"/>
    <col min="7" max="7" width="14.125" style="6" customWidth="1"/>
    <col min="8" max="9" width="16.75" style="6" customWidth="1"/>
    <col min="10" max="10" width="15.875" style="6" customWidth="1"/>
    <col min="11" max="11" width="15" style="6" customWidth="1"/>
    <col min="12" max="12" width="20" style="6" customWidth="1"/>
    <col min="13" max="13" width="23.25" style="6" customWidth="1"/>
    <col min="14" max="14" width="12.25" style="6" customWidth="1"/>
    <col min="15" max="16384" width="9" style="6"/>
  </cols>
  <sheetData>
    <row r="1" spans="1:14" ht="32.25" customHeight="1">
      <c r="A1" s="525" t="s">
        <v>2686</v>
      </c>
      <c r="B1" s="525"/>
      <c r="C1" s="525"/>
      <c r="D1" s="525"/>
      <c r="E1" s="525"/>
      <c r="F1" s="525"/>
      <c r="G1" s="525"/>
      <c r="H1" s="525"/>
      <c r="I1" s="525"/>
      <c r="J1" s="525"/>
      <c r="K1" s="525"/>
      <c r="L1" s="5"/>
    </row>
    <row r="2" spans="1:14" ht="21.75" customHeight="1">
      <c r="A2" s="521" t="s">
        <v>2687</v>
      </c>
      <c r="B2" s="522"/>
      <c r="C2" s="14"/>
    </row>
    <row r="3" spans="1:14" ht="32.25" customHeight="1">
      <c r="A3" s="19" t="s">
        <v>2688</v>
      </c>
      <c r="B3" s="18"/>
      <c r="C3" s="18"/>
      <c r="D3" s="18"/>
    </row>
    <row r="4" spans="1:14" ht="21.75" customHeight="1">
      <c r="A4" s="523" t="s">
        <v>2689</v>
      </c>
      <c r="B4" s="524"/>
    </row>
    <row r="5" spans="1:14" ht="32.25" customHeight="1">
      <c r="A5" s="525" t="s">
        <v>2690</v>
      </c>
      <c r="B5" s="524"/>
      <c r="C5" s="524"/>
      <c r="D5" s="524"/>
      <c r="E5" s="524"/>
      <c r="F5" s="524"/>
      <c r="G5" s="524"/>
      <c r="H5" s="524"/>
      <c r="I5" s="524"/>
      <c r="J5" s="524"/>
      <c r="K5" s="524"/>
      <c r="L5" s="524"/>
      <c r="M5" s="524"/>
    </row>
    <row r="6" spans="1:14" ht="27.75" customHeight="1">
      <c r="A6" s="7" t="s">
        <v>2691</v>
      </c>
      <c r="B6" s="7" t="s">
        <v>2692</v>
      </c>
      <c r="C6" s="7" t="s">
        <v>2693</v>
      </c>
      <c r="D6" s="7" t="s">
        <v>2694</v>
      </c>
      <c r="E6" s="7" t="s">
        <v>2695</v>
      </c>
      <c r="F6" s="7" t="s">
        <v>2696</v>
      </c>
      <c r="G6" s="7" t="s">
        <v>2697</v>
      </c>
      <c r="H6" s="7" t="s">
        <v>2698</v>
      </c>
      <c r="I6" s="7" t="s">
        <v>2699</v>
      </c>
      <c r="J6" s="7" t="s">
        <v>2700</v>
      </c>
      <c r="K6" s="7" t="s">
        <v>2701</v>
      </c>
      <c r="L6" s="7" t="s">
        <v>2702</v>
      </c>
      <c r="M6" s="7" t="s">
        <v>2703</v>
      </c>
      <c r="N6" s="97" t="s">
        <v>2704</v>
      </c>
    </row>
    <row r="7" spans="1:14" ht="24" customHeight="1">
      <c r="A7" s="8">
        <v>1</v>
      </c>
      <c r="B7" s="8" t="s">
        <v>390</v>
      </c>
      <c r="C7" s="8" t="s">
        <v>20</v>
      </c>
      <c r="D7" s="8" t="s">
        <v>2705</v>
      </c>
      <c r="E7" s="9">
        <v>0.25</v>
      </c>
      <c r="F7" s="9">
        <v>0.22</v>
      </c>
      <c r="G7" s="9">
        <f>F7-E7</f>
        <v>-0.03</v>
      </c>
      <c r="H7" s="10">
        <f>DATE(2026,3,20)</f>
        <v>46101</v>
      </c>
      <c r="I7" s="10">
        <f>DATE(2026,4,3)</f>
        <v>46115</v>
      </c>
      <c r="J7" s="8">
        <f t="shared" ref="J7:J28" si="0">IF(OR(H7="",I7=""),"",I7-H7+1)</f>
        <v>15</v>
      </c>
      <c r="K7" s="8" t="s">
        <v>2706</v>
      </c>
      <c r="L7" s="8" t="s">
        <v>2707</v>
      </c>
      <c r="M7" s="8" t="s">
        <v>2708</v>
      </c>
      <c r="N7" s="22" t="s">
        <v>2709</v>
      </c>
    </row>
    <row r="8" spans="1:14" ht="24" customHeight="1">
      <c r="A8" s="11">
        <v>2</v>
      </c>
      <c r="B8" s="11" t="s">
        <v>322</v>
      </c>
      <c r="C8" s="11" t="s">
        <v>20</v>
      </c>
      <c r="D8" s="11" t="s">
        <v>2705</v>
      </c>
      <c r="E8" s="20">
        <v>0.25</v>
      </c>
      <c r="F8" s="20">
        <v>0.22</v>
      </c>
      <c r="G8" s="20">
        <f>F8-E8</f>
        <v>-0.03</v>
      </c>
      <c r="H8" s="21">
        <f>DATE(2026,3,27)</f>
        <v>46108</v>
      </c>
      <c r="I8" s="13">
        <v>46115</v>
      </c>
      <c r="J8" s="11">
        <f t="shared" si="0"/>
        <v>8</v>
      </c>
      <c r="K8" s="8" t="s">
        <v>2706</v>
      </c>
      <c r="L8" s="11" t="s">
        <v>2710</v>
      </c>
      <c r="M8" s="11" t="s">
        <v>2708</v>
      </c>
      <c r="N8" s="23" t="s">
        <v>2709</v>
      </c>
    </row>
    <row r="9" spans="1:14" ht="24" customHeight="1">
      <c r="A9" s="8">
        <v>3</v>
      </c>
      <c r="B9" s="8" t="s">
        <v>408</v>
      </c>
      <c r="C9" s="8" t="s">
        <v>20</v>
      </c>
      <c r="D9" s="8" t="s">
        <v>2705</v>
      </c>
      <c r="E9" s="9">
        <v>0.25</v>
      </c>
      <c r="F9" s="9">
        <v>0.22</v>
      </c>
      <c r="G9" s="9">
        <v>-0.03</v>
      </c>
      <c r="H9" s="10">
        <f>DATE(2026,5,25)</f>
        <v>46167</v>
      </c>
      <c r="I9" s="10">
        <f>DATE(2026,6,8)</f>
        <v>46181</v>
      </c>
      <c r="J9" s="8">
        <f t="shared" si="0"/>
        <v>15</v>
      </c>
      <c r="K9" s="8"/>
      <c r="L9" s="15"/>
      <c r="M9" s="11" t="s">
        <v>2708</v>
      </c>
      <c r="N9" s="22" t="s">
        <v>2709</v>
      </c>
    </row>
    <row r="10" spans="1:14" ht="24" customHeight="1">
      <c r="A10" s="11">
        <v>4</v>
      </c>
      <c r="B10" s="11" t="s">
        <v>311</v>
      </c>
      <c r="C10" s="11" t="s">
        <v>21</v>
      </c>
      <c r="D10" s="11" t="s">
        <v>2705</v>
      </c>
      <c r="E10" s="12">
        <v>0.47</v>
      </c>
      <c r="F10" s="12">
        <v>0.4</v>
      </c>
      <c r="G10" s="12">
        <f t="shared" ref="G10:G28" si="1">IF(OR(E10="",F10=""),"",F10-E10)</f>
        <v>-6.9999999999999951E-2</v>
      </c>
      <c r="H10" s="13">
        <v>46175</v>
      </c>
      <c r="I10" s="13">
        <v>46184</v>
      </c>
      <c r="J10" s="11">
        <f t="shared" si="0"/>
        <v>10</v>
      </c>
      <c r="K10" s="8" t="s">
        <v>2706</v>
      </c>
      <c r="L10" s="16"/>
      <c r="M10" s="11" t="s">
        <v>2708</v>
      </c>
      <c r="N10" s="22" t="s">
        <v>2709</v>
      </c>
    </row>
    <row r="11" spans="1:14" ht="24" customHeight="1">
      <c r="A11" s="8"/>
      <c r="B11" s="8"/>
      <c r="C11" s="8"/>
      <c r="D11" s="8"/>
      <c r="E11" s="9"/>
      <c r="F11" s="9"/>
      <c r="G11" s="9" t="str">
        <f t="shared" si="1"/>
        <v/>
      </c>
      <c r="H11" s="10"/>
      <c r="I11" s="10"/>
      <c r="J11" s="8" t="str">
        <f t="shared" si="0"/>
        <v/>
      </c>
      <c r="K11" s="8"/>
      <c r="L11" s="15"/>
      <c r="M11" s="8"/>
      <c r="N11" s="22"/>
    </row>
    <row r="12" spans="1:14" ht="24" customHeight="1">
      <c r="A12" s="11"/>
      <c r="B12" s="11"/>
      <c r="C12" s="11"/>
      <c r="D12" s="11"/>
      <c r="E12" s="12"/>
      <c r="F12" s="12"/>
      <c r="G12" s="12" t="str">
        <f t="shared" si="1"/>
        <v/>
      </c>
      <c r="H12" s="13"/>
      <c r="I12" s="13"/>
      <c r="J12" s="11" t="str">
        <f t="shared" si="0"/>
        <v/>
      </c>
      <c r="K12" s="11"/>
      <c r="L12" s="16"/>
      <c r="M12" s="11"/>
      <c r="N12" s="23"/>
    </row>
    <row r="13" spans="1:14" ht="24" customHeight="1">
      <c r="A13" s="8"/>
      <c r="B13" s="8"/>
      <c r="C13" s="8"/>
      <c r="D13" s="8"/>
      <c r="E13" s="9"/>
      <c r="F13" s="9"/>
      <c r="G13" s="9" t="str">
        <f t="shared" si="1"/>
        <v/>
      </c>
      <c r="H13" s="10"/>
      <c r="I13" s="10"/>
      <c r="J13" s="8" t="str">
        <f t="shared" si="0"/>
        <v/>
      </c>
      <c r="K13" s="8"/>
      <c r="L13" s="15"/>
      <c r="M13" s="8"/>
      <c r="N13" s="22"/>
    </row>
    <row r="14" spans="1:14" ht="24" customHeight="1">
      <c r="A14" s="11"/>
      <c r="B14" s="11"/>
      <c r="C14" s="11"/>
      <c r="D14" s="11"/>
      <c r="E14" s="12"/>
      <c r="F14" s="12"/>
      <c r="G14" s="12" t="str">
        <f t="shared" si="1"/>
        <v/>
      </c>
      <c r="H14" s="13"/>
      <c r="I14" s="13"/>
      <c r="J14" s="11" t="str">
        <f t="shared" si="0"/>
        <v/>
      </c>
      <c r="K14" s="11"/>
      <c r="L14" s="16"/>
      <c r="M14" s="11"/>
      <c r="N14" s="23"/>
    </row>
    <row r="15" spans="1:14" ht="24" customHeight="1">
      <c r="A15" s="8"/>
      <c r="B15" s="8"/>
      <c r="C15" s="8"/>
      <c r="D15" s="8"/>
      <c r="E15" s="9"/>
      <c r="F15" s="9"/>
      <c r="G15" s="9" t="str">
        <f t="shared" si="1"/>
        <v/>
      </c>
      <c r="H15" s="10"/>
      <c r="I15" s="10"/>
      <c r="J15" s="8" t="str">
        <f t="shared" si="0"/>
        <v/>
      </c>
      <c r="K15" s="8"/>
      <c r="L15" s="15"/>
      <c r="M15" s="8"/>
      <c r="N15" s="22"/>
    </row>
    <row r="16" spans="1:14" ht="24" customHeight="1">
      <c r="A16" s="11"/>
      <c r="B16" s="11"/>
      <c r="C16" s="11"/>
      <c r="D16" s="11"/>
      <c r="E16" s="12"/>
      <c r="F16" s="12"/>
      <c r="G16" s="12" t="str">
        <f t="shared" si="1"/>
        <v/>
      </c>
      <c r="H16" s="13"/>
      <c r="I16" s="13"/>
      <c r="J16" s="11" t="str">
        <f t="shared" si="0"/>
        <v/>
      </c>
      <c r="K16" s="11"/>
      <c r="L16" s="16"/>
      <c r="M16" s="11"/>
      <c r="N16" s="23"/>
    </row>
    <row r="17" spans="1:14" ht="24" customHeight="1">
      <c r="A17" s="8"/>
      <c r="B17" s="8"/>
      <c r="C17" s="8"/>
      <c r="D17" s="8"/>
      <c r="E17" s="9"/>
      <c r="F17" s="9"/>
      <c r="G17" s="9" t="str">
        <f t="shared" si="1"/>
        <v/>
      </c>
      <c r="H17" s="10"/>
      <c r="I17" s="10"/>
      <c r="J17" s="8" t="str">
        <f t="shared" si="0"/>
        <v/>
      </c>
      <c r="K17" s="8"/>
      <c r="L17" s="15"/>
      <c r="M17" s="8"/>
      <c r="N17" s="22"/>
    </row>
    <row r="18" spans="1:14" ht="24" customHeight="1">
      <c r="A18" s="11"/>
      <c r="B18" s="11"/>
      <c r="C18" s="11"/>
      <c r="D18" s="11"/>
      <c r="E18" s="12"/>
      <c r="F18" s="12"/>
      <c r="G18" s="12" t="str">
        <f t="shared" si="1"/>
        <v/>
      </c>
      <c r="H18" s="13"/>
      <c r="I18" s="13"/>
      <c r="J18" s="11" t="str">
        <f t="shared" si="0"/>
        <v/>
      </c>
      <c r="K18" s="11"/>
      <c r="L18" s="16"/>
      <c r="M18" s="11"/>
      <c r="N18" s="23"/>
    </row>
    <row r="19" spans="1:14" ht="24" customHeight="1">
      <c r="A19" s="8"/>
      <c r="B19" s="8"/>
      <c r="C19" s="8"/>
      <c r="D19" s="8"/>
      <c r="E19" s="9"/>
      <c r="F19" s="9"/>
      <c r="G19" s="9" t="str">
        <f t="shared" si="1"/>
        <v/>
      </c>
      <c r="H19" s="10"/>
      <c r="I19" s="10"/>
      <c r="J19" s="8" t="str">
        <f t="shared" si="0"/>
        <v/>
      </c>
      <c r="K19" s="8"/>
      <c r="L19" s="15"/>
      <c r="M19" s="8"/>
      <c r="N19" s="22"/>
    </row>
    <row r="20" spans="1:14" ht="24" customHeight="1">
      <c r="A20" s="11"/>
      <c r="B20" s="11"/>
      <c r="C20" s="11"/>
      <c r="D20" s="11"/>
      <c r="E20" s="12"/>
      <c r="F20" s="12"/>
      <c r="G20" s="12" t="str">
        <f t="shared" si="1"/>
        <v/>
      </c>
      <c r="H20" s="13"/>
      <c r="I20" s="13"/>
      <c r="J20" s="11" t="str">
        <f t="shared" si="0"/>
        <v/>
      </c>
      <c r="K20" s="11"/>
      <c r="L20" s="16"/>
      <c r="M20" s="11"/>
      <c r="N20" s="23"/>
    </row>
    <row r="21" spans="1:14" ht="24" customHeight="1">
      <c r="A21" s="8"/>
      <c r="B21" s="8"/>
      <c r="C21" s="8"/>
      <c r="D21" s="8"/>
      <c r="E21" s="9"/>
      <c r="F21" s="9"/>
      <c r="G21" s="9" t="str">
        <f t="shared" si="1"/>
        <v/>
      </c>
      <c r="H21" s="10"/>
      <c r="I21" s="10"/>
      <c r="J21" s="8" t="str">
        <f t="shared" si="0"/>
        <v/>
      </c>
      <c r="K21" s="8"/>
      <c r="L21" s="15"/>
      <c r="M21" s="8"/>
      <c r="N21" s="22"/>
    </row>
    <row r="22" spans="1:14" ht="24" customHeight="1">
      <c r="A22" s="11"/>
      <c r="B22" s="11"/>
      <c r="C22" s="11"/>
      <c r="D22" s="11"/>
      <c r="E22" s="12"/>
      <c r="F22" s="12"/>
      <c r="G22" s="12" t="str">
        <f t="shared" si="1"/>
        <v/>
      </c>
      <c r="H22" s="13"/>
      <c r="I22" s="13"/>
      <c r="J22" s="11" t="str">
        <f t="shared" si="0"/>
        <v/>
      </c>
      <c r="K22" s="11"/>
      <c r="L22" s="16"/>
      <c r="M22" s="11"/>
      <c r="N22" s="23"/>
    </row>
    <row r="23" spans="1:14" ht="24" customHeight="1">
      <c r="A23" s="8"/>
      <c r="B23" s="8"/>
      <c r="C23" s="8"/>
      <c r="D23" s="8"/>
      <c r="E23" s="9"/>
      <c r="F23" s="9"/>
      <c r="G23" s="9" t="str">
        <f t="shared" si="1"/>
        <v/>
      </c>
      <c r="H23" s="10"/>
      <c r="I23" s="10"/>
      <c r="J23" s="8" t="str">
        <f t="shared" si="0"/>
        <v/>
      </c>
      <c r="K23" s="8"/>
      <c r="L23" s="15"/>
      <c r="M23" s="8"/>
      <c r="N23" s="22"/>
    </row>
    <row r="24" spans="1:14" ht="24" customHeight="1">
      <c r="A24" s="11"/>
      <c r="B24" s="11"/>
      <c r="C24" s="11"/>
      <c r="D24" s="11"/>
      <c r="E24" s="12"/>
      <c r="F24" s="12"/>
      <c r="G24" s="12" t="str">
        <f t="shared" si="1"/>
        <v/>
      </c>
      <c r="H24" s="13"/>
      <c r="I24" s="13"/>
      <c r="J24" s="11" t="str">
        <f t="shared" si="0"/>
        <v/>
      </c>
      <c r="K24" s="11"/>
      <c r="L24" s="16"/>
      <c r="M24" s="11"/>
      <c r="N24" s="23"/>
    </row>
    <row r="25" spans="1:14" ht="24" customHeight="1">
      <c r="A25" s="8"/>
      <c r="B25" s="8"/>
      <c r="C25" s="8"/>
      <c r="D25" s="8"/>
      <c r="E25" s="9"/>
      <c r="F25" s="9"/>
      <c r="G25" s="9" t="str">
        <f t="shared" si="1"/>
        <v/>
      </c>
      <c r="H25" s="10"/>
      <c r="I25" s="10"/>
      <c r="J25" s="8" t="str">
        <f t="shared" si="0"/>
        <v/>
      </c>
      <c r="K25" s="8"/>
      <c r="L25" s="15"/>
      <c r="M25" s="8"/>
      <c r="N25" s="22"/>
    </row>
    <row r="26" spans="1:14" ht="24" customHeight="1">
      <c r="A26" s="11"/>
      <c r="B26" s="11"/>
      <c r="C26" s="11"/>
      <c r="D26" s="11"/>
      <c r="E26" s="12"/>
      <c r="F26" s="12"/>
      <c r="G26" s="12" t="str">
        <f t="shared" si="1"/>
        <v/>
      </c>
      <c r="H26" s="13"/>
      <c r="I26" s="13"/>
      <c r="J26" s="11" t="str">
        <f t="shared" si="0"/>
        <v/>
      </c>
      <c r="K26" s="11"/>
      <c r="L26" s="16"/>
      <c r="M26" s="11"/>
      <c r="N26" s="23"/>
    </row>
    <row r="27" spans="1:14" ht="24" customHeight="1">
      <c r="A27" s="8"/>
      <c r="B27" s="8"/>
      <c r="C27" s="8"/>
      <c r="D27" s="8"/>
      <c r="E27" s="9"/>
      <c r="F27" s="9"/>
      <c r="G27" s="9" t="str">
        <f t="shared" si="1"/>
        <v/>
      </c>
      <c r="H27" s="10"/>
      <c r="I27" s="10"/>
      <c r="J27" s="8" t="str">
        <f t="shared" si="0"/>
        <v/>
      </c>
      <c r="K27" s="8"/>
      <c r="L27" s="15"/>
      <c r="M27" s="8"/>
      <c r="N27" s="22"/>
    </row>
    <row r="28" spans="1:14" ht="24" customHeight="1">
      <c r="A28" s="11"/>
      <c r="B28" s="11"/>
      <c r="C28" s="11"/>
      <c r="D28" s="11"/>
      <c r="E28" s="12"/>
      <c r="F28" s="12"/>
      <c r="G28" s="12" t="str">
        <f t="shared" si="1"/>
        <v/>
      </c>
      <c r="H28" s="13"/>
      <c r="I28" s="13"/>
      <c r="J28" s="11" t="str">
        <f t="shared" si="0"/>
        <v/>
      </c>
      <c r="K28" s="11"/>
      <c r="L28" s="16"/>
      <c r="M28" s="11"/>
      <c r="N28" s="23"/>
    </row>
  </sheetData>
  <mergeCells count="4">
    <mergeCell ref="A2:B2"/>
    <mergeCell ref="A4:B4"/>
    <mergeCell ref="A5:M5"/>
    <mergeCell ref="A1:K1"/>
  </mergeCells>
  <phoneticPr fontId="3" type="noConversion"/>
  <conditionalFormatting sqref="K7:K28">
    <cfRule type="containsText" dxfId="21" priority="1" operator="containsText" text="완료">
      <formula>NOT(ISERROR(SEARCH("완료",K7)))</formula>
    </cfRule>
    <cfRule type="containsText" dxfId="20" priority="2" operator="containsText" text="진행중">
      <formula>NOT(ISERROR(SEARCH("진행중",K7)))</formula>
    </cfRule>
    <cfRule type="containsText" dxfId="19" priority="3" operator="containsText" text="예정">
      <formula>NOT(ISERROR(SEARCH("예정",K7)))</formula>
    </cfRule>
    <cfRule type="containsText" dxfId="18" priority="4" operator="containsText" text="취소">
      <formula>NOT(ISERROR(SEARCH("취소",K7)))</formula>
    </cfRule>
  </conditionalFormatting>
  <conditionalFormatting sqref="L7:L28">
    <cfRule type="containsText" dxfId="17" priority="5" operator="containsText" text="증가">
      <formula>NOT(ISERROR(SEARCH("증가",L7)))</formula>
    </cfRule>
    <cfRule type="containsText" dxfId="16" priority="6" operator="containsText" text="감소">
      <formula>NOT(ISERROR(SEARCH("감소",L7)))</formula>
    </cfRule>
    <cfRule type="containsText" dxfId="15" priority="7" operator="containsText" text="변동 없음">
      <formula>NOT(ISERROR(SEARCH("변동 없음",L7)))</formula>
    </cfRule>
    <cfRule type="containsText" dxfId="1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6" customWidth="1"/>
    <col min="2" max="2" width="13.125" style="6" bestFit="1" customWidth="1"/>
    <col min="3" max="3" width="14.25" style="6" bestFit="1" customWidth="1"/>
    <col min="4" max="4" width="11.75" style="6" customWidth="1"/>
    <col min="5" max="5" width="34.125" style="6" customWidth="1"/>
    <col min="6" max="6" width="25.25" style="6" customWidth="1"/>
    <col min="7" max="7" width="28" style="6" customWidth="1"/>
    <col min="8" max="16384" width="9" style="6"/>
  </cols>
  <sheetData>
    <row r="1" spans="1:9" ht="24" customHeight="1">
      <c r="A1" s="45" t="s">
        <v>2462</v>
      </c>
      <c r="B1" s="45" t="s">
        <v>2711</v>
      </c>
      <c r="C1" s="45" t="s">
        <v>2712</v>
      </c>
      <c r="D1" s="46" t="s">
        <v>2713</v>
      </c>
      <c r="E1" s="45" t="s">
        <v>2714</v>
      </c>
      <c r="F1" s="47" t="s">
        <v>2715</v>
      </c>
      <c r="G1" s="47" t="s">
        <v>2716</v>
      </c>
      <c r="H1" s="48"/>
      <c r="I1" s="48"/>
    </row>
    <row r="2" spans="1:9">
      <c r="A2" s="49">
        <v>1</v>
      </c>
      <c r="B2" s="49" t="s">
        <v>2717</v>
      </c>
      <c r="C2" s="50" t="s">
        <v>1489</v>
      </c>
      <c r="D2" s="51">
        <v>46083</v>
      </c>
      <c r="E2" s="58" t="s">
        <v>2718</v>
      </c>
      <c r="F2" s="98">
        <v>46143</v>
      </c>
      <c r="G2" s="60" t="s">
        <v>2719</v>
      </c>
      <c r="H2" s="48" t="s">
        <v>2720</v>
      </c>
      <c r="I2" s="48"/>
    </row>
    <row r="3" spans="1:9">
      <c r="A3" s="49">
        <v>2</v>
      </c>
      <c r="B3" s="49" t="s">
        <v>2721</v>
      </c>
      <c r="C3" s="50" t="s">
        <v>1489</v>
      </c>
      <c r="D3" s="49"/>
      <c r="E3" s="58" t="s">
        <v>2722</v>
      </c>
      <c r="F3" s="98">
        <v>46174</v>
      </c>
      <c r="G3" s="60" t="s">
        <v>2723</v>
      </c>
      <c r="H3" s="48" t="s">
        <v>2724</v>
      </c>
      <c r="I3" s="48"/>
    </row>
    <row r="4" spans="1:9">
      <c r="A4" s="49">
        <v>3</v>
      </c>
      <c r="B4" s="52" t="s">
        <v>2725</v>
      </c>
      <c r="C4" s="50" t="s">
        <v>1489</v>
      </c>
      <c r="D4" s="51">
        <v>46083</v>
      </c>
      <c r="E4" s="59" t="s">
        <v>2726</v>
      </c>
      <c r="F4" s="65">
        <v>46125</v>
      </c>
      <c r="G4" s="60" t="s">
        <v>2727</v>
      </c>
      <c r="H4" s="48"/>
      <c r="I4" s="48"/>
    </row>
    <row r="5" spans="1:9">
      <c r="A5" s="49">
        <v>4</v>
      </c>
      <c r="B5" s="52" t="s">
        <v>2728</v>
      </c>
      <c r="C5" s="50" t="s">
        <v>1489</v>
      </c>
      <c r="D5" s="51">
        <v>46083</v>
      </c>
      <c r="E5" s="59" t="s">
        <v>2729</v>
      </c>
      <c r="F5" s="65">
        <v>46104</v>
      </c>
      <c r="G5" s="60" t="s">
        <v>2730</v>
      </c>
      <c r="H5" s="48"/>
      <c r="I5" s="48"/>
    </row>
    <row r="6" spans="1:9">
      <c r="A6" s="49">
        <v>5</v>
      </c>
      <c r="B6" s="49" t="s">
        <v>467</v>
      </c>
      <c r="C6" s="49" t="s">
        <v>449</v>
      </c>
      <c r="D6" s="49"/>
      <c r="E6" s="58" t="s">
        <v>2731</v>
      </c>
      <c r="F6" s="98">
        <v>46143</v>
      </c>
      <c r="G6" s="60" t="s">
        <v>2732</v>
      </c>
      <c r="H6" s="48"/>
      <c r="I6" s="48"/>
    </row>
    <row r="7" spans="1:9">
      <c r="A7" s="49">
        <v>6</v>
      </c>
      <c r="B7" s="52" t="s">
        <v>2733</v>
      </c>
      <c r="C7" s="49" t="s">
        <v>2734</v>
      </c>
      <c r="D7" s="51">
        <v>46097</v>
      </c>
      <c r="E7" s="59" t="s">
        <v>2735</v>
      </c>
      <c r="F7" s="65">
        <v>46113</v>
      </c>
      <c r="G7" s="60" t="s">
        <v>2736</v>
      </c>
      <c r="H7" s="48"/>
      <c r="I7" s="48"/>
    </row>
    <row r="8" spans="1:9">
      <c r="A8" s="49">
        <v>7</v>
      </c>
      <c r="B8" s="52" t="s">
        <v>2737</v>
      </c>
      <c r="C8" s="49" t="s">
        <v>2734</v>
      </c>
      <c r="D8" s="51">
        <v>46097</v>
      </c>
      <c r="E8" s="59" t="s">
        <v>2738</v>
      </c>
      <c r="F8" s="65">
        <v>46113</v>
      </c>
      <c r="G8" s="60" t="s">
        <v>2736</v>
      </c>
      <c r="H8" s="48"/>
      <c r="I8" s="48"/>
    </row>
    <row r="9" spans="1:9">
      <c r="A9" s="49">
        <v>8</v>
      </c>
      <c r="B9" s="52" t="s">
        <v>2739</v>
      </c>
      <c r="C9" s="49" t="s">
        <v>2734</v>
      </c>
      <c r="D9" s="51">
        <v>46113</v>
      </c>
      <c r="E9" s="58" t="s">
        <v>2740</v>
      </c>
      <c r="F9" s="98">
        <v>46143</v>
      </c>
      <c r="G9" s="60" t="s">
        <v>2741</v>
      </c>
      <c r="H9" s="48"/>
      <c r="I9" s="48"/>
    </row>
    <row r="10" spans="1:9">
      <c r="A10" s="49">
        <v>9</v>
      </c>
      <c r="B10" s="52" t="s">
        <v>2742</v>
      </c>
      <c r="C10" s="49" t="s">
        <v>2734</v>
      </c>
      <c r="D10" s="51">
        <v>46097</v>
      </c>
      <c r="E10" s="58" t="s">
        <v>2740</v>
      </c>
      <c r="F10" s="64">
        <v>46113</v>
      </c>
      <c r="G10" s="60" t="s">
        <v>2736</v>
      </c>
      <c r="H10" s="48"/>
      <c r="I10" s="48"/>
    </row>
    <row r="11" spans="1:9">
      <c r="A11" s="49">
        <v>10</v>
      </c>
      <c r="B11" s="49" t="s">
        <v>2743</v>
      </c>
      <c r="C11" s="49" t="s">
        <v>2734</v>
      </c>
      <c r="D11" s="51">
        <v>46143</v>
      </c>
      <c r="E11" s="58" t="s">
        <v>2744</v>
      </c>
      <c r="F11" s="98">
        <v>46143</v>
      </c>
      <c r="G11" s="60" t="s">
        <v>2745</v>
      </c>
      <c r="H11" s="48" t="s">
        <v>2746</v>
      </c>
      <c r="I11" s="48"/>
    </row>
    <row r="12" spans="1:9">
      <c r="A12" s="49">
        <v>11</v>
      </c>
      <c r="B12" s="52" t="s">
        <v>650</v>
      </c>
      <c r="C12" s="49" t="s">
        <v>2734</v>
      </c>
      <c r="D12" s="51">
        <v>46113</v>
      </c>
      <c r="E12" s="58" t="s">
        <v>2747</v>
      </c>
      <c r="F12" s="64">
        <v>46113</v>
      </c>
      <c r="G12" s="60" t="s">
        <v>2736</v>
      </c>
      <c r="H12" s="48"/>
      <c r="I12" s="48"/>
    </row>
    <row r="13" spans="1:9">
      <c r="A13" s="49">
        <v>12</v>
      </c>
      <c r="B13" s="52" t="s">
        <v>2748</v>
      </c>
      <c r="C13" s="49" t="s">
        <v>2734</v>
      </c>
      <c r="D13" s="51">
        <v>46082</v>
      </c>
      <c r="E13" s="59" t="s">
        <v>2749</v>
      </c>
      <c r="F13" s="65">
        <v>46113</v>
      </c>
      <c r="G13" s="60" t="s">
        <v>2736</v>
      </c>
      <c r="H13" s="48"/>
      <c r="I13" s="48"/>
    </row>
    <row r="14" spans="1:9">
      <c r="A14" s="49">
        <v>13</v>
      </c>
      <c r="B14" s="52" t="s">
        <v>2750</v>
      </c>
      <c r="C14" s="49" t="s">
        <v>2734</v>
      </c>
      <c r="D14" s="51">
        <v>46097</v>
      </c>
      <c r="E14" s="59" t="s">
        <v>2738</v>
      </c>
      <c r="F14" s="65">
        <v>46097</v>
      </c>
      <c r="G14" s="60" t="s">
        <v>2738</v>
      </c>
      <c r="H14" s="48"/>
      <c r="I14" s="48"/>
    </row>
    <row r="15" spans="1:9">
      <c r="A15" s="49">
        <v>14</v>
      </c>
      <c r="B15" s="52" t="s">
        <v>2751</v>
      </c>
      <c r="C15" s="49" t="s">
        <v>2734</v>
      </c>
      <c r="D15" s="51">
        <v>46082</v>
      </c>
      <c r="E15" s="59" t="s">
        <v>2749</v>
      </c>
      <c r="F15" s="65">
        <v>46113</v>
      </c>
      <c r="G15" s="60" t="s">
        <v>2736</v>
      </c>
      <c r="H15" s="48"/>
      <c r="I15" s="48"/>
    </row>
    <row r="16" spans="1:9">
      <c r="A16" s="49">
        <v>15</v>
      </c>
      <c r="B16" s="52" t="s">
        <v>640</v>
      </c>
      <c r="C16" s="49" t="s">
        <v>2734</v>
      </c>
      <c r="D16" s="51">
        <v>46082</v>
      </c>
      <c r="E16" s="59" t="s">
        <v>2752</v>
      </c>
      <c r="F16" s="65">
        <v>46113</v>
      </c>
      <c r="G16" s="60" t="s">
        <v>2753</v>
      </c>
      <c r="H16" s="48"/>
      <c r="I16" s="48"/>
    </row>
    <row r="17" spans="1:9">
      <c r="A17" s="54">
        <v>16</v>
      </c>
      <c r="B17" s="54" t="s">
        <v>2754</v>
      </c>
      <c r="C17" s="54" t="s">
        <v>2734</v>
      </c>
      <c r="D17" s="70">
        <v>46097</v>
      </c>
      <c r="E17" s="71" t="s">
        <v>2755</v>
      </c>
      <c r="F17" s="98">
        <v>46188</v>
      </c>
      <c r="G17" s="61" t="s">
        <v>2756</v>
      </c>
      <c r="H17" s="48"/>
      <c r="I17" s="48"/>
    </row>
    <row r="18" spans="1:9">
      <c r="A18" s="67">
        <v>17</v>
      </c>
      <c r="B18" s="67" t="s">
        <v>2757</v>
      </c>
      <c r="C18" s="50" t="s">
        <v>1489</v>
      </c>
      <c r="D18" s="68">
        <v>46143</v>
      </c>
      <c r="E18" s="55"/>
      <c r="F18" s="98">
        <v>46143</v>
      </c>
      <c r="G18" s="69" t="s">
        <v>2758</v>
      </c>
      <c r="H18" s="48"/>
      <c r="I18" s="48"/>
    </row>
    <row r="19" spans="1:9">
      <c r="A19" s="55">
        <v>18</v>
      </c>
      <c r="B19" s="55" t="s">
        <v>311</v>
      </c>
      <c r="C19" s="55"/>
      <c r="D19" s="55"/>
      <c r="E19" s="55"/>
      <c r="F19" s="55"/>
      <c r="G19" s="67"/>
      <c r="H19" s="48"/>
      <c r="I19" s="48"/>
    </row>
    <row r="20" spans="1:9">
      <c r="A20" s="48"/>
      <c r="B20" s="48"/>
      <c r="C20" s="48"/>
      <c r="D20" s="48"/>
      <c r="E20" s="48"/>
      <c r="F20" s="48"/>
      <c r="G20" s="53"/>
      <c r="H20" s="48"/>
      <c r="I20" s="48"/>
    </row>
    <row r="21" spans="1:9">
      <c r="A21" s="45" t="s">
        <v>2759</v>
      </c>
      <c r="B21" s="45" t="s">
        <v>2760</v>
      </c>
      <c r="C21" s="45" t="s">
        <v>2761</v>
      </c>
      <c r="D21" s="46" t="s">
        <v>2762</v>
      </c>
      <c r="E21" s="62" t="s">
        <v>2763</v>
      </c>
      <c r="F21" s="47" t="s">
        <v>2715</v>
      </c>
      <c r="G21" s="47" t="s">
        <v>2716</v>
      </c>
      <c r="H21" s="53"/>
      <c r="I21" s="48"/>
    </row>
    <row r="22" spans="1:9">
      <c r="A22" s="49">
        <v>1</v>
      </c>
      <c r="B22" s="52" t="s">
        <v>2764</v>
      </c>
      <c r="C22" s="49" t="s">
        <v>2734</v>
      </c>
      <c r="D22" s="51">
        <v>46082</v>
      </c>
      <c r="E22" s="59" t="s">
        <v>2765</v>
      </c>
      <c r="F22" s="65">
        <v>46113</v>
      </c>
      <c r="G22" s="60" t="s">
        <v>2736</v>
      </c>
      <c r="H22" s="48"/>
      <c r="I22" s="48"/>
    </row>
    <row r="23" spans="1:9">
      <c r="A23" s="49">
        <v>2</v>
      </c>
      <c r="B23" s="49" t="s">
        <v>2766</v>
      </c>
      <c r="C23" s="49" t="s">
        <v>2734</v>
      </c>
      <c r="D23" s="51">
        <v>46097</v>
      </c>
      <c r="E23" s="59" t="s">
        <v>2767</v>
      </c>
      <c r="F23" s="65">
        <v>46113</v>
      </c>
      <c r="G23" s="60" t="s">
        <v>2736</v>
      </c>
      <c r="H23" s="48"/>
      <c r="I23" s="48"/>
    </row>
    <row r="24" spans="1:9">
      <c r="A24" s="49">
        <v>3</v>
      </c>
      <c r="B24" s="49" t="s">
        <v>2768</v>
      </c>
      <c r="C24" s="49" t="s">
        <v>2734</v>
      </c>
      <c r="D24" s="51">
        <v>46082</v>
      </c>
      <c r="E24" s="63" t="s">
        <v>2769</v>
      </c>
      <c r="F24" s="66">
        <v>46113</v>
      </c>
      <c r="G24" s="60" t="s">
        <v>2736</v>
      </c>
      <c r="H24" s="48"/>
      <c r="I24" s="48"/>
    </row>
    <row r="25" spans="1:9">
      <c r="A25" s="49">
        <v>4</v>
      </c>
      <c r="B25" s="49" t="s">
        <v>2770</v>
      </c>
      <c r="C25" s="49" t="s">
        <v>2734</v>
      </c>
      <c r="D25" s="51">
        <v>46082</v>
      </c>
      <c r="E25" s="58" t="s">
        <v>2771</v>
      </c>
      <c r="F25" s="64">
        <v>46113</v>
      </c>
      <c r="G25" s="99" t="s">
        <v>2772</v>
      </c>
      <c r="H25" s="48"/>
      <c r="I25" s="48"/>
    </row>
    <row r="26" spans="1:9">
      <c r="A26" s="49">
        <v>5</v>
      </c>
      <c r="B26" s="49" t="s">
        <v>2773</v>
      </c>
      <c r="C26" s="49" t="s">
        <v>2734</v>
      </c>
      <c r="D26" s="51">
        <v>46082</v>
      </c>
      <c r="E26" s="63" t="s">
        <v>2769</v>
      </c>
      <c r="F26" s="66">
        <v>46113</v>
      </c>
      <c r="G26" s="60" t="s">
        <v>2736</v>
      </c>
      <c r="H26" s="48"/>
      <c r="I26" s="48"/>
    </row>
    <row r="27" spans="1:9">
      <c r="A27" s="54">
        <v>6</v>
      </c>
      <c r="B27" s="49" t="s">
        <v>2774</v>
      </c>
      <c r="C27" s="49" t="s">
        <v>2734</v>
      </c>
      <c r="D27" s="51">
        <v>46082</v>
      </c>
      <c r="E27" s="58" t="s">
        <v>2775</v>
      </c>
      <c r="F27" s="64">
        <v>46113</v>
      </c>
      <c r="G27" s="99" t="s">
        <v>2736</v>
      </c>
      <c r="H27" s="48"/>
      <c r="I27" s="48"/>
    </row>
    <row r="28" spans="1:9">
      <c r="A28" s="55">
        <v>7</v>
      </c>
      <c r="B28" s="67" t="s">
        <v>1839</v>
      </c>
      <c r="C28" s="67" t="s">
        <v>2734</v>
      </c>
      <c r="D28" s="56"/>
      <c r="E28" s="57"/>
      <c r="F28" s="64">
        <v>46113</v>
      </c>
      <c r="G28" s="60" t="s">
        <v>2736</v>
      </c>
      <c r="H28" s="48"/>
      <c r="I28" s="48"/>
    </row>
    <row r="29" spans="1:9">
      <c r="A29" s="55">
        <v>8</v>
      </c>
      <c r="B29" s="67" t="s">
        <v>1481</v>
      </c>
      <c r="C29" s="100" t="s">
        <v>1489</v>
      </c>
      <c r="D29" s="56"/>
      <c r="E29" s="57"/>
      <c r="F29" s="64">
        <v>46113</v>
      </c>
      <c r="G29" s="60" t="s">
        <v>2736</v>
      </c>
      <c r="H29" s="48"/>
      <c r="I29" s="48"/>
    </row>
    <row r="30" spans="1:9">
      <c r="A30" s="48"/>
      <c r="B30" s="48"/>
      <c r="C30" s="48"/>
      <c r="D30" s="48"/>
      <c r="E30" s="48"/>
      <c r="F30" s="48"/>
      <c r="G30" s="53"/>
      <c r="H30" s="48"/>
      <c r="I30" s="48"/>
    </row>
  </sheetData>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H6" sqref="H6"/>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103"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8" customFormat="1" ht="21.95" customHeight="1">
      <c r="A1" s="121" t="s">
        <v>2776</v>
      </c>
      <c r="E1" s="130"/>
      <c r="J1" s="526" t="s">
        <v>2520</v>
      </c>
      <c r="K1" s="526"/>
      <c r="L1" s="526"/>
      <c r="M1" s="526"/>
      <c r="N1" s="526"/>
      <c r="O1" s="526"/>
      <c r="P1" s="526"/>
      <c r="Q1" s="526"/>
      <c r="R1" s="526"/>
      <c r="S1" s="526"/>
      <c r="T1" s="526"/>
      <c r="U1" s="526"/>
      <c r="V1" s="526"/>
      <c r="W1" s="527" t="s">
        <v>2521</v>
      </c>
      <c r="X1" s="527"/>
      <c r="Y1" s="527"/>
      <c r="Z1" s="527"/>
      <c r="AA1" s="527"/>
      <c r="AB1" s="527"/>
      <c r="AC1" s="527"/>
      <c r="AD1" s="527"/>
      <c r="AE1" s="527"/>
      <c r="AF1" s="527"/>
      <c r="AG1" s="527"/>
      <c r="AH1" s="527"/>
      <c r="AI1" s="527"/>
      <c r="AJ1" s="528" t="s">
        <v>2522</v>
      </c>
      <c r="AK1" s="528"/>
      <c r="AL1" s="528"/>
      <c r="AM1" s="528"/>
      <c r="AN1" s="528"/>
      <c r="AO1" s="528"/>
      <c r="AP1" s="528"/>
      <c r="AQ1" s="528"/>
      <c r="AR1" s="528"/>
      <c r="AS1" s="528"/>
      <c r="AT1" s="528"/>
      <c r="AU1" s="528"/>
      <c r="AV1" s="528"/>
      <c r="AW1" s="529" t="s">
        <v>2519</v>
      </c>
      <c r="AX1" s="529"/>
      <c r="AY1" s="529"/>
      <c r="AZ1" s="529"/>
      <c r="BA1" s="529"/>
      <c r="BB1" s="529"/>
      <c r="BC1" s="529"/>
      <c r="BD1" s="529"/>
      <c r="BE1" s="529"/>
      <c r="BF1" s="529"/>
      <c r="BG1" s="529"/>
      <c r="BH1" s="529"/>
      <c r="BI1" s="529"/>
    </row>
    <row r="2" spans="1:61" s="18" customFormat="1" ht="20.100000000000001" customHeight="1">
      <c r="E2" s="130"/>
      <c r="J2" s="530" t="s">
        <v>2531</v>
      </c>
      <c r="K2" s="530"/>
      <c r="L2" s="530"/>
      <c r="M2" s="530"/>
      <c r="N2" s="530" t="s">
        <v>2532</v>
      </c>
      <c r="O2" s="530"/>
      <c r="P2" s="530"/>
      <c r="Q2" s="530"/>
      <c r="R2" s="530" t="s">
        <v>2533</v>
      </c>
      <c r="S2" s="530"/>
      <c r="T2" s="530"/>
      <c r="U2" s="530"/>
      <c r="V2" s="530"/>
      <c r="W2" s="527" t="s">
        <v>2534</v>
      </c>
      <c r="X2" s="527"/>
      <c r="Y2" s="527"/>
      <c r="Z2" s="527"/>
      <c r="AA2" s="527" t="s">
        <v>2535</v>
      </c>
      <c r="AB2" s="527"/>
      <c r="AC2" s="527"/>
      <c r="AD2" s="527"/>
      <c r="AE2" s="527" t="s">
        <v>2536</v>
      </c>
      <c r="AF2" s="527"/>
      <c r="AG2" s="527"/>
      <c r="AH2" s="527"/>
      <c r="AI2" s="527"/>
      <c r="AJ2" s="528" t="s">
        <v>2537</v>
      </c>
      <c r="AK2" s="528"/>
      <c r="AL2" s="528"/>
      <c r="AM2" s="528"/>
      <c r="AN2" s="528" t="s">
        <v>2538</v>
      </c>
      <c r="AO2" s="528"/>
      <c r="AP2" s="528"/>
      <c r="AQ2" s="528"/>
      <c r="AR2" s="528"/>
      <c r="AS2" s="528" t="s">
        <v>2539</v>
      </c>
      <c r="AT2" s="528"/>
      <c r="AU2" s="528"/>
      <c r="AV2" s="528"/>
      <c r="AW2" s="529" t="s">
        <v>2528</v>
      </c>
      <c r="AX2" s="529"/>
      <c r="AY2" s="529"/>
      <c r="AZ2" s="529"/>
      <c r="BA2" s="529" t="s">
        <v>2529</v>
      </c>
      <c r="BB2" s="529"/>
      <c r="BC2" s="529"/>
      <c r="BD2" s="529"/>
      <c r="BE2" s="529"/>
      <c r="BF2" s="529" t="s">
        <v>2530</v>
      </c>
      <c r="BG2" s="529"/>
      <c r="BH2" s="529"/>
      <c r="BI2" s="529"/>
    </row>
    <row r="3" spans="1:61" s="18" customFormat="1" ht="30" customHeight="1">
      <c r="A3" s="126" t="s">
        <v>61</v>
      </c>
      <c r="B3" s="127" t="s">
        <v>2463</v>
      </c>
      <c r="C3" s="128" t="s">
        <v>2523</v>
      </c>
      <c r="D3" s="128" t="s">
        <v>19</v>
      </c>
      <c r="E3" s="127" t="s">
        <v>2777</v>
      </c>
      <c r="F3" s="127" t="s">
        <v>0</v>
      </c>
      <c r="G3" s="127" t="s">
        <v>2778</v>
      </c>
      <c r="H3" s="127" t="s">
        <v>2779</v>
      </c>
      <c r="I3" s="129" t="s">
        <v>2780</v>
      </c>
      <c r="J3" s="122" t="s">
        <v>2781</v>
      </c>
      <c r="K3" s="122" t="s">
        <v>2782</v>
      </c>
      <c r="L3" s="122" t="s">
        <v>2783</v>
      </c>
      <c r="M3" s="122" t="s">
        <v>2784</v>
      </c>
      <c r="N3" s="122" t="s">
        <v>2781</v>
      </c>
      <c r="O3" s="122" t="s">
        <v>2782</v>
      </c>
      <c r="P3" s="122" t="s">
        <v>2783</v>
      </c>
      <c r="Q3" s="122" t="s">
        <v>2784</v>
      </c>
      <c r="R3" s="122" t="s">
        <v>2781</v>
      </c>
      <c r="S3" s="122" t="s">
        <v>2782</v>
      </c>
      <c r="T3" s="122" t="s">
        <v>2783</v>
      </c>
      <c r="U3" s="122" t="s">
        <v>2784</v>
      </c>
      <c r="V3" s="122" t="s">
        <v>2785</v>
      </c>
      <c r="W3" s="123" t="s">
        <v>2781</v>
      </c>
      <c r="X3" s="123" t="s">
        <v>2782</v>
      </c>
      <c r="Y3" s="123" t="s">
        <v>2783</v>
      </c>
      <c r="Z3" s="123" t="s">
        <v>2784</v>
      </c>
      <c r="AA3" s="123" t="s">
        <v>2781</v>
      </c>
      <c r="AB3" s="123" t="s">
        <v>2782</v>
      </c>
      <c r="AC3" s="123" t="s">
        <v>2783</v>
      </c>
      <c r="AD3" s="123" t="s">
        <v>2784</v>
      </c>
      <c r="AE3" s="123" t="s">
        <v>2781</v>
      </c>
      <c r="AF3" s="123" t="s">
        <v>2782</v>
      </c>
      <c r="AG3" s="123" t="s">
        <v>2783</v>
      </c>
      <c r="AH3" s="123" t="s">
        <v>2784</v>
      </c>
      <c r="AI3" s="123" t="s">
        <v>2785</v>
      </c>
      <c r="AJ3" s="124" t="s">
        <v>2781</v>
      </c>
      <c r="AK3" s="124" t="s">
        <v>2782</v>
      </c>
      <c r="AL3" s="124" t="s">
        <v>2783</v>
      </c>
      <c r="AM3" s="124" t="s">
        <v>2784</v>
      </c>
      <c r="AN3" s="124" t="s">
        <v>2781</v>
      </c>
      <c r="AO3" s="124" t="s">
        <v>2782</v>
      </c>
      <c r="AP3" s="124" t="s">
        <v>2783</v>
      </c>
      <c r="AQ3" s="124" t="s">
        <v>2784</v>
      </c>
      <c r="AR3" s="124" t="s">
        <v>2785</v>
      </c>
      <c r="AS3" s="124" t="s">
        <v>2781</v>
      </c>
      <c r="AT3" s="124" t="s">
        <v>2782</v>
      </c>
      <c r="AU3" s="124" t="s">
        <v>2783</v>
      </c>
      <c r="AV3" s="124" t="s">
        <v>2784</v>
      </c>
      <c r="AW3" s="125" t="s">
        <v>2781</v>
      </c>
      <c r="AX3" s="125" t="s">
        <v>2782</v>
      </c>
      <c r="AY3" s="125" t="s">
        <v>2783</v>
      </c>
      <c r="AZ3" s="125" t="s">
        <v>2784</v>
      </c>
      <c r="BA3" s="125" t="s">
        <v>2781</v>
      </c>
      <c r="BB3" s="125" t="s">
        <v>2782</v>
      </c>
      <c r="BC3" s="125" t="s">
        <v>2783</v>
      </c>
      <c r="BD3" s="125" t="s">
        <v>2784</v>
      </c>
      <c r="BE3" s="125" t="s">
        <v>2785</v>
      </c>
      <c r="BF3" s="125" t="s">
        <v>2781</v>
      </c>
      <c r="BG3" s="125" t="s">
        <v>2782</v>
      </c>
      <c r="BH3" s="125" t="s">
        <v>2783</v>
      </c>
      <c r="BI3" s="125" t="s">
        <v>2784</v>
      </c>
    </row>
    <row r="4" spans="1:61" s="18" customFormat="1" ht="36" customHeight="1">
      <c r="A4" s="531" t="s">
        <v>2786</v>
      </c>
      <c r="B4" s="131" t="s">
        <v>2787</v>
      </c>
      <c r="C4" s="114" t="s">
        <v>2788</v>
      </c>
      <c r="D4" s="114"/>
      <c r="E4" s="131" t="s">
        <v>2789</v>
      </c>
      <c r="F4" s="113" t="s">
        <v>2790</v>
      </c>
      <c r="G4" s="115">
        <v>46188</v>
      </c>
      <c r="H4" s="115">
        <v>46199</v>
      </c>
      <c r="I4" s="118" t="s">
        <v>2791</v>
      </c>
      <c r="J4" s="117" t="str">
        <f t="shared" ref="J4:S8" si="0">IF(AND(ISNUMBER($G4),ISNUMBER($H4),J$191+6&gt;=$G4,J$191&lt;=$H4),"●","")</f>
        <v/>
      </c>
      <c r="K4" s="117" t="str">
        <f t="shared" si="0"/>
        <v/>
      </c>
      <c r="L4" s="117" t="str">
        <f t="shared" si="0"/>
        <v/>
      </c>
      <c r="M4" s="117" t="str">
        <f t="shared" si="0"/>
        <v/>
      </c>
      <c r="N4" s="117" t="str">
        <f t="shared" si="0"/>
        <v/>
      </c>
      <c r="O4" s="117" t="str">
        <f t="shared" si="0"/>
        <v/>
      </c>
      <c r="P4" s="117" t="str">
        <f t="shared" si="0"/>
        <v/>
      </c>
      <c r="Q4" s="117" t="str">
        <f t="shared" si="0"/>
        <v/>
      </c>
      <c r="R4" s="117" t="str">
        <f t="shared" si="0"/>
        <v/>
      </c>
      <c r="S4" s="117" t="str">
        <f t="shared" si="0"/>
        <v/>
      </c>
      <c r="T4" s="117" t="str">
        <f t="shared" ref="T4:AC8" si="1">IF(AND(ISNUMBER($G4),ISNUMBER($H4),T$191+6&gt;=$G4,T$191&lt;=$H4),"●","")</f>
        <v/>
      </c>
      <c r="U4" s="117" t="str">
        <f t="shared" si="1"/>
        <v/>
      </c>
      <c r="V4" s="117" t="str">
        <f t="shared" si="1"/>
        <v/>
      </c>
      <c r="W4" s="117" t="str">
        <f t="shared" si="1"/>
        <v/>
      </c>
      <c r="X4" s="117" t="str">
        <f t="shared" si="1"/>
        <v/>
      </c>
      <c r="Y4" s="117" t="str">
        <f t="shared" si="1"/>
        <v/>
      </c>
      <c r="Z4" s="117" t="str">
        <f t="shared" si="1"/>
        <v/>
      </c>
      <c r="AA4" s="117" t="str">
        <f t="shared" si="1"/>
        <v/>
      </c>
      <c r="AB4" s="117" t="str">
        <f t="shared" si="1"/>
        <v/>
      </c>
      <c r="AC4" s="117" t="str">
        <f t="shared" si="1"/>
        <v/>
      </c>
      <c r="AD4" s="117" t="str">
        <f t="shared" ref="AD4:AM8" si="2">IF(AND(ISNUMBER($G4),ISNUMBER($H4),AD$191+6&gt;=$G4,AD$191&lt;=$H4),"●","")</f>
        <v/>
      </c>
      <c r="AE4" s="117" t="str">
        <f t="shared" si="2"/>
        <v/>
      </c>
      <c r="AF4" s="117" t="str">
        <f t="shared" si="2"/>
        <v/>
      </c>
      <c r="AG4" s="117" t="str">
        <f t="shared" si="2"/>
        <v>●</v>
      </c>
      <c r="AH4" s="117" t="str">
        <f t="shared" si="2"/>
        <v>●</v>
      </c>
      <c r="AI4" s="117" t="str">
        <f t="shared" si="2"/>
        <v/>
      </c>
      <c r="AJ4" s="117" t="str">
        <f t="shared" si="2"/>
        <v/>
      </c>
      <c r="AK4" s="117" t="str">
        <f t="shared" si="2"/>
        <v/>
      </c>
      <c r="AL4" s="117" t="str">
        <f t="shared" si="2"/>
        <v/>
      </c>
      <c r="AM4" s="117" t="str">
        <f t="shared" si="2"/>
        <v/>
      </c>
      <c r="AN4" s="117" t="str">
        <f t="shared" ref="AN4:AW8" si="3">IF(AND(ISNUMBER($G4),ISNUMBER($H4),AN$191+6&gt;=$G4,AN$191&lt;=$H4),"●","")</f>
        <v/>
      </c>
      <c r="AO4" s="117" t="str">
        <f t="shared" si="3"/>
        <v/>
      </c>
      <c r="AP4" s="117" t="str">
        <f t="shared" si="3"/>
        <v/>
      </c>
      <c r="AQ4" s="117" t="str">
        <f t="shared" si="3"/>
        <v/>
      </c>
      <c r="AR4" s="117" t="str">
        <f t="shared" si="3"/>
        <v/>
      </c>
      <c r="AS4" s="117" t="str">
        <f t="shared" si="3"/>
        <v/>
      </c>
      <c r="AT4" s="117" t="str">
        <f t="shared" si="3"/>
        <v/>
      </c>
      <c r="AU4" s="117" t="str">
        <f t="shared" si="3"/>
        <v/>
      </c>
      <c r="AV4" s="117" t="str">
        <f t="shared" si="3"/>
        <v/>
      </c>
      <c r="AW4" s="117" t="str">
        <f t="shared" si="3"/>
        <v/>
      </c>
      <c r="AX4" s="117" t="str">
        <f t="shared" ref="AX4:BI8" si="4">IF(AND(ISNUMBER($G4),ISNUMBER($H4),AX$191+6&gt;=$G4,AX$191&lt;=$H4),"●","")</f>
        <v/>
      </c>
      <c r="AY4" s="117" t="str">
        <f t="shared" si="4"/>
        <v/>
      </c>
      <c r="AZ4" s="117" t="str">
        <f t="shared" si="4"/>
        <v/>
      </c>
      <c r="BA4" s="117" t="str">
        <f t="shared" si="4"/>
        <v/>
      </c>
      <c r="BB4" s="117" t="str">
        <f t="shared" si="4"/>
        <v/>
      </c>
      <c r="BC4" s="117" t="str">
        <f t="shared" si="4"/>
        <v/>
      </c>
      <c r="BD4" s="117" t="str">
        <f t="shared" si="4"/>
        <v/>
      </c>
      <c r="BE4" s="117" t="str">
        <f t="shared" si="4"/>
        <v/>
      </c>
      <c r="BF4" s="117" t="str">
        <f t="shared" si="4"/>
        <v/>
      </c>
      <c r="BG4" s="117" t="str">
        <f t="shared" si="4"/>
        <v/>
      </c>
      <c r="BH4" s="117" t="str">
        <f t="shared" si="4"/>
        <v/>
      </c>
      <c r="BI4" s="117" t="str">
        <f t="shared" si="4"/>
        <v/>
      </c>
    </row>
    <row r="5" spans="1:61" s="18" customFormat="1" ht="38.25" customHeight="1">
      <c r="A5" s="532"/>
      <c r="B5" s="114" t="s">
        <v>2792</v>
      </c>
      <c r="C5" s="114" t="s">
        <v>2788</v>
      </c>
      <c r="D5" s="114"/>
      <c r="E5" s="131" t="s">
        <v>2793</v>
      </c>
      <c r="F5" s="113" t="s">
        <v>902</v>
      </c>
      <c r="G5" s="115">
        <v>46174</v>
      </c>
      <c r="H5" s="115">
        <v>46241</v>
      </c>
      <c r="I5" s="118" t="s">
        <v>2794</v>
      </c>
      <c r="J5" s="119" t="str">
        <f t="shared" si="0"/>
        <v/>
      </c>
      <c r="K5" s="119" t="str">
        <f t="shared" si="0"/>
        <v/>
      </c>
      <c r="L5" s="119" t="str">
        <f t="shared" si="0"/>
        <v/>
      </c>
      <c r="M5" s="119" t="str">
        <f t="shared" si="0"/>
        <v/>
      </c>
      <c r="N5" s="119" t="str">
        <f t="shared" si="0"/>
        <v/>
      </c>
      <c r="O5" s="119" t="str">
        <f t="shared" si="0"/>
        <v/>
      </c>
      <c r="P5" s="119" t="str">
        <f t="shared" si="0"/>
        <v/>
      </c>
      <c r="Q5" s="119" t="str">
        <f t="shared" si="0"/>
        <v/>
      </c>
      <c r="R5" s="119" t="str">
        <f t="shared" si="0"/>
        <v/>
      </c>
      <c r="S5" s="119" t="str">
        <f t="shared" si="0"/>
        <v/>
      </c>
      <c r="T5" s="119" t="str">
        <f t="shared" si="1"/>
        <v/>
      </c>
      <c r="U5" s="119" t="str">
        <f t="shared" si="1"/>
        <v/>
      </c>
      <c r="V5" s="119" t="str">
        <f t="shared" si="1"/>
        <v/>
      </c>
      <c r="W5" s="119" t="str">
        <f t="shared" si="1"/>
        <v/>
      </c>
      <c r="X5" s="119" t="str">
        <f t="shared" si="1"/>
        <v/>
      </c>
      <c r="Y5" s="119" t="str">
        <f t="shared" si="1"/>
        <v/>
      </c>
      <c r="Z5" s="119" t="str">
        <f t="shared" si="1"/>
        <v/>
      </c>
      <c r="AA5" s="119" t="str">
        <f t="shared" si="1"/>
        <v/>
      </c>
      <c r="AB5" s="119" t="str">
        <f t="shared" si="1"/>
        <v/>
      </c>
      <c r="AC5" s="119" t="str">
        <f t="shared" si="1"/>
        <v/>
      </c>
      <c r="AD5" s="119" t="str">
        <f t="shared" si="2"/>
        <v/>
      </c>
      <c r="AE5" s="119" t="str">
        <f t="shared" si="2"/>
        <v>●</v>
      </c>
      <c r="AF5" s="119" t="str">
        <f t="shared" si="2"/>
        <v>●</v>
      </c>
      <c r="AG5" s="119" t="str">
        <f t="shared" si="2"/>
        <v>●</v>
      </c>
      <c r="AH5" s="119" t="str">
        <f t="shared" si="2"/>
        <v>●</v>
      </c>
      <c r="AI5" s="119" t="str">
        <f t="shared" si="2"/>
        <v>●</v>
      </c>
      <c r="AJ5" s="119" t="str">
        <f t="shared" si="2"/>
        <v>●</v>
      </c>
      <c r="AK5" s="119" t="str">
        <f t="shared" si="2"/>
        <v>●</v>
      </c>
      <c r="AL5" s="119" t="str">
        <f t="shared" si="2"/>
        <v>●</v>
      </c>
      <c r="AM5" s="119" t="str">
        <f t="shared" si="2"/>
        <v>●</v>
      </c>
      <c r="AN5" s="119" t="str">
        <f t="shared" si="3"/>
        <v>●</v>
      </c>
      <c r="AO5" s="119" t="str">
        <f t="shared" si="3"/>
        <v/>
      </c>
      <c r="AP5" s="119" t="str">
        <f t="shared" si="3"/>
        <v/>
      </c>
      <c r="AQ5" s="119" t="str">
        <f t="shared" si="3"/>
        <v/>
      </c>
      <c r="AR5" s="119" t="str">
        <f t="shared" si="3"/>
        <v/>
      </c>
      <c r="AS5" s="119" t="str">
        <f t="shared" si="3"/>
        <v/>
      </c>
      <c r="AT5" s="119" t="str">
        <f t="shared" si="3"/>
        <v/>
      </c>
      <c r="AU5" s="119" t="str">
        <f t="shared" si="3"/>
        <v/>
      </c>
      <c r="AV5" s="119" t="str">
        <f t="shared" si="3"/>
        <v/>
      </c>
      <c r="AW5" s="119" t="str">
        <f t="shared" si="3"/>
        <v/>
      </c>
      <c r="AX5" s="119" t="str">
        <f t="shared" si="4"/>
        <v/>
      </c>
      <c r="AY5" s="119" t="str">
        <f t="shared" si="4"/>
        <v/>
      </c>
      <c r="AZ5" s="119" t="str">
        <f t="shared" si="4"/>
        <v/>
      </c>
      <c r="BA5" s="119" t="str">
        <f t="shared" si="4"/>
        <v/>
      </c>
      <c r="BB5" s="119" t="str">
        <f t="shared" si="4"/>
        <v/>
      </c>
      <c r="BC5" s="119" t="str">
        <f t="shared" si="4"/>
        <v/>
      </c>
      <c r="BD5" s="119" t="str">
        <f t="shared" si="4"/>
        <v/>
      </c>
      <c r="BE5" s="119" t="str">
        <f t="shared" si="4"/>
        <v/>
      </c>
      <c r="BF5" s="119" t="str">
        <f t="shared" si="4"/>
        <v/>
      </c>
      <c r="BG5" s="119" t="str">
        <f t="shared" si="4"/>
        <v/>
      </c>
      <c r="BH5" s="119" t="str">
        <f t="shared" si="4"/>
        <v/>
      </c>
      <c r="BI5" s="119" t="str">
        <f t="shared" si="4"/>
        <v/>
      </c>
    </row>
    <row r="6" spans="1:61" s="18" customFormat="1" ht="38.25" customHeight="1">
      <c r="A6" s="532"/>
      <c r="B6" s="131" t="s">
        <v>2795</v>
      </c>
      <c r="C6" s="114" t="s">
        <v>2788</v>
      </c>
      <c r="D6" s="114"/>
      <c r="E6" s="131" t="s">
        <v>2789</v>
      </c>
      <c r="F6" s="113" t="s">
        <v>902</v>
      </c>
      <c r="G6" s="115">
        <v>46244</v>
      </c>
      <c r="H6" s="115"/>
      <c r="I6" s="118" t="s">
        <v>2796</v>
      </c>
      <c r="J6" s="119"/>
      <c r="K6" s="119"/>
      <c r="L6" s="119"/>
      <c r="M6" s="119"/>
      <c r="N6" s="119"/>
      <c r="O6" s="119"/>
      <c r="P6" s="119"/>
      <c r="Q6" s="119"/>
      <c r="R6" s="119"/>
      <c r="S6" s="119"/>
      <c r="T6" s="119"/>
      <c r="U6" s="119"/>
      <c r="V6" s="119"/>
      <c r="W6" s="119"/>
      <c r="X6" s="119"/>
      <c r="Y6" s="119"/>
      <c r="Z6" s="119"/>
      <c r="AA6" s="119"/>
      <c r="AB6" s="119"/>
      <c r="AC6" s="119"/>
      <c r="AD6" s="119"/>
      <c r="AE6" s="119"/>
      <c r="AF6" s="119"/>
      <c r="AG6" s="119"/>
      <c r="AH6" s="119"/>
      <c r="AI6" s="119"/>
      <c r="AJ6" s="119"/>
      <c r="AK6" s="119"/>
      <c r="AL6" s="119"/>
      <c r="AM6" s="119"/>
      <c r="AN6" s="119"/>
      <c r="AO6" s="119"/>
      <c r="AP6" s="119"/>
      <c r="AQ6" s="119"/>
      <c r="AR6" s="119"/>
      <c r="AS6" s="119"/>
      <c r="AT6" s="119"/>
      <c r="AU6" s="119"/>
      <c r="AV6" s="119"/>
      <c r="AW6" s="119"/>
      <c r="AX6" s="119"/>
      <c r="AY6" s="119"/>
      <c r="AZ6" s="119"/>
      <c r="BA6" s="119"/>
      <c r="BB6" s="119"/>
      <c r="BC6" s="119"/>
      <c r="BD6" s="119"/>
      <c r="BE6" s="119"/>
      <c r="BF6" s="119"/>
      <c r="BG6" s="119"/>
      <c r="BH6" s="119"/>
      <c r="BI6" s="119"/>
    </row>
    <row r="7" spans="1:61" s="18" customFormat="1" ht="33.75" customHeight="1">
      <c r="A7" s="532"/>
      <c r="B7" s="131" t="s">
        <v>2797</v>
      </c>
      <c r="C7" s="114" t="s">
        <v>2788</v>
      </c>
      <c r="D7" s="114"/>
      <c r="E7" s="131"/>
      <c r="F7" s="113" t="s">
        <v>2798</v>
      </c>
      <c r="G7" s="115">
        <v>46247</v>
      </c>
      <c r="H7" s="115">
        <v>46261</v>
      </c>
      <c r="I7" s="116"/>
      <c r="J7" s="119" t="str">
        <f t="shared" si="0"/>
        <v/>
      </c>
      <c r="K7" s="119" t="str">
        <f t="shared" si="0"/>
        <v/>
      </c>
      <c r="L7" s="119" t="str">
        <f t="shared" si="0"/>
        <v/>
      </c>
      <c r="M7" s="119" t="str">
        <f t="shared" si="0"/>
        <v/>
      </c>
      <c r="N7" s="119" t="str">
        <f t="shared" si="0"/>
        <v/>
      </c>
      <c r="O7" s="119" t="str">
        <f t="shared" si="0"/>
        <v/>
      </c>
      <c r="P7" s="119" t="str">
        <f t="shared" si="0"/>
        <v/>
      </c>
      <c r="Q7" s="119" t="str">
        <f t="shared" si="0"/>
        <v/>
      </c>
      <c r="R7" s="119" t="str">
        <f t="shared" si="0"/>
        <v/>
      </c>
      <c r="S7" s="119" t="str">
        <f t="shared" si="0"/>
        <v/>
      </c>
      <c r="T7" s="119" t="str">
        <f t="shared" si="1"/>
        <v/>
      </c>
      <c r="U7" s="119" t="str">
        <f t="shared" si="1"/>
        <v/>
      </c>
      <c r="V7" s="119" t="str">
        <f t="shared" si="1"/>
        <v/>
      </c>
      <c r="W7" s="119" t="str">
        <f t="shared" si="1"/>
        <v/>
      </c>
      <c r="X7" s="119" t="str">
        <f t="shared" si="1"/>
        <v/>
      </c>
      <c r="Y7" s="119" t="str">
        <f t="shared" si="1"/>
        <v/>
      </c>
      <c r="Z7" s="119" t="str">
        <f t="shared" si="1"/>
        <v/>
      </c>
      <c r="AA7" s="119" t="str">
        <f t="shared" si="1"/>
        <v/>
      </c>
      <c r="AB7" s="119" t="str">
        <f t="shared" si="1"/>
        <v/>
      </c>
      <c r="AC7" s="119" t="str">
        <f t="shared" si="1"/>
        <v/>
      </c>
      <c r="AD7" s="119" t="str">
        <f t="shared" si="2"/>
        <v/>
      </c>
      <c r="AE7" s="119" t="str">
        <f t="shared" si="2"/>
        <v/>
      </c>
      <c r="AF7" s="119" t="str">
        <f t="shared" si="2"/>
        <v/>
      </c>
      <c r="AG7" s="119" t="str">
        <f t="shared" si="2"/>
        <v/>
      </c>
      <c r="AH7" s="119" t="str">
        <f t="shared" si="2"/>
        <v/>
      </c>
      <c r="AI7" s="119" t="str">
        <f t="shared" si="2"/>
        <v/>
      </c>
      <c r="AJ7" s="119" t="str">
        <f t="shared" si="2"/>
        <v/>
      </c>
      <c r="AK7" s="119" t="str">
        <f t="shared" si="2"/>
        <v/>
      </c>
      <c r="AL7" s="119" t="str">
        <f t="shared" si="2"/>
        <v/>
      </c>
      <c r="AM7" s="119" t="str">
        <f t="shared" si="2"/>
        <v/>
      </c>
      <c r="AN7" s="119" t="str">
        <f t="shared" si="3"/>
        <v/>
      </c>
      <c r="AO7" s="119" t="str">
        <f t="shared" si="3"/>
        <v>●</v>
      </c>
      <c r="AP7" s="119" t="str">
        <f t="shared" si="3"/>
        <v>●</v>
      </c>
      <c r="AQ7" s="119" t="str">
        <f t="shared" si="3"/>
        <v>●</v>
      </c>
      <c r="AR7" s="119" t="str">
        <f t="shared" si="3"/>
        <v/>
      </c>
      <c r="AS7" s="119" t="str">
        <f t="shared" si="3"/>
        <v/>
      </c>
      <c r="AT7" s="119" t="str">
        <f t="shared" si="3"/>
        <v/>
      </c>
      <c r="AU7" s="119" t="str">
        <f t="shared" si="3"/>
        <v/>
      </c>
      <c r="AV7" s="119" t="str">
        <f t="shared" si="3"/>
        <v/>
      </c>
      <c r="AW7" s="119" t="str">
        <f t="shared" si="3"/>
        <v/>
      </c>
      <c r="AX7" s="119" t="str">
        <f t="shared" si="4"/>
        <v/>
      </c>
      <c r="AY7" s="119" t="str">
        <f t="shared" si="4"/>
        <v/>
      </c>
      <c r="AZ7" s="119" t="str">
        <f t="shared" si="4"/>
        <v/>
      </c>
      <c r="BA7" s="119" t="str">
        <f t="shared" si="4"/>
        <v/>
      </c>
      <c r="BB7" s="119" t="str">
        <f t="shared" si="4"/>
        <v/>
      </c>
      <c r="BC7" s="119" t="str">
        <f t="shared" si="4"/>
        <v/>
      </c>
      <c r="BD7" s="119" t="str">
        <f t="shared" si="4"/>
        <v/>
      </c>
      <c r="BE7" s="119" t="str">
        <f t="shared" si="4"/>
        <v/>
      </c>
      <c r="BF7" s="119" t="str">
        <f t="shared" si="4"/>
        <v/>
      </c>
      <c r="BG7" s="119" t="str">
        <f t="shared" si="4"/>
        <v/>
      </c>
      <c r="BH7" s="119" t="str">
        <f t="shared" si="4"/>
        <v/>
      </c>
      <c r="BI7" s="119" t="str">
        <f t="shared" si="4"/>
        <v/>
      </c>
    </row>
    <row r="8" spans="1:61" s="18" customFormat="1" ht="33.75" customHeight="1">
      <c r="A8" s="533"/>
      <c r="B8" s="131" t="s">
        <v>2799</v>
      </c>
      <c r="C8" s="114" t="s">
        <v>2788</v>
      </c>
      <c r="D8" s="114"/>
      <c r="E8" s="131"/>
      <c r="F8" s="113" t="s">
        <v>2800</v>
      </c>
      <c r="G8" s="120"/>
      <c r="H8" s="120"/>
      <c r="I8" s="116"/>
      <c r="J8" s="119" t="str">
        <f t="shared" si="0"/>
        <v/>
      </c>
      <c r="K8" s="119" t="str">
        <f t="shared" si="0"/>
        <v/>
      </c>
      <c r="L8" s="119" t="str">
        <f t="shared" si="0"/>
        <v/>
      </c>
      <c r="M8" s="119" t="str">
        <f t="shared" si="0"/>
        <v/>
      </c>
      <c r="N8" s="119" t="str">
        <f t="shared" si="0"/>
        <v/>
      </c>
      <c r="O8" s="119" t="str">
        <f t="shared" si="0"/>
        <v/>
      </c>
      <c r="P8" s="119" t="str">
        <f t="shared" si="0"/>
        <v/>
      </c>
      <c r="Q8" s="119" t="str">
        <f t="shared" si="0"/>
        <v/>
      </c>
      <c r="R8" s="119" t="str">
        <f t="shared" si="0"/>
        <v/>
      </c>
      <c r="S8" s="119" t="str">
        <f t="shared" si="0"/>
        <v/>
      </c>
      <c r="T8" s="119" t="str">
        <f t="shared" si="1"/>
        <v/>
      </c>
      <c r="U8" s="119" t="str">
        <f t="shared" si="1"/>
        <v/>
      </c>
      <c r="V8" s="119" t="str">
        <f t="shared" si="1"/>
        <v/>
      </c>
      <c r="W8" s="119" t="str">
        <f t="shared" si="1"/>
        <v/>
      </c>
      <c r="X8" s="119" t="str">
        <f t="shared" si="1"/>
        <v/>
      </c>
      <c r="Y8" s="119" t="str">
        <f t="shared" si="1"/>
        <v/>
      </c>
      <c r="Z8" s="119" t="str">
        <f t="shared" si="1"/>
        <v/>
      </c>
      <c r="AA8" s="119" t="str">
        <f t="shared" si="1"/>
        <v/>
      </c>
      <c r="AB8" s="119" t="str">
        <f t="shared" si="1"/>
        <v/>
      </c>
      <c r="AC8" s="119" t="str">
        <f t="shared" si="1"/>
        <v/>
      </c>
      <c r="AD8" s="119" t="str">
        <f t="shared" si="2"/>
        <v/>
      </c>
      <c r="AE8" s="119" t="str">
        <f t="shared" si="2"/>
        <v/>
      </c>
      <c r="AF8" s="119" t="str">
        <f t="shared" si="2"/>
        <v/>
      </c>
      <c r="AG8" s="119" t="str">
        <f t="shared" si="2"/>
        <v/>
      </c>
      <c r="AH8" s="119" t="str">
        <f t="shared" si="2"/>
        <v/>
      </c>
      <c r="AI8" s="119" t="str">
        <f t="shared" si="2"/>
        <v/>
      </c>
      <c r="AJ8" s="119" t="str">
        <f t="shared" si="2"/>
        <v/>
      </c>
      <c r="AK8" s="119" t="str">
        <f t="shared" si="2"/>
        <v/>
      </c>
      <c r="AL8" s="119" t="str">
        <f t="shared" si="2"/>
        <v/>
      </c>
      <c r="AM8" s="119" t="str">
        <f t="shared" si="2"/>
        <v/>
      </c>
      <c r="AN8" s="119" t="str">
        <f t="shared" si="3"/>
        <v/>
      </c>
      <c r="AO8" s="119" t="str">
        <f t="shared" si="3"/>
        <v/>
      </c>
      <c r="AP8" s="119" t="str">
        <f t="shared" si="3"/>
        <v/>
      </c>
      <c r="AQ8" s="119" t="str">
        <f t="shared" si="3"/>
        <v/>
      </c>
      <c r="AR8" s="119" t="str">
        <f t="shared" si="3"/>
        <v/>
      </c>
      <c r="AS8" s="119" t="str">
        <f t="shared" si="3"/>
        <v/>
      </c>
      <c r="AT8" s="119" t="str">
        <f t="shared" si="3"/>
        <v/>
      </c>
      <c r="AU8" s="119" t="str">
        <f t="shared" si="3"/>
        <v/>
      </c>
      <c r="AV8" s="119" t="str">
        <f t="shared" si="3"/>
        <v/>
      </c>
      <c r="AW8" s="119" t="str">
        <f t="shared" si="3"/>
        <v/>
      </c>
      <c r="AX8" s="119" t="str">
        <f t="shared" si="4"/>
        <v/>
      </c>
      <c r="AY8" s="119" t="str">
        <f t="shared" si="4"/>
        <v/>
      </c>
      <c r="AZ8" s="119" t="str">
        <f t="shared" si="4"/>
        <v/>
      </c>
      <c r="BA8" s="119" t="str">
        <f t="shared" si="4"/>
        <v/>
      </c>
      <c r="BB8" s="119" t="str">
        <f t="shared" si="4"/>
        <v/>
      </c>
      <c r="BC8" s="119" t="str">
        <f t="shared" si="4"/>
        <v/>
      </c>
      <c r="BD8" s="119" t="str">
        <f t="shared" si="4"/>
        <v/>
      </c>
      <c r="BE8" s="119" t="str">
        <f t="shared" si="4"/>
        <v/>
      </c>
      <c r="BF8" s="119" t="str">
        <f t="shared" si="4"/>
        <v/>
      </c>
      <c r="BG8" s="119" t="str">
        <f t="shared" si="4"/>
        <v/>
      </c>
      <c r="BH8" s="119" t="str">
        <f t="shared" si="4"/>
        <v/>
      </c>
      <c r="BI8" s="119" t="str">
        <f t="shared" si="4"/>
        <v/>
      </c>
    </row>
    <row r="9" spans="1:61">
      <c r="F9" s="107"/>
      <c r="P9" s="108" t="s">
        <v>2800</v>
      </c>
    </row>
    <row r="10" spans="1:61">
      <c r="F10" s="107"/>
      <c r="P10" s="109" t="s">
        <v>2798</v>
      </c>
    </row>
    <row r="11" spans="1:61">
      <c r="F11" s="107"/>
      <c r="P11" s="110" t="s">
        <v>2801</v>
      </c>
    </row>
    <row r="12" spans="1:61">
      <c r="F12" s="107"/>
      <c r="P12" s="111" t="s">
        <v>902</v>
      </c>
    </row>
    <row r="13" spans="1:61">
      <c r="F13" s="107"/>
      <c r="P13" s="112" t="s">
        <v>2790</v>
      </c>
    </row>
    <row r="14" spans="1:61">
      <c r="F14" s="107"/>
    </row>
    <row r="15" spans="1:61">
      <c r="F15" s="107"/>
    </row>
    <row r="16" spans="1:61">
      <c r="F16" s="107"/>
    </row>
    <row r="17" spans="6:6">
      <c r="F17" s="107"/>
    </row>
    <row r="18" spans="6:6">
      <c r="F18" s="107"/>
    </row>
    <row r="19" spans="6:6">
      <c r="F19" s="107"/>
    </row>
    <row r="20" spans="6:6">
      <c r="F20" s="107"/>
    </row>
    <row r="21" spans="6:6">
      <c r="F21" s="107"/>
    </row>
    <row r="22" spans="6:6">
      <c r="F22" s="107"/>
    </row>
    <row r="23" spans="6:6">
      <c r="F23" s="107"/>
    </row>
    <row r="24" spans="6:6">
      <c r="F24" s="107"/>
    </row>
    <row r="25" spans="6:6">
      <c r="F25" s="107"/>
    </row>
    <row r="26" spans="6:6">
      <c r="F26" s="107"/>
    </row>
    <row r="27" spans="6:6">
      <c r="F27" s="107"/>
    </row>
    <row r="28" spans="6:6">
      <c r="F28" s="107"/>
    </row>
    <row r="29" spans="6:6">
      <c r="F29" s="107"/>
    </row>
    <row r="30" spans="6:6">
      <c r="F30" s="107"/>
    </row>
    <row r="31" spans="6:6">
      <c r="F31" s="107"/>
    </row>
    <row r="32" spans="6:6">
      <c r="F32" s="107"/>
    </row>
    <row r="33" spans="6:6">
      <c r="F33" s="107"/>
    </row>
    <row r="34" spans="6:6">
      <c r="F34" s="107"/>
    </row>
    <row r="35" spans="6:6">
      <c r="F35" s="107"/>
    </row>
    <row r="36" spans="6:6">
      <c r="F36" s="107"/>
    </row>
    <row r="37" spans="6:6">
      <c r="F37" s="107"/>
    </row>
    <row r="38" spans="6:6">
      <c r="F38" s="107"/>
    </row>
    <row r="39" spans="6:6">
      <c r="F39" s="107"/>
    </row>
    <row r="40" spans="6:6">
      <c r="F40" s="107"/>
    </row>
    <row r="41" spans="6:6">
      <c r="F41" s="107"/>
    </row>
    <row r="42" spans="6:6">
      <c r="F42" s="107"/>
    </row>
    <row r="43" spans="6:6">
      <c r="F43" s="107"/>
    </row>
    <row r="44" spans="6:6">
      <c r="F44" s="107"/>
    </row>
    <row r="45" spans="6:6">
      <c r="F45" s="107"/>
    </row>
    <row r="46" spans="6:6">
      <c r="F46" s="107"/>
    </row>
    <row r="47" spans="6:6">
      <c r="F47" s="107"/>
    </row>
    <row r="48" spans="6:6">
      <c r="F48" s="107"/>
    </row>
    <row r="49" spans="6:6">
      <c r="F49" s="107"/>
    </row>
    <row r="50" spans="6:6">
      <c r="F50" s="107"/>
    </row>
    <row r="51" spans="6:6">
      <c r="F51" s="107"/>
    </row>
    <row r="52" spans="6:6">
      <c r="F52" s="107"/>
    </row>
    <row r="53" spans="6:6">
      <c r="F53" s="107"/>
    </row>
    <row r="54" spans="6:6">
      <c r="F54" s="107"/>
    </row>
    <row r="55" spans="6:6">
      <c r="F55" s="107"/>
    </row>
    <row r="56" spans="6:6">
      <c r="F56" s="107"/>
    </row>
    <row r="57" spans="6:6">
      <c r="F57" s="107"/>
    </row>
    <row r="58" spans="6:6">
      <c r="F58" s="107"/>
    </row>
    <row r="59" spans="6:6">
      <c r="F59" s="107"/>
    </row>
    <row r="60" spans="6:6">
      <c r="F60" s="107"/>
    </row>
    <row r="61" spans="6:6">
      <c r="F61" s="107"/>
    </row>
    <row r="62" spans="6:6">
      <c r="F62" s="107"/>
    </row>
    <row r="63" spans="6:6">
      <c r="F63" s="107"/>
    </row>
    <row r="64" spans="6:6">
      <c r="F64" s="107"/>
    </row>
    <row r="65" spans="6:6">
      <c r="F65" s="107"/>
    </row>
    <row r="66" spans="6:6">
      <c r="F66" s="107"/>
    </row>
    <row r="67" spans="6:6">
      <c r="F67" s="107"/>
    </row>
    <row r="68" spans="6:6">
      <c r="F68" s="107"/>
    </row>
    <row r="69" spans="6:6">
      <c r="F69" s="107"/>
    </row>
    <row r="70" spans="6:6">
      <c r="F70" s="107"/>
    </row>
    <row r="71" spans="6:6">
      <c r="F71" s="107"/>
    </row>
    <row r="72" spans="6:6">
      <c r="F72" s="107"/>
    </row>
    <row r="73" spans="6:6">
      <c r="F73" s="107"/>
    </row>
    <row r="74" spans="6:6">
      <c r="F74" s="107"/>
    </row>
    <row r="75" spans="6:6">
      <c r="F75" s="107"/>
    </row>
    <row r="76" spans="6:6">
      <c r="F76" s="107"/>
    </row>
    <row r="77" spans="6:6">
      <c r="F77" s="107"/>
    </row>
    <row r="78" spans="6:6">
      <c r="F78" s="107"/>
    </row>
    <row r="79" spans="6:6">
      <c r="F79" s="107"/>
    </row>
    <row r="80" spans="6:6">
      <c r="F80" s="107"/>
    </row>
    <row r="81" spans="6:6">
      <c r="F81" s="107"/>
    </row>
    <row r="82" spans="6:6">
      <c r="F82" s="107"/>
    </row>
    <row r="83" spans="6:6">
      <c r="F83" s="107"/>
    </row>
    <row r="84" spans="6:6">
      <c r="F84" s="107"/>
    </row>
    <row r="85" spans="6:6">
      <c r="F85" s="107"/>
    </row>
    <row r="86" spans="6:6">
      <c r="F86" s="107"/>
    </row>
    <row r="87" spans="6:6">
      <c r="F87" s="107"/>
    </row>
    <row r="88" spans="6:6">
      <c r="F88" s="107"/>
    </row>
    <row r="89" spans="6:6">
      <c r="F89" s="107"/>
    </row>
    <row r="90" spans="6:6">
      <c r="F90" s="107"/>
    </row>
    <row r="91" spans="6:6">
      <c r="F91" s="107"/>
    </row>
    <row r="191" spans="10:61">
      <c r="J191" s="106">
        <v>46027</v>
      </c>
      <c r="K191" s="106">
        <v>46034</v>
      </c>
      <c r="L191" s="106">
        <v>46041</v>
      </c>
      <c r="M191" s="106">
        <v>46048</v>
      </c>
      <c r="N191" s="106">
        <v>46055</v>
      </c>
      <c r="O191" s="106">
        <v>46062</v>
      </c>
      <c r="P191" s="106">
        <v>46069</v>
      </c>
      <c r="Q191" s="106">
        <v>46076</v>
      </c>
      <c r="R191" s="106">
        <v>46083</v>
      </c>
      <c r="S191" s="106">
        <v>46090</v>
      </c>
      <c r="T191" s="106">
        <v>46097</v>
      </c>
      <c r="U191" s="106">
        <v>46104</v>
      </c>
      <c r="V191" s="106">
        <v>46111</v>
      </c>
      <c r="W191" s="106">
        <v>46118</v>
      </c>
      <c r="X191" s="106">
        <v>46125</v>
      </c>
      <c r="Y191" s="106">
        <v>46132</v>
      </c>
      <c r="Z191" s="106">
        <v>46139</v>
      </c>
      <c r="AA191" s="106">
        <v>46146</v>
      </c>
      <c r="AB191" s="106">
        <v>46153</v>
      </c>
      <c r="AC191" s="106">
        <v>46160</v>
      </c>
      <c r="AD191" s="106">
        <v>46167</v>
      </c>
      <c r="AE191" s="106">
        <v>46174</v>
      </c>
      <c r="AF191" s="106">
        <v>46181</v>
      </c>
      <c r="AG191" s="106">
        <v>46188</v>
      </c>
      <c r="AH191" s="106">
        <v>46195</v>
      </c>
      <c r="AI191" s="106">
        <v>46202</v>
      </c>
      <c r="AJ191" s="106">
        <v>46209</v>
      </c>
      <c r="AK191" s="106">
        <v>46216</v>
      </c>
      <c r="AL191" s="106">
        <v>46223</v>
      </c>
      <c r="AM191" s="106">
        <v>46230</v>
      </c>
      <c r="AN191" s="106">
        <v>46237</v>
      </c>
      <c r="AO191" s="106">
        <v>46244</v>
      </c>
      <c r="AP191" s="106">
        <v>46251</v>
      </c>
      <c r="AQ191" s="106">
        <v>46258</v>
      </c>
      <c r="AR191" s="106">
        <v>46265</v>
      </c>
      <c r="AS191" s="106">
        <v>46272</v>
      </c>
      <c r="AT191" s="106">
        <v>46279</v>
      </c>
      <c r="AU191" s="106">
        <v>46286</v>
      </c>
      <c r="AV191" s="106">
        <v>46293</v>
      </c>
      <c r="AW191" s="106">
        <v>46300</v>
      </c>
      <c r="AX191" s="106">
        <v>46307</v>
      </c>
      <c r="AY191" s="106">
        <v>46314</v>
      </c>
      <c r="AZ191" s="106">
        <v>46321</v>
      </c>
      <c r="BA191" s="106">
        <v>46328</v>
      </c>
      <c r="BB191" s="106">
        <v>46335</v>
      </c>
      <c r="BC191" s="106">
        <v>46342</v>
      </c>
      <c r="BD191" s="106">
        <v>46349</v>
      </c>
      <c r="BE191" s="106">
        <v>46356</v>
      </c>
      <c r="BF191" s="106">
        <v>46363</v>
      </c>
      <c r="BG191" s="106">
        <v>46370</v>
      </c>
      <c r="BH191" s="106">
        <v>46377</v>
      </c>
      <c r="BI191" s="106">
        <v>46384</v>
      </c>
    </row>
  </sheetData>
  <mergeCells count="17">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 ref="AW2:AZ2"/>
  </mergeCells>
  <phoneticPr fontId="3" type="noConversion"/>
  <conditionalFormatting sqref="F4:F8">
    <cfRule type="cellIs" dxfId="13" priority="4" operator="equal">
      <formula>"Not Started"</formula>
    </cfRule>
    <cfRule type="cellIs" dxfId="12" priority="5" operator="equal">
      <formula>"In Progress"</formula>
    </cfRule>
    <cfRule type="cellIs" dxfId="11" priority="6" operator="equal">
      <formula>"Blocked"</formula>
    </cfRule>
    <cfRule type="cellIs" dxfId="10" priority="7" operator="equal">
      <formula>"On Hold"</formula>
    </cfRule>
    <cfRule type="cellIs" dxfId="9" priority="8" operator="equal">
      <formula>"Done"</formula>
    </cfRule>
  </conditionalFormatting>
  <conditionalFormatting sqref="F16:F91">
    <cfRule type="cellIs" dxfId="8" priority="9" operator="equal">
      <formula>"Not Started"</formula>
    </cfRule>
    <cfRule type="cellIs" dxfId="7" priority="10" operator="equal">
      <formula>"In Progress"</formula>
    </cfRule>
    <cfRule type="cellIs" dxfId="6" priority="11" operator="equal">
      <formula>"Blocked"</formula>
    </cfRule>
    <cfRule type="cellIs" dxfId="5" priority="12" operator="equal">
      <formula>"On Hold"</formula>
    </cfRule>
    <cfRule type="cellIs" dxfId="4" priority="13" operator="equal">
      <formula>"Done"</formula>
    </cfRule>
  </conditionalFormatting>
  <conditionalFormatting sqref="J4:BI4">
    <cfRule type="containsText" dxfId="3" priority="1" operator="containsText" text="●">
      <formula>NOT(ISERROR(SEARCH("●",J4)))</formula>
    </cfRule>
  </conditionalFormatting>
  <conditionalFormatting sqref="J5:BI6">
    <cfRule type="containsText" dxfId="2" priority="2" operator="containsText" text="●">
      <formula>NOT(ISERROR(SEARCH("●",J5)))</formula>
    </cfRule>
  </conditionalFormatting>
  <conditionalFormatting sqref="J7:BI8">
    <cfRule type="containsText" dxfId="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74" activePane="bottomLeft" state="frozen"/>
      <selection pane="bottomLeft" activeCell="E100" sqref="E100"/>
    </sheetView>
  </sheetViews>
  <sheetFormatPr defaultColWidth="16.25" defaultRowHeight="14.45"/>
  <cols>
    <col min="1" max="2" width="16.25" style="44"/>
    <col min="3" max="3" width="26" style="44" customWidth="1"/>
    <col min="4" max="4" width="16.25" style="44"/>
    <col min="5" max="5" width="42.875" style="44" customWidth="1"/>
    <col min="6" max="6" width="52.25" style="44" customWidth="1"/>
    <col min="7" max="16384" width="16.25" style="44"/>
  </cols>
  <sheetData>
    <row r="1" spans="1:7" ht="29.1">
      <c r="A1" s="25" t="s">
        <v>2802</v>
      </c>
      <c r="B1" s="25" t="s">
        <v>2803</v>
      </c>
      <c r="C1" s="25" t="s">
        <v>2804</v>
      </c>
      <c r="D1" s="25" t="s">
        <v>2805</v>
      </c>
      <c r="E1" s="25" t="s">
        <v>2806</v>
      </c>
      <c r="F1" s="25" t="s">
        <v>2807</v>
      </c>
      <c r="G1" s="25" t="s">
        <v>2808</v>
      </c>
    </row>
    <row r="2" spans="1:7" ht="29.1">
      <c r="A2" s="27" t="s">
        <v>2809</v>
      </c>
      <c r="B2" s="27" t="s">
        <v>2810</v>
      </c>
      <c r="C2" s="27" t="s">
        <v>2811</v>
      </c>
      <c r="D2" s="27" t="s">
        <v>2812</v>
      </c>
      <c r="E2" s="27" t="s">
        <v>2813</v>
      </c>
      <c r="F2" s="27" t="s">
        <v>2814</v>
      </c>
      <c r="G2" s="28"/>
    </row>
    <row r="3" spans="1:7" ht="29.1" customHeight="1">
      <c r="A3" s="537" t="s">
        <v>2815</v>
      </c>
      <c r="B3" s="30" t="s">
        <v>2606</v>
      </c>
      <c r="C3" s="30" t="s">
        <v>2816</v>
      </c>
      <c r="D3" s="30" t="s">
        <v>2817</v>
      </c>
      <c r="E3" s="31" t="s">
        <v>2818</v>
      </c>
      <c r="F3" s="31" t="s">
        <v>2819</v>
      </c>
      <c r="G3" s="32"/>
    </row>
    <row r="4" spans="1:7" ht="43.5" customHeight="1">
      <c r="A4" s="538"/>
      <c r="B4" s="34" t="s">
        <v>2606</v>
      </c>
      <c r="C4" s="34" t="s">
        <v>2820</v>
      </c>
      <c r="D4" s="34" t="s">
        <v>2817</v>
      </c>
      <c r="E4" s="35" t="s">
        <v>2821</v>
      </c>
      <c r="F4" s="35" t="s">
        <v>2822</v>
      </c>
      <c r="G4" s="36"/>
    </row>
    <row r="5" spans="1:7" ht="29.1">
      <c r="A5" s="37" t="s">
        <v>2823</v>
      </c>
      <c r="B5" s="34" t="s">
        <v>2606</v>
      </c>
      <c r="C5" s="35" t="s">
        <v>542</v>
      </c>
      <c r="D5" s="34" t="s">
        <v>2824</v>
      </c>
      <c r="E5" s="35" t="s">
        <v>2825</v>
      </c>
      <c r="F5" s="35" t="s">
        <v>2826</v>
      </c>
      <c r="G5" s="36"/>
    </row>
    <row r="6" spans="1:7" ht="12" customHeight="1">
      <c r="A6" s="537" t="s">
        <v>2827</v>
      </c>
      <c r="B6" s="534" t="s">
        <v>2606</v>
      </c>
      <c r="C6" s="34" t="s">
        <v>2828</v>
      </c>
      <c r="D6" s="34" t="s">
        <v>2829</v>
      </c>
      <c r="E6" s="35" t="s">
        <v>2830</v>
      </c>
      <c r="F6" s="35" t="s">
        <v>2831</v>
      </c>
      <c r="G6" s="38"/>
    </row>
    <row r="7" spans="1:7" ht="12" customHeight="1">
      <c r="A7" s="537"/>
      <c r="B7" s="535"/>
      <c r="C7" s="34" t="s">
        <v>2832</v>
      </c>
      <c r="D7" s="34" t="s">
        <v>2829</v>
      </c>
      <c r="E7" s="35" t="s">
        <v>2833</v>
      </c>
      <c r="F7" s="35" t="s">
        <v>2834</v>
      </c>
      <c r="G7" s="36"/>
    </row>
    <row r="8" spans="1:7" ht="12" customHeight="1">
      <c r="A8" s="537"/>
      <c r="B8" s="535"/>
      <c r="C8" s="34" t="s">
        <v>2835</v>
      </c>
      <c r="D8" s="34" t="s">
        <v>2829</v>
      </c>
      <c r="E8" s="35" t="s">
        <v>2836</v>
      </c>
      <c r="F8" s="35" t="s">
        <v>2837</v>
      </c>
      <c r="G8" s="36"/>
    </row>
    <row r="9" spans="1:7" ht="72.599999999999994">
      <c r="A9" s="537"/>
      <c r="B9" s="536"/>
      <c r="C9" s="34" t="s">
        <v>2835</v>
      </c>
      <c r="D9" s="34" t="s">
        <v>2838</v>
      </c>
      <c r="E9" s="35" t="s">
        <v>2839</v>
      </c>
      <c r="F9" s="35" t="s">
        <v>2840</v>
      </c>
      <c r="G9" s="36"/>
    </row>
    <row r="10" spans="1:7" ht="12" customHeight="1">
      <c r="A10" s="537" t="s">
        <v>2841</v>
      </c>
      <c r="B10" s="34" t="s">
        <v>2606</v>
      </c>
      <c r="C10" s="34" t="s">
        <v>2842</v>
      </c>
      <c r="D10" s="34" t="s">
        <v>2829</v>
      </c>
      <c r="E10" s="35" t="s">
        <v>2843</v>
      </c>
      <c r="F10" s="35" t="s">
        <v>2844</v>
      </c>
      <c r="G10" s="36"/>
    </row>
    <row r="11" spans="1:7" ht="12" customHeight="1">
      <c r="A11" s="537"/>
      <c r="B11" s="34" t="s">
        <v>2606</v>
      </c>
      <c r="C11" s="34" t="s">
        <v>2828</v>
      </c>
      <c r="D11" s="34" t="s">
        <v>2829</v>
      </c>
      <c r="E11" s="35" t="s">
        <v>2833</v>
      </c>
      <c r="F11" s="35" t="s">
        <v>2845</v>
      </c>
      <c r="G11" s="36"/>
    </row>
    <row r="12" spans="1:7" ht="29.1">
      <c r="A12" s="538"/>
      <c r="B12" s="34" t="s">
        <v>2606</v>
      </c>
      <c r="C12" s="34" t="s">
        <v>2820</v>
      </c>
      <c r="D12" s="34" t="s">
        <v>2846</v>
      </c>
      <c r="E12" s="35" t="s">
        <v>2847</v>
      </c>
      <c r="F12" s="35" t="s">
        <v>2848</v>
      </c>
      <c r="G12" s="36"/>
    </row>
    <row r="13" spans="1:7" ht="12" customHeight="1">
      <c r="A13" s="539" t="s">
        <v>2849</v>
      </c>
      <c r="B13" s="34" t="s">
        <v>2606</v>
      </c>
      <c r="C13" s="34" t="s">
        <v>2850</v>
      </c>
      <c r="D13" s="34" t="s">
        <v>2846</v>
      </c>
      <c r="E13" s="35" t="s">
        <v>2851</v>
      </c>
      <c r="F13" s="35" t="s">
        <v>2852</v>
      </c>
      <c r="G13" s="36"/>
    </row>
    <row r="14" spans="1:7" ht="12" customHeight="1">
      <c r="A14" s="537"/>
      <c r="B14" s="34" t="s">
        <v>2606</v>
      </c>
      <c r="C14" s="34" t="s">
        <v>542</v>
      </c>
      <c r="D14" s="34" t="s">
        <v>2846</v>
      </c>
      <c r="E14" s="35" t="s">
        <v>2853</v>
      </c>
      <c r="F14" s="35" t="s">
        <v>2854</v>
      </c>
      <c r="G14" s="36"/>
    </row>
    <row r="15" spans="1:7" ht="12" customHeight="1">
      <c r="A15" s="537"/>
      <c r="B15" s="34" t="s">
        <v>2606</v>
      </c>
      <c r="C15" s="34" t="s">
        <v>497</v>
      </c>
      <c r="D15" s="34" t="s">
        <v>2846</v>
      </c>
      <c r="E15" s="35" t="s">
        <v>2855</v>
      </c>
      <c r="F15" s="35" t="s">
        <v>2856</v>
      </c>
      <c r="G15" s="36"/>
    </row>
    <row r="16" spans="1:7" ht="12" customHeight="1">
      <c r="A16" s="537"/>
      <c r="B16" s="34" t="s">
        <v>2606</v>
      </c>
      <c r="C16" s="34" t="s">
        <v>2820</v>
      </c>
      <c r="D16" s="34" t="s">
        <v>2846</v>
      </c>
      <c r="E16" s="35" t="s">
        <v>2857</v>
      </c>
      <c r="F16" s="35" t="s">
        <v>2858</v>
      </c>
      <c r="G16" s="36"/>
    </row>
    <row r="17" spans="1:7" ht="12" customHeight="1">
      <c r="A17" s="542" t="s">
        <v>2859</v>
      </c>
      <c r="B17" s="34" t="s">
        <v>2606</v>
      </c>
      <c r="C17" s="34" t="s">
        <v>497</v>
      </c>
      <c r="D17" s="34" t="s">
        <v>2846</v>
      </c>
      <c r="E17" s="35" t="s">
        <v>2853</v>
      </c>
      <c r="F17" s="35" t="s">
        <v>2860</v>
      </c>
      <c r="G17" s="36"/>
    </row>
    <row r="18" spans="1:7" ht="30.75" customHeight="1">
      <c r="A18" s="542"/>
      <c r="B18" s="34" t="s">
        <v>2606</v>
      </c>
      <c r="C18" s="34" t="s">
        <v>2820</v>
      </c>
      <c r="D18" s="34" t="s">
        <v>2846</v>
      </c>
      <c r="E18" s="35" t="s">
        <v>2861</v>
      </c>
      <c r="F18" s="35" t="s">
        <v>2858</v>
      </c>
      <c r="G18" s="36"/>
    </row>
    <row r="19" spans="1:7" ht="12" customHeight="1">
      <c r="A19" s="542"/>
      <c r="B19" s="34" t="s">
        <v>2606</v>
      </c>
      <c r="C19" s="34" t="s">
        <v>2862</v>
      </c>
      <c r="D19" s="34" t="s">
        <v>2846</v>
      </c>
      <c r="E19" s="35" t="s">
        <v>2863</v>
      </c>
      <c r="F19" s="35" t="s">
        <v>2864</v>
      </c>
      <c r="G19" s="36"/>
    </row>
    <row r="20" spans="1:7" ht="12" customHeight="1">
      <c r="A20" s="542"/>
      <c r="B20" s="34" t="s">
        <v>2606</v>
      </c>
      <c r="C20" s="34" t="s">
        <v>1046</v>
      </c>
      <c r="D20" s="34" t="s">
        <v>2846</v>
      </c>
      <c r="E20" s="35" t="s">
        <v>2865</v>
      </c>
      <c r="F20" s="35" t="s">
        <v>2866</v>
      </c>
      <c r="G20" s="36"/>
    </row>
    <row r="21" spans="1:7" ht="30" customHeight="1">
      <c r="A21" s="542"/>
      <c r="B21" s="34" t="s">
        <v>2606</v>
      </c>
      <c r="C21" s="34" t="s">
        <v>433</v>
      </c>
      <c r="D21" s="34" t="s">
        <v>2846</v>
      </c>
      <c r="E21" s="35" t="s">
        <v>2867</v>
      </c>
      <c r="F21" s="35" t="s">
        <v>2868</v>
      </c>
      <c r="G21" s="36"/>
    </row>
    <row r="22" spans="1:7" ht="12" customHeight="1">
      <c r="A22" s="542"/>
      <c r="B22" s="34" t="s">
        <v>2606</v>
      </c>
      <c r="C22" s="34" t="s">
        <v>2832</v>
      </c>
      <c r="D22" s="34" t="s">
        <v>2846</v>
      </c>
      <c r="E22" s="35" t="s">
        <v>2869</v>
      </c>
      <c r="F22" s="35" t="s">
        <v>2870</v>
      </c>
      <c r="G22" s="38"/>
    </row>
    <row r="23" spans="1:7" ht="12" customHeight="1">
      <c r="A23" s="542" t="s">
        <v>2871</v>
      </c>
      <c r="B23" s="34" t="s">
        <v>2606</v>
      </c>
      <c r="C23" s="34" t="s">
        <v>2820</v>
      </c>
      <c r="D23" s="34" t="s">
        <v>2846</v>
      </c>
      <c r="E23" s="35" t="s">
        <v>2872</v>
      </c>
      <c r="F23" s="35" t="s">
        <v>2873</v>
      </c>
      <c r="G23" s="36"/>
    </row>
    <row r="24" spans="1:7" ht="12" customHeight="1">
      <c r="A24" s="542"/>
      <c r="B24" s="34" t="s">
        <v>2606</v>
      </c>
      <c r="C24" s="34" t="s">
        <v>1046</v>
      </c>
      <c r="D24" s="34" t="s">
        <v>2846</v>
      </c>
      <c r="E24" s="35" t="s">
        <v>2874</v>
      </c>
      <c r="F24" s="35" t="s">
        <v>2875</v>
      </c>
      <c r="G24" s="36"/>
    </row>
    <row r="25" spans="1:7" ht="12" customHeight="1">
      <c r="A25" s="542"/>
      <c r="B25" s="34" t="s">
        <v>2606</v>
      </c>
      <c r="C25" s="34" t="s">
        <v>383</v>
      </c>
      <c r="D25" s="34" t="s">
        <v>2846</v>
      </c>
      <c r="E25" s="35" t="s">
        <v>2874</v>
      </c>
      <c r="F25" s="35" t="s">
        <v>2876</v>
      </c>
      <c r="G25" s="36"/>
    </row>
    <row r="26" spans="1:7" ht="12" customHeight="1">
      <c r="A26" s="542"/>
      <c r="B26" s="34" t="s">
        <v>2606</v>
      </c>
      <c r="C26" s="34" t="s">
        <v>542</v>
      </c>
      <c r="D26" s="34" t="s">
        <v>2846</v>
      </c>
      <c r="E26" s="35" t="s">
        <v>2863</v>
      </c>
      <c r="F26" s="35" t="s">
        <v>2877</v>
      </c>
      <c r="G26" s="36"/>
    </row>
    <row r="27" spans="1:7" ht="12" customHeight="1">
      <c r="A27" s="542"/>
      <c r="B27" s="34" t="s">
        <v>2606</v>
      </c>
      <c r="C27" s="34" t="s">
        <v>2878</v>
      </c>
      <c r="D27" s="30" t="s">
        <v>2846</v>
      </c>
      <c r="E27" s="35" t="s">
        <v>2879</v>
      </c>
      <c r="F27" s="35" t="s">
        <v>2880</v>
      </c>
      <c r="G27" s="36"/>
    </row>
    <row r="28" spans="1:7" ht="12" customHeight="1">
      <c r="A28" s="542"/>
      <c r="B28" s="34" t="s">
        <v>2606</v>
      </c>
      <c r="C28" s="34" t="s">
        <v>2881</v>
      </c>
      <c r="D28" s="30" t="s">
        <v>2846</v>
      </c>
      <c r="E28" s="35" t="s">
        <v>2879</v>
      </c>
      <c r="F28" s="35" t="s">
        <v>2880</v>
      </c>
      <c r="G28" s="36"/>
    </row>
    <row r="29" spans="1:7" ht="12" customHeight="1">
      <c r="A29" s="542"/>
      <c r="B29" s="34" t="s">
        <v>2606</v>
      </c>
      <c r="C29" s="34" t="s">
        <v>2882</v>
      </c>
      <c r="D29" s="30" t="s">
        <v>2846</v>
      </c>
      <c r="E29" s="35" t="s">
        <v>2863</v>
      </c>
      <c r="F29" s="35" t="s">
        <v>2883</v>
      </c>
      <c r="G29" s="36"/>
    </row>
    <row r="30" spans="1:7" ht="12" customHeight="1">
      <c r="A30" s="542"/>
      <c r="B30" s="34" t="s">
        <v>2606</v>
      </c>
      <c r="C30" s="34" t="s">
        <v>2757</v>
      </c>
      <c r="D30" s="30" t="s">
        <v>2838</v>
      </c>
      <c r="E30" s="35" t="s">
        <v>2884</v>
      </c>
      <c r="F30" s="35" t="s">
        <v>2885</v>
      </c>
      <c r="G30" s="36"/>
    </row>
    <row r="31" spans="1:7" ht="12" customHeight="1">
      <c r="A31" s="542"/>
      <c r="B31" s="34" t="s">
        <v>2606</v>
      </c>
      <c r="C31" s="34" t="s">
        <v>433</v>
      </c>
      <c r="D31" s="30" t="s">
        <v>2838</v>
      </c>
      <c r="E31" s="35" t="s">
        <v>2886</v>
      </c>
      <c r="F31" s="35" t="s">
        <v>2887</v>
      </c>
      <c r="G31" s="36"/>
    </row>
    <row r="32" spans="1:7" ht="12" customHeight="1">
      <c r="A32" s="542"/>
      <c r="B32" s="34" t="s">
        <v>2606</v>
      </c>
      <c r="C32" s="34" t="s">
        <v>1066</v>
      </c>
      <c r="D32" s="30" t="s">
        <v>2846</v>
      </c>
      <c r="E32" s="35" t="s">
        <v>2888</v>
      </c>
      <c r="F32" s="35" t="s">
        <v>2889</v>
      </c>
      <c r="G32" s="36"/>
    </row>
    <row r="33" spans="1:7" ht="12" customHeight="1">
      <c r="A33" s="542"/>
      <c r="B33" s="34" t="s">
        <v>2606</v>
      </c>
      <c r="C33" s="34" t="s">
        <v>2862</v>
      </c>
      <c r="D33" s="30" t="s">
        <v>2846</v>
      </c>
      <c r="E33" s="35" t="s">
        <v>2890</v>
      </c>
      <c r="F33" s="35" t="s">
        <v>2891</v>
      </c>
      <c r="G33" s="36"/>
    </row>
    <row r="34" spans="1:7" ht="12" customHeight="1">
      <c r="A34" s="540" t="s">
        <v>2892</v>
      </c>
      <c r="B34" s="34" t="s">
        <v>2606</v>
      </c>
      <c r="C34" s="34" t="s">
        <v>542</v>
      </c>
      <c r="D34" s="30" t="s">
        <v>2846</v>
      </c>
      <c r="E34" s="35" t="s">
        <v>2893</v>
      </c>
      <c r="F34" s="35" t="s">
        <v>2894</v>
      </c>
      <c r="G34" s="38"/>
    </row>
    <row r="35" spans="1:7" ht="12" customHeight="1">
      <c r="A35" s="540"/>
      <c r="B35" s="34" t="s">
        <v>2606</v>
      </c>
      <c r="C35" s="34" t="s">
        <v>383</v>
      </c>
      <c r="D35" s="30" t="s">
        <v>2838</v>
      </c>
      <c r="E35" s="35" t="s">
        <v>2895</v>
      </c>
      <c r="F35" s="35" t="s">
        <v>2896</v>
      </c>
      <c r="G35" s="36"/>
    </row>
    <row r="36" spans="1:7" ht="12" customHeight="1">
      <c r="A36" s="540"/>
      <c r="B36" s="34" t="s">
        <v>2606</v>
      </c>
      <c r="C36" s="34" t="s">
        <v>1046</v>
      </c>
      <c r="D36" s="34" t="s">
        <v>2846</v>
      </c>
      <c r="E36" s="35" t="s">
        <v>2874</v>
      </c>
      <c r="F36" s="35" t="s">
        <v>2875</v>
      </c>
      <c r="G36" s="36"/>
    </row>
    <row r="37" spans="1:7">
      <c r="A37" s="540"/>
      <c r="B37" s="34" t="s">
        <v>2606</v>
      </c>
      <c r="C37" s="34" t="s">
        <v>383</v>
      </c>
      <c r="D37" s="34" t="s">
        <v>2846</v>
      </c>
      <c r="E37" s="35" t="s">
        <v>2874</v>
      </c>
      <c r="F37" s="35" t="s">
        <v>2876</v>
      </c>
      <c r="G37" s="36"/>
    </row>
    <row r="38" spans="1:7">
      <c r="A38" s="540"/>
      <c r="B38" s="34" t="s">
        <v>2606</v>
      </c>
      <c r="C38" s="34" t="s">
        <v>2897</v>
      </c>
      <c r="D38" s="34" t="s">
        <v>2846</v>
      </c>
      <c r="E38" s="35" t="s">
        <v>2898</v>
      </c>
      <c r="F38" s="35" t="s">
        <v>2899</v>
      </c>
      <c r="G38" s="36"/>
    </row>
    <row r="39" spans="1:7">
      <c r="A39" s="540"/>
      <c r="B39" s="34" t="s">
        <v>2606</v>
      </c>
      <c r="C39" s="34" t="s">
        <v>2878</v>
      </c>
      <c r="D39" s="30" t="s">
        <v>2846</v>
      </c>
      <c r="E39" s="35" t="s">
        <v>2900</v>
      </c>
      <c r="F39" s="35" t="s">
        <v>2880</v>
      </c>
      <c r="G39" s="36"/>
    </row>
    <row r="40" spans="1:7">
      <c r="A40" s="540"/>
      <c r="B40" s="34" t="s">
        <v>2606</v>
      </c>
      <c r="C40" s="34" t="s">
        <v>2901</v>
      </c>
      <c r="D40" s="30" t="s">
        <v>2846</v>
      </c>
      <c r="E40" s="35" t="s">
        <v>2902</v>
      </c>
      <c r="F40" s="35" t="s">
        <v>2880</v>
      </c>
      <c r="G40" s="36"/>
    </row>
    <row r="41" spans="1:7">
      <c r="A41" s="541"/>
      <c r="B41" s="34" t="s">
        <v>2606</v>
      </c>
      <c r="C41" s="34" t="s">
        <v>2881</v>
      </c>
      <c r="D41" s="30" t="s">
        <v>2846</v>
      </c>
      <c r="E41" s="35" t="s">
        <v>2879</v>
      </c>
      <c r="F41" s="35" t="s">
        <v>2880</v>
      </c>
      <c r="G41" s="36"/>
    </row>
    <row r="42" spans="1:7">
      <c r="A42" s="544" t="s">
        <v>2903</v>
      </c>
      <c r="B42" s="34" t="s">
        <v>2606</v>
      </c>
      <c r="C42" s="34" t="s">
        <v>2904</v>
      </c>
      <c r="D42" s="30" t="s">
        <v>2846</v>
      </c>
      <c r="E42" s="35" t="s">
        <v>2905</v>
      </c>
      <c r="F42" s="35" t="s">
        <v>2906</v>
      </c>
      <c r="G42" s="36"/>
    </row>
    <row r="43" spans="1:7">
      <c r="A43" s="542"/>
      <c r="B43" s="34" t="s">
        <v>2606</v>
      </c>
      <c r="C43" s="34" t="s">
        <v>2907</v>
      </c>
      <c r="D43" s="30" t="s">
        <v>2846</v>
      </c>
      <c r="E43" s="35" t="s">
        <v>2908</v>
      </c>
      <c r="F43" s="35" t="s">
        <v>2909</v>
      </c>
      <c r="G43" s="36"/>
    </row>
    <row r="44" spans="1:7">
      <c r="A44" s="542"/>
      <c r="B44" s="34" t="s">
        <v>2606</v>
      </c>
      <c r="C44" s="34" t="s">
        <v>2910</v>
      </c>
      <c r="D44" s="30" t="s">
        <v>2846</v>
      </c>
      <c r="E44" s="35" t="s">
        <v>2911</v>
      </c>
      <c r="F44" s="35" t="s">
        <v>2909</v>
      </c>
      <c r="G44" s="36"/>
    </row>
    <row r="45" spans="1:7">
      <c r="A45" s="542"/>
      <c r="B45" s="34" t="s">
        <v>2606</v>
      </c>
      <c r="C45" s="34" t="s">
        <v>1046</v>
      </c>
      <c r="D45" s="30" t="s">
        <v>2846</v>
      </c>
      <c r="E45" s="35" t="s">
        <v>2912</v>
      </c>
      <c r="F45" s="35" t="s">
        <v>2913</v>
      </c>
      <c r="G45" s="36"/>
    </row>
    <row r="46" spans="1:7">
      <c r="A46" s="542"/>
      <c r="B46" s="34" t="s">
        <v>2606</v>
      </c>
      <c r="C46" s="34" t="s">
        <v>2914</v>
      </c>
      <c r="D46" s="30" t="s">
        <v>2846</v>
      </c>
      <c r="E46" s="35" t="s">
        <v>2915</v>
      </c>
      <c r="F46" s="35" t="s">
        <v>2916</v>
      </c>
      <c r="G46" s="36"/>
    </row>
    <row r="47" spans="1:7">
      <c r="A47" s="542"/>
      <c r="B47" s="34" t="s">
        <v>2606</v>
      </c>
      <c r="C47" s="34" t="s">
        <v>2882</v>
      </c>
      <c r="D47" s="30" t="s">
        <v>2846</v>
      </c>
      <c r="E47" s="35" t="s">
        <v>2863</v>
      </c>
      <c r="F47" s="35" t="s">
        <v>2917</v>
      </c>
      <c r="G47" s="36"/>
    </row>
    <row r="48" spans="1:7">
      <c r="A48" s="542"/>
      <c r="B48" s="34" t="s">
        <v>2606</v>
      </c>
      <c r="C48" s="34" t="s">
        <v>2907</v>
      </c>
      <c r="D48" s="30" t="s">
        <v>2846</v>
      </c>
      <c r="E48" s="35" t="s">
        <v>2918</v>
      </c>
      <c r="F48" s="35" t="s">
        <v>2919</v>
      </c>
      <c r="G48" s="36"/>
    </row>
    <row r="49" spans="1:7">
      <c r="A49" s="542"/>
      <c r="B49" s="34" t="s">
        <v>2606</v>
      </c>
      <c r="C49" s="34" t="s">
        <v>433</v>
      </c>
      <c r="D49" s="30" t="s">
        <v>2846</v>
      </c>
      <c r="E49" s="35" t="s">
        <v>2863</v>
      </c>
      <c r="F49" s="35" t="s">
        <v>2917</v>
      </c>
      <c r="G49" s="36"/>
    </row>
    <row r="50" spans="1:7">
      <c r="A50" s="545"/>
      <c r="B50" s="34" t="s">
        <v>2606</v>
      </c>
      <c r="C50" s="34" t="s">
        <v>2920</v>
      </c>
      <c r="D50" s="30" t="s">
        <v>2846</v>
      </c>
      <c r="E50" s="35" t="s">
        <v>2879</v>
      </c>
      <c r="F50" s="35" t="s">
        <v>2921</v>
      </c>
      <c r="G50" s="36"/>
    </row>
    <row r="51" spans="1:7" ht="29.1">
      <c r="A51" s="544" t="s">
        <v>2922</v>
      </c>
      <c r="B51" s="34" t="s">
        <v>2606</v>
      </c>
      <c r="C51" s="35" t="s">
        <v>2923</v>
      </c>
      <c r="D51" s="30" t="s">
        <v>2846</v>
      </c>
      <c r="E51" s="35" t="s">
        <v>2924</v>
      </c>
      <c r="F51" s="35" t="s">
        <v>2925</v>
      </c>
      <c r="G51" s="36"/>
    </row>
    <row r="52" spans="1:7">
      <c r="A52" s="542"/>
      <c r="B52" s="34" t="s">
        <v>2606</v>
      </c>
      <c r="C52" s="34" t="s">
        <v>2881</v>
      </c>
      <c r="D52" s="30" t="s">
        <v>2846</v>
      </c>
      <c r="E52" s="35" t="s">
        <v>2879</v>
      </c>
      <c r="F52" s="35" t="s">
        <v>2926</v>
      </c>
      <c r="G52" s="36"/>
    </row>
    <row r="53" spans="1:7">
      <c r="A53" s="542"/>
      <c r="B53" s="34" t="s">
        <v>2606</v>
      </c>
      <c r="C53" s="34" t="s">
        <v>2927</v>
      </c>
      <c r="D53" s="30" t="s">
        <v>2846</v>
      </c>
      <c r="E53" s="35" t="s">
        <v>2928</v>
      </c>
      <c r="F53" s="35" t="s">
        <v>2929</v>
      </c>
      <c r="G53" s="36"/>
    </row>
    <row r="54" spans="1:7">
      <c r="A54" s="542"/>
      <c r="B54" s="34" t="s">
        <v>2606</v>
      </c>
      <c r="C54" s="42" t="s">
        <v>1046</v>
      </c>
      <c r="D54" s="30" t="s">
        <v>2846</v>
      </c>
      <c r="E54" s="39" t="s">
        <v>2912</v>
      </c>
      <c r="F54" s="39" t="s">
        <v>2930</v>
      </c>
      <c r="G54" s="43"/>
    </row>
    <row r="55" spans="1:7">
      <c r="A55" s="542"/>
      <c r="B55" s="34" t="s">
        <v>2606</v>
      </c>
      <c r="C55" s="2" t="s">
        <v>2931</v>
      </c>
      <c r="D55" s="30" t="s">
        <v>2846</v>
      </c>
      <c r="E55" s="26" t="s">
        <v>2932</v>
      </c>
      <c r="F55" s="26" t="s">
        <v>2933</v>
      </c>
      <c r="G55" s="2"/>
    </row>
    <row r="56" spans="1:7">
      <c r="A56" s="542"/>
      <c r="B56" s="34" t="s">
        <v>2606</v>
      </c>
      <c r="C56" s="2" t="s">
        <v>1066</v>
      </c>
      <c r="D56" s="30" t="s">
        <v>2846</v>
      </c>
      <c r="E56" s="26" t="s">
        <v>2934</v>
      </c>
      <c r="F56" s="26" t="s">
        <v>2935</v>
      </c>
      <c r="G56" s="2"/>
    </row>
    <row r="57" spans="1:7" ht="29.1">
      <c r="A57" s="542" t="s">
        <v>2936</v>
      </c>
      <c r="B57" s="34" t="s">
        <v>2606</v>
      </c>
      <c r="C57" s="26" t="s">
        <v>2923</v>
      </c>
      <c r="D57" s="30" t="s">
        <v>2846</v>
      </c>
      <c r="E57" s="35" t="s">
        <v>2924</v>
      </c>
      <c r="F57" s="26" t="s">
        <v>2937</v>
      </c>
      <c r="G57" s="2"/>
    </row>
    <row r="58" spans="1:7">
      <c r="A58" s="542"/>
      <c r="B58" s="34" t="s">
        <v>2606</v>
      </c>
      <c r="C58" s="34" t="s">
        <v>2927</v>
      </c>
      <c r="D58" s="30" t="s">
        <v>2846</v>
      </c>
      <c r="E58" s="35" t="s">
        <v>2928</v>
      </c>
      <c r="F58" s="26" t="s">
        <v>2938</v>
      </c>
      <c r="G58" s="2"/>
    </row>
    <row r="59" spans="1:7">
      <c r="A59" s="542"/>
      <c r="B59" s="34" t="s">
        <v>2606</v>
      </c>
      <c r="C59" s="2" t="s">
        <v>2829</v>
      </c>
      <c r="D59" s="30" t="s">
        <v>2846</v>
      </c>
      <c r="E59" s="26" t="s">
        <v>2939</v>
      </c>
      <c r="F59" s="26" t="s">
        <v>2940</v>
      </c>
      <c r="G59" s="2"/>
    </row>
    <row r="60" spans="1:7">
      <c r="A60" s="542"/>
      <c r="B60" s="34" t="s">
        <v>2606</v>
      </c>
      <c r="C60" s="2" t="s">
        <v>2941</v>
      </c>
      <c r="D60" s="30" t="s">
        <v>2846</v>
      </c>
      <c r="E60" s="26" t="s">
        <v>2942</v>
      </c>
      <c r="F60" s="26" t="s">
        <v>2943</v>
      </c>
      <c r="G60" s="2"/>
    </row>
    <row r="61" spans="1:7">
      <c r="A61" s="542"/>
      <c r="B61" s="34" t="s">
        <v>2606</v>
      </c>
      <c r="C61" s="2" t="s">
        <v>1046</v>
      </c>
      <c r="D61" s="30" t="s">
        <v>2846</v>
      </c>
      <c r="E61" s="39" t="s">
        <v>2912</v>
      </c>
      <c r="F61" s="26" t="s">
        <v>2944</v>
      </c>
      <c r="G61" s="2"/>
    </row>
    <row r="62" spans="1:7">
      <c r="A62" s="542"/>
      <c r="B62" s="34" t="s">
        <v>2606</v>
      </c>
      <c r="C62" s="2" t="s">
        <v>2907</v>
      </c>
      <c r="D62" s="30" t="s">
        <v>2846</v>
      </c>
      <c r="E62" s="26" t="s">
        <v>2945</v>
      </c>
      <c r="F62" s="26" t="s">
        <v>2946</v>
      </c>
      <c r="G62" s="2"/>
    </row>
    <row r="63" spans="1:7">
      <c r="A63" s="542"/>
      <c r="B63" s="34" t="s">
        <v>2606</v>
      </c>
      <c r="C63" s="2" t="s">
        <v>1046</v>
      </c>
      <c r="D63" s="30" t="s">
        <v>2846</v>
      </c>
      <c r="E63" s="26" t="s">
        <v>2947</v>
      </c>
      <c r="F63" s="26" t="s">
        <v>2948</v>
      </c>
      <c r="G63" s="2"/>
    </row>
    <row r="64" spans="1:7">
      <c r="A64" s="542" t="s">
        <v>2949</v>
      </c>
      <c r="B64" s="34" t="s">
        <v>2606</v>
      </c>
      <c r="C64" s="2" t="s">
        <v>2950</v>
      </c>
      <c r="D64" s="30" t="s">
        <v>2846</v>
      </c>
      <c r="E64" s="26" t="s">
        <v>2951</v>
      </c>
      <c r="F64" s="26" t="s">
        <v>2952</v>
      </c>
      <c r="G64" s="2"/>
    </row>
    <row r="65" spans="1:7">
      <c r="A65" s="542"/>
      <c r="B65" s="34" t="s">
        <v>2606</v>
      </c>
      <c r="C65" s="42" t="s">
        <v>1046</v>
      </c>
      <c r="D65" s="30" t="s">
        <v>2846</v>
      </c>
      <c r="E65" s="39" t="s">
        <v>2912</v>
      </c>
      <c r="F65" s="26" t="s">
        <v>2953</v>
      </c>
      <c r="G65" s="2"/>
    </row>
    <row r="66" spans="1:7">
      <c r="A66" s="542"/>
      <c r="B66" s="34" t="s">
        <v>2606</v>
      </c>
      <c r="C66" s="42" t="s">
        <v>1046</v>
      </c>
      <c r="D66" s="30" t="s">
        <v>2846</v>
      </c>
      <c r="E66" s="26" t="s">
        <v>2954</v>
      </c>
      <c r="F66" s="26" t="s">
        <v>2953</v>
      </c>
      <c r="G66" s="2"/>
    </row>
    <row r="67" spans="1:7">
      <c r="A67" s="542"/>
      <c r="B67" s="34" t="s">
        <v>2606</v>
      </c>
      <c r="C67" s="2" t="s">
        <v>2941</v>
      </c>
      <c r="D67" s="30" t="s">
        <v>2846</v>
      </c>
      <c r="E67" s="26" t="s">
        <v>2955</v>
      </c>
      <c r="F67" s="26" t="s">
        <v>2956</v>
      </c>
      <c r="G67" s="2"/>
    </row>
    <row r="68" spans="1:7">
      <c r="A68" s="542"/>
      <c r="B68" s="34" t="s">
        <v>2606</v>
      </c>
      <c r="C68" s="2" t="s">
        <v>2832</v>
      </c>
      <c r="D68" s="30" t="s">
        <v>2846</v>
      </c>
      <c r="E68" s="26" t="s">
        <v>2957</v>
      </c>
      <c r="F68" s="26" t="s">
        <v>2958</v>
      </c>
      <c r="G68" s="2"/>
    </row>
    <row r="69" spans="1:7">
      <c r="A69" s="542"/>
      <c r="B69" s="34" t="s">
        <v>2606</v>
      </c>
      <c r="C69" s="34" t="s">
        <v>2927</v>
      </c>
      <c r="D69" s="30" t="s">
        <v>2846</v>
      </c>
      <c r="E69" s="35" t="s">
        <v>2928</v>
      </c>
      <c r="F69" s="26" t="s">
        <v>2959</v>
      </c>
      <c r="G69" s="2"/>
    </row>
    <row r="70" spans="1:7">
      <c r="A70" s="542"/>
      <c r="B70" s="34" t="s">
        <v>2606</v>
      </c>
      <c r="C70" s="2" t="s">
        <v>2907</v>
      </c>
      <c r="D70" s="30" t="s">
        <v>2846</v>
      </c>
      <c r="E70" s="26" t="s">
        <v>2945</v>
      </c>
      <c r="F70" s="26" t="s">
        <v>2960</v>
      </c>
      <c r="G70" s="2"/>
    </row>
    <row r="71" spans="1:7">
      <c r="A71" s="542" t="s">
        <v>2961</v>
      </c>
      <c r="B71" s="34" t="s">
        <v>2606</v>
      </c>
      <c r="C71" s="2" t="s">
        <v>2907</v>
      </c>
      <c r="D71" s="30" t="s">
        <v>2846</v>
      </c>
      <c r="E71" s="26" t="s">
        <v>2945</v>
      </c>
      <c r="F71" s="26" t="s">
        <v>2960</v>
      </c>
      <c r="G71" s="2"/>
    </row>
    <row r="72" spans="1:7">
      <c r="A72" s="542"/>
      <c r="B72" s="34" t="s">
        <v>2606</v>
      </c>
      <c r="C72" s="2" t="s">
        <v>2941</v>
      </c>
      <c r="D72" s="30" t="s">
        <v>2846</v>
      </c>
      <c r="E72" s="26" t="s">
        <v>2955</v>
      </c>
      <c r="F72" s="26" t="s">
        <v>2962</v>
      </c>
      <c r="G72" s="2"/>
    </row>
    <row r="73" spans="1:7">
      <c r="A73" s="542"/>
      <c r="B73" s="34" t="s">
        <v>2606</v>
      </c>
      <c r="C73" s="2" t="s">
        <v>2832</v>
      </c>
      <c r="D73" s="30" t="s">
        <v>2846</v>
      </c>
      <c r="E73" s="26" t="s">
        <v>2957</v>
      </c>
      <c r="F73" s="26" t="s">
        <v>2963</v>
      </c>
      <c r="G73" s="2"/>
    </row>
    <row r="74" spans="1:7">
      <c r="A74" s="542"/>
      <c r="B74" s="34" t="s">
        <v>2606</v>
      </c>
      <c r="C74" s="2" t="s">
        <v>2964</v>
      </c>
      <c r="D74" s="2" t="s">
        <v>2829</v>
      </c>
      <c r="E74" s="26" t="s">
        <v>2965</v>
      </c>
      <c r="F74" s="26" t="s">
        <v>2958</v>
      </c>
      <c r="G74" s="2"/>
    </row>
    <row r="75" spans="1:7">
      <c r="A75" s="542"/>
      <c r="B75" s="34" t="s">
        <v>2606</v>
      </c>
      <c r="C75" s="2" t="s">
        <v>2966</v>
      </c>
      <c r="D75" s="2" t="s">
        <v>2829</v>
      </c>
      <c r="E75" s="26" t="s">
        <v>2967</v>
      </c>
      <c r="F75" s="26" t="s">
        <v>2968</v>
      </c>
      <c r="G75" s="2"/>
    </row>
    <row r="76" spans="1:7">
      <c r="A76" s="542" t="s">
        <v>2969</v>
      </c>
      <c r="B76" s="34" t="s">
        <v>2606</v>
      </c>
      <c r="C76" s="2" t="s">
        <v>2907</v>
      </c>
      <c r="D76" s="30" t="s">
        <v>2846</v>
      </c>
      <c r="E76" s="26" t="s">
        <v>2970</v>
      </c>
      <c r="F76" s="26" t="s">
        <v>2971</v>
      </c>
      <c r="G76" s="2"/>
    </row>
    <row r="77" spans="1:7">
      <c r="A77" s="542"/>
      <c r="B77" s="34" t="s">
        <v>2606</v>
      </c>
      <c r="C77" s="2" t="s">
        <v>2941</v>
      </c>
      <c r="D77" s="30" t="s">
        <v>2972</v>
      </c>
      <c r="E77" s="26" t="s">
        <v>2973</v>
      </c>
      <c r="F77" s="26" t="s">
        <v>2974</v>
      </c>
      <c r="G77" s="2"/>
    </row>
    <row r="78" spans="1:7">
      <c r="A78" s="542"/>
      <c r="B78" s="34" t="s">
        <v>2606</v>
      </c>
      <c r="C78" s="2" t="s">
        <v>2966</v>
      </c>
      <c r="D78" s="2" t="s">
        <v>2829</v>
      </c>
      <c r="E78" s="26" t="s">
        <v>2967</v>
      </c>
      <c r="F78" s="26" t="s">
        <v>2975</v>
      </c>
      <c r="G78" s="2"/>
    </row>
    <row r="79" spans="1:7">
      <c r="A79" s="542"/>
      <c r="B79" s="34" t="s">
        <v>2606</v>
      </c>
      <c r="C79" s="34" t="s">
        <v>2820</v>
      </c>
      <c r="D79" s="34" t="s">
        <v>2846</v>
      </c>
      <c r="E79" s="35" t="s">
        <v>2976</v>
      </c>
      <c r="F79" s="35" t="s">
        <v>2858</v>
      </c>
      <c r="G79" s="2"/>
    </row>
    <row r="80" spans="1:7">
      <c r="A80" s="542"/>
      <c r="B80" s="34" t="s">
        <v>2606</v>
      </c>
      <c r="C80" s="2" t="s">
        <v>2907</v>
      </c>
      <c r="D80" s="34" t="s">
        <v>2846</v>
      </c>
      <c r="E80" s="26" t="s">
        <v>2977</v>
      </c>
      <c r="F80" s="26" t="s">
        <v>2978</v>
      </c>
      <c r="G80" s="2"/>
    </row>
    <row r="81" spans="1:7">
      <c r="A81" s="542"/>
      <c r="B81" s="34" t="s">
        <v>2606</v>
      </c>
      <c r="C81" s="42" t="s">
        <v>1046</v>
      </c>
      <c r="D81" s="2" t="s">
        <v>2824</v>
      </c>
      <c r="E81" s="26" t="s">
        <v>2979</v>
      </c>
      <c r="F81" s="26" t="s">
        <v>2880</v>
      </c>
      <c r="G81" s="2"/>
    </row>
    <row r="82" spans="1:7" ht="12.75">
      <c r="A82" s="542"/>
      <c r="B82" s="34" t="s">
        <v>2606</v>
      </c>
      <c r="C82" s="2" t="s">
        <v>2980</v>
      </c>
      <c r="D82" s="30" t="s">
        <v>2972</v>
      </c>
      <c r="E82" s="26" t="s">
        <v>2981</v>
      </c>
      <c r="F82" s="26" t="s">
        <v>2982</v>
      </c>
      <c r="G82" s="2"/>
    </row>
    <row r="83" spans="1:7" ht="12.75">
      <c r="A83" s="542" t="s">
        <v>2983</v>
      </c>
      <c r="B83" s="34" t="s">
        <v>2606</v>
      </c>
      <c r="C83" s="2" t="s">
        <v>2907</v>
      </c>
      <c r="D83" s="30" t="s">
        <v>2846</v>
      </c>
      <c r="E83" s="26" t="s">
        <v>2970</v>
      </c>
      <c r="F83" s="26" t="s">
        <v>2984</v>
      </c>
      <c r="G83" s="2"/>
    </row>
    <row r="84" spans="1:7" ht="12.75">
      <c r="A84" s="542"/>
      <c r="B84" s="34" t="s">
        <v>2606</v>
      </c>
      <c r="C84" s="2" t="s">
        <v>2941</v>
      </c>
      <c r="D84" s="30" t="s">
        <v>2972</v>
      </c>
      <c r="E84" s="26" t="s">
        <v>2985</v>
      </c>
      <c r="F84" s="26" t="s">
        <v>2986</v>
      </c>
      <c r="G84" s="2"/>
    </row>
    <row r="85" spans="1:7" ht="12.75">
      <c r="A85" s="542"/>
      <c r="B85" s="34" t="s">
        <v>2606</v>
      </c>
      <c r="C85" s="2" t="s">
        <v>2907</v>
      </c>
      <c r="D85" s="34" t="s">
        <v>2846</v>
      </c>
      <c r="E85" s="26" t="s">
        <v>2977</v>
      </c>
      <c r="F85" s="26" t="s">
        <v>2987</v>
      </c>
      <c r="G85" s="2"/>
    </row>
    <row r="86" spans="1:7" ht="12.75">
      <c r="A86" s="542"/>
      <c r="B86" s="34" t="s">
        <v>2606</v>
      </c>
      <c r="C86" s="2" t="s">
        <v>542</v>
      </c>
      <c r="D86" s="34" t="s">
        <v>2846</v>
      </c>
      <c r="E86" s="26" t="s">
        <v>2988</v>
      </c>
      <c r="F86" s="26" t="s">
        <v>2880</v>
      </c>
      <c r="G86" s="2"/>
    </row>
    <row r="87" spans="1:7" ht="12.75">
      <c r="A87" s="542"/>
      <c r="B87" s="34" t="s">
        <v>2606</v>
      </c>
      <c r="C87" s="2" t="s">
        <v>2907</v>
      </c>
      <c r="D87" s="34" t="s">
        <v>2846</v>
      </c>
      <c r="E87" s="26" t="s">
        <v>2989</v>
      </c>
      <c r="F87" s="26" t="s">
        <v>2990</v>
      </c>
      <c r="G87" s="2"/>
    </row>
    <row r="88" spans="1:7" ht="12.75">
      <c r="A88" s="543" t="s">
        <v>2991</v>
      </c>
      <c r="B88" s="34" t="s">
        <v>2606</v>
      </c>
      <c r="C88" s="2" t="s">
        <v>2966</v>
      </c>
      <c r="D88" s="2" t="s">
        <v>2829</v>
      </c>
      <c r="E88" s="26" t="s">
        <v>2967</v>
      </c>
      <c r="F88" s="26" t="s">
        <v>2992</v>
      </c>
      <c r="G88" s="2"/>
    </row>
    <row r="89" spans="1:7" ht="12.75">
      <c r="A89" s="543"/>
      <c r="B89" s="34" t="s">
        <v>2606</v>
      </c>
      <c r="C89" s="2" t="s">
        <v>2941</v>
      </c>
      <c r="D89" s="30" t="s">
        <v>2972</v>
      </c>
      <c r="E89" s="26" t="s">
        <v>2985</v>
      </c>
      <c r="F89" s="26" t="s">
        <v>2993</v>
      </c>
      <c r="G89" s="2"/>
    </row>
    <row r="90" spans="1:7" ht="12.75">
      <c r="A90" s="543"/>
      <c r="B90" s="34" t="s">
        <v>2606</v>
      </c>
      <c r="C90" s="2" t="s">
        <v>2994</v>
      </c>
      <c r="D90" s="34" t="s">
        <v>2846</v>
      </c>
      <c r="E90" s="26" t="s">
        <v>2970</v>
      </c>
      <c r="F90" s="26" t="s">
        <v>2995</v>
      </c>
      <c r="G90" s="2"/>
    </row>
    <row r="91" spans="1:7" ht="12.75">
      <c r="A91" s="543"/>
      <c r="B91" s="34" t="s">
        <v>2606</v>
      </c>
      <c r="C91" s="2" t="s">
        <v>2996</v>
      </c>
      <c r="D91" s="34" t="s">
        <v>2846</v>
      </c>
      <c r="E91" s="26" t="s">
        <v>2970</v>
      </c>
      <c r="F91" s="26" t="s">
        <v>2997</v>
      </c>
      <c r="G91" s="2"/>
    </row>
    <row r="92" spans="1:7" ht="12.75">
      <c r="A92" s="543"/>
      <c r="B92" s="34" t="s">
        <v>2606</v>
      </c>
      <c r="C92" s="2" t="s">
        <v>477</v>
      </c>
      <c r="D92" s="34" t="s">
        <v>2846</v>
      </c>
      <c r="E92" s="26" t="s">
        <v>2970</v>
      </c>
      <c r="F92" s="26" t="s">
        <v>2998</v>
      </c>
      <c r="G92" s="2"/>
    </row>
    <row r="93" spans="1:7" ht="12.75">
      <c r="A93" s="542" t="s">
        <v>2999</v>
      </c>
      <c r="B93" s="34" t="s">
        <v>2606</v>
      </c>
      <c r="C93" s="2" t="s">
        <v>2966</v>
      </c>
      <c r="D93" s="30" t="s">
        <v>2972</v>
      </c>
      <c r="E93" s="26" t="s">
        <v>2967</v>
      </c>
      <c r="F93" s="26" t="s">
        <v>3000</v>
      </c>
      <c r="G93" s="2"/>
    </row>
    <row r="94" spans="1:7" ht="12.75">
      <c r="A94" s="542"/>
      <c r="B94" s="34" t="s">
        <v>2606</v>
      </c>
      <c r="C94" s="2" t="s">
        <v>2941</v>
      </c>
      <c r="D94" s="30" t="s">
        <v>2972</v>
      </c>
      <c r="E94" s="26" t="s">
        <v>3001</v>
      </c>
      <c r="F94" s="26" t="s">
        <v>3002</v>
      </c>
      <c r="G94" s="2"/>
    </row>
    <row r="95" spans="1:7" ht="12.75">
      <c r="A95" s="542"/>
      <c r="B95" s="34" t="s">
        <v>2606</v>
      </c>
      <c r="C95" s="2" t="s">
        <v>477</v>
      </c>
      <c r="D95" s="34" t="s">
        <v>2846</v>
      </c>
      <c r="E95" s="26" t="s">
        <v>3003</v>
      </c>
      <c r="F95" s="26" t="s">
        <v>3004</v>
      </c>
      <c r="G95" s="2"/>
    </row>
    <row r="96" spans="1:7" ht="12.75">
      <c r="A96" s="542"/>
      <c r="B96" s="34" t="s">
        <v>2606</v>
      </c>
      <c r="C96" s="2" t="s">
        <v>2994</v>
      </c>
      <c r="D96" s="34" t="s">
        <v>2846</v>
      </c>
      <c r="E96" s="26" t="s">
        <v>3005</v>
      </c>
      <c r="F96" s="26" t="s">
        <v>3006</v>
      </c>
      <c r="G96" s="2"/>
    </row>
    <row r="97" spans="1:7" ht="12">
      <c r="A97" s="2"/>
      <c r="B97" s="2"/>
      <c r="C97" s="2"/>
      <c r="D97" s="2"/>
      <c r="E97" s="26"/>
      <c r="F97" s="26"/>
      <c r="G97" s="2"/>
    </row>
    <row r="98" spans="1:7">
      <c r="A98" s="2"/>
      <c r="B98" s="2"/>
      <c r="C98" s="2"/>
      <c r="D98" s="2"/>
      <c r="E98" s="26"/>
      <c r="F98" s="26"/>
      <c r="G98" s="2"/>
    </row>
    <row r="99" spans="1:7">
      <c r="A99" s="2"/>
      <c r="B99" s="2"/>
      <c r="C99" s="2"/>
      <c r="D99" s="2"/>
      <c r="E99" s="26"/>
      <c r="F99" s="26"/>
      <c r="G99" s="2"/>
    </row>
    <row r="100" spans="1:7">
      <c r="A100" s="2"/>
      <c r="B100" s="2"/>
      <c r="C100" s="2"/>
      <c r="D100" s="2"/>
      <c r="E100" s="26"/>
      <c r="F100" s="26"/>
      <c r="G100" s="2"/>
    </row>
    <row r="101" spans="1:7">
      <c r="A101" s="2"/>
      <c r="B101" s="2"/>
      <c r="C101" s="2"/>
      <c r="D101" s="2"/>
      <c r="E101" s="26"/>
      <c r="F101" s="26"/>
      <c r="G101" s="2"/>
    </row>
    <row r="102" spans="1:7">
      <c r="A102" s="2"/>
      <c r="B102" s="2"/>
      <c r="C102" s="2"/>
      <c r="D102" s="2"/>
      <c r="E102" s="26"/>
      <c r="F102" s="26"/>
      <c r="G102" s="2"/>
    </row>
    <row r="103" spans="1:7">
      <c r="A103" s="2"/>
      <c r="B103" s="2"/>
      <c r="C103" s="2"/>
      <c r="D103" s="2"/>
      <c r="E103" s="26"/>
      <c r="F103" s="26"/>
      <c r="G103" s="2"/>
    </row>
    <row r="104" spans="1:7">
      <c r="A104" s="2"/>
      <c r="B104" s="2"/>
      <c r="C104" s="2"/>
      <c r="D104" s="2"/>
      <c r="E104" s="26"/>
      <c r="F104" s="26"/>
      <c r="G104" s="2"/>
    </row>
    <row r="105" spans="1:7">
      <c r="A105" s="2"/>
      <c r="B105" s="2"/>
      <c r="C105" s="2"/>
      <c r="D105" s="2"/>
      <c r="E105" s="26"/>
      <c r="F105" s="26"/>
      <c r="G105" s="2"/>
    </row>
    <row r="106" spans="1:7">
      <c r="A106" s="2"/>
      <c r="B106" s="2"/>
      <c r="C106" s="2"/>
      <c r="D106" s="2"/>
      <c r="E106" s="26"/>
      <c r="F106" s="26"/>
      <c r="G106" s="2"/>
    </row>
    <row r="107" spans="1:7">
      <c r="A107" s="2"/>
      <c r="B107" s="2"/>
      <c r="C107" s="2"/>
      <c r="D107" s="2"/>
      <c r="E107" s="26"/>
      <c r="F107" s="26"/>
      <c r="G107" s="2"/>
    </row>
    <row r="108" spans="1:7">
      <c r="A108" s="2"/>
      <c r="B108" s="2"/>
      <c r="C108" s="2"/>
      <c r="D108" s="2"/>
      <c r="E108" s="26"/>
      <c r="F108" s="26"/>
      <c r="G108" s="2"/>
    </row>
    <row r="109" spans="1:7">
      <c r="A109" s="2"/>
      <c r="B109" s="2"/>
      <c r="C109" s="2"/>
      <c r="D109" s="2"/>
      <c r="E109" s="26"/>
      <c r="F109" s="26"/>
      <c r="G109" s="2"/>
    </row>
    <row r="110" spans="1:7">
      <c r="A110" s="2"/>
      <c r="B110" s="2"/>
      <c r="C110" s="2"/>
      <c r="D110" s="2"/>
      <c r="E110" s="26"/>
      <c r="F110" s="26"/>
      <c r="G110" s="2"/>
    </row>
    <row r="111" spans="1:7">
      <c r="A111" s="2"/>
      <c r="B111" s="2"/>
      <c r="C111" s="2"/>
      <c r="D111" s="2"/>
      <c r="E111" s="26"/>
      <c r="F111" s="26"/>
      <c r="G111" s="2"/>
    </row>
    <row r="112" spans="1:7">
      <c r="A112" s="2"/>
      <c r="B112" s="2"/>
      <c r="C112" s="2"/>
      <c r="D112" s="2"/>
      <c r="E112" s="26"/>
      <c r="F112" s="26"/>
      <c r="G112" s="2"/>
    </row>
    <row r="113" spans="1:7">
      <c r="A113" s="2"/>
      <c r="B113" s="2"/>
      <c r="C113" s="2"/>
      <c r="D113" s="2"/>
      <c r="E113" s="26"/>
      <c r="F113" s="26"/>
      <c r="G113" s="2"/>
    </row>
    <row r="114" spans="1:7">
      <c r="A114" s="2"/>
      <c r="B114" s="2"/>
      <c r="C114" s="2"/>
      <c r="D114" s="2"/>
      <c r="E114" s="26"/>
      <c r="F114" s="26"/>
      <c r="G114" s="2"/>
    </row>
    <row r="115" spans="1:7">
      <c r="A115" s="2"/>
      <c r="B115" s="2"/>
      <c r="C115" s="2"/>
      <c r="D115" s="2"/>
      <c r="E115" s="26"/>
      <c r="F115" s="26"/>
      <c r="G115" s="2"/>
    </row>
    <row r="116" spans="1:7">
      <c r="A116" s="2"/>
      <c r="B116" s="2"/>
      <c r="C116" s="2"/>
      <c r="D116" s="2"/>
      <c r="E116" s="26"/>
      <c r="F116" s="26"/>
      <c r="G116" s="2"/>
    </row>
    <row r="117" spans="1:7">
      <c r="A117" s="2"/>
      <c r="B117" s="2"/>
      <c r="C117" s="2"/>
      <c r="D117" s="2"/>
      <c r="E117" s="26"/>
      <c r="F117" s="26"/>
      <c r="G117" s="2"/>
    </row>
    <row r="118" spans="1:7">
      <c r="A118" s="2"/>
      <c r="B118" s="2"/>
      <c r="C118" s="2"/>
      <c r="D118" s="2"/>
      <c r="E118" s="26"/>
      <c r="F118" s="26"/>
      <c r="G118" s="2"/>
    </row>
    <row r="119" spans="1:7">
      <c r="A119" s="2"/>
      <c r="B119" s="2"/>
      <c r="C119" s="2"/>
      <c r="D119" s="2"/>
      <c r="E119" s="26"/>
      <c r="F119" s="26"/>
      <c r="G119" s="2"/>
    </row>
    <row r="120" spans="1:7">
      <c r="A120" s="2"/>
      <c r="B120" s="2"/>
      <c r="C120" s="2"/>
      <c r="D120" s="2"/>
      <c r="E120" s="26"/>
      <c r="F120" s="26"/>
      <c r="G120" s="2"/>
    </row>
    <row r="121" spans="1:7">
      <c r="A121" s="2"/>
      <c r="B121" s="2"/>
      <c r="C121" s="2"/>
      <c r="D121" s="2"/>
      <c r="E121" s="26"/>
      <c r="F121" s="26"/>
      <c r="G121" s="2"/>
    </row>
    <row r="122" spans="1:7">
      <c r="A122" s="2"/>
      <c r="B122" s="2"/>
      <c r="C122" s="2"/>
      <c r="D122" s="2"/>
      <c r="E122" s="26"/>
      <c r="F122" s="26"/>
      <c r="G122" s="2"/>
    </row>
    <row r="123" spans="1:7">
      <c r="A123" s="2"/>
      <c r="B123" s="2"/>
      <c r="C123" s="2"/>
      <c r="D123" s="2"/>
      <c r="E123" s="26"/>
      <c r="F123" s="26"/>
      <c r="G123" s="2"/>
    </row>
    <row r="124" spans="1:7">
      <c r="A124" s="2"/>
      <c r="B124" s="2"/>
      <c r="C124" s="2"/>
      <c r="D124" s="2"/>
      <c r="E124" s="26"/>
      <c r="F124" s="26"/>
      <c r="G124" s="2"/>
    </row>
    <row r="125" spans="1:7">
      <c r="A125" s="2"/>
      <c r="B125" s="2"/>
      <c r="C125" s="2"/>
      <c r="D125" s="2"/>
      <c r="E125" s="26"/>
      <c r="F125" s="26"/>
      <c r="G125" s="2"/>
    </row>
    <row r="126" spans="1:7">
      <c r="A126" s="2"/>
      <c r="B126" s="2"/>
      <c r="C126" s="2"/>
      <c r="D126" s="2"/>
      <c r="E126" s="26"/>
      <c r="F126" s="26"/>
      <c r="G126" s="2"/>
    </row>
    <row r="127" spans="1:7">
      <c r="A127" s="2"/>
      <c r="B127" s="2"/>
      <c r="C127" s="2"/>
      <c r="D127" s="2"/>
      <c r="E127" s="26"/>
      <c r="F127" s="26"/>
      <c r="G127" s="2"/>
    </row>
    <row r="128" spans="1:7">
      <c r="A128" s="2"/>
      <c r="B128" s="2"/>
      <c r="C128" s="2"/>
      <c r="D128" s="2"/>
      <c r="E128" s="26"/>
      <c r="F128" s="26"/>
      <c r="G128" s="2"/>
    </row>
    <row r="129" spans="1:7">
      <c r="A129" s="2"/>
      <c r="B129" s="2"/>
      <c r="C129" s="2"/>
      <c r="D129" s="2"/>
      <c r="E129" s="26"/>
      <c r="F129" s="26"/>
      <c r="G129" s="2"/>
    </row>
    <row r="130" spans="1:7">
      <c r="A130" s="2"/>
      <c r="B130" s="2"/>
      <c r="C130" s="2"/>
      <c r="D130" s="2"/>
      <c r="E130" s="26"/>
      <c r="F130" s="26"/>
      <c r="G130" s="2"/>
    </row>
    <row r="131" spans="1:7">
      <c r="A131" s="2"/>
      <c r="B131" s="2"/>
      <c r="C131" s="2"/>
      <c r="D131" s="2"/>
      <c r="E131" s="26"/>
      <c r="F131" s="26"/>
      <c r="G131" s="2"/>
    </row>
    <row r="132" spans="1:7">
      <c r="A132" s="2"/>
      <c r="B132" s="2"/>
      <c r="C132" s="2"/>
      <c r="D132" s="2"/>
      <c r="E132" s="26"/>
      <c r="F132" s="26"/>
      <c r="G132" s="2"/>
    </row>
    <row r="133" spans="1:7">
      <c r="A133" s="2"/>
      <c r="B133" s="2"/>
      <c r="C133" s="2"/>
      <c r="D133" s="2"/>
      <c r="E133" s="26"/>
      <c r="F133" s="26"/>
      <c r="G133" s="2"/>
    </row>
    <row r="134" spans="1:7">
      <c r="A134" s="2"/>
      <c r="B134" s="2"/>
      <c r="C134" s="2"/>
      <c r="D134" s="2"/>
      <c r="E134" s="26"/>
      <c r="F134" s="26"/>
      <c r="G134" s="2"/>
    </row>
    <row r="135" spans="1:7">
      <c r="A135" s="2"/>
      <c r="B135" s="2"/>
      <c r="C135" s="2"/>
      <c r="D135" s="2"/>
      <c r="E135" s="26"/>
      <c r="F135" s="26"/>
      <c r="G135" s="2"/>
    </row>
    <row r="136" spans="1:7">
      <c r="A136" s="2"/>
      <c r="B136" s="2"/>
      <c r="C136" s="2"/>
      <c r="D136" s="2"/>
      <c r="E136" s="26"/>
      <c r="F136" s="26"/>
      <c r="G136" s="2"/>
    </row>
    <row r="137" spans="1:7">
      <c r="A137" s="2"/>
      <c r="B137" s="2"/>
      <c r="C137" s="2"/>
      <c r="D137" s="2"/>
      <c r="E137" s="26"/>
      <c r="F137" s="26"/>
      <c r="G137" s="2"/>
    </row>
    <row r="138" spans="1:7">
      <c r="A138" s="2"/>
      <c r="B138" s="2"/>
      <c r="C138" s="2"/>
      <c r="D138" s="2"/>
      <c r="E138" s="26"/>
      <c r="F138" s="26"/>
      <c r="G138" s="2"/>
    </row>
    <row r="139" spans="1:7">
      <c r="A139" s="2"/>
      <c r="B139" s="2"/>
      <c r="C139" s="2"/>
      <c r="D139" s="2"/>
      <c r="E139" s="26"/>
      <c r="F139" s="26"/>
      <c r="G139" s="2"/>
    </row>
    <row r="140" spans="1:7">
      <c r="A140" s="2"/>
      <c r="B140" s="2"/>
      <c r="C140" s="2"/>
      <c r="D140" s="2"/>
      <c r="E140" s="26"/>
      <c r="F140" s="26"/>
      <c r="G140" s="2"/>
    </row>
    <row r="141" spans="1:7">
      <c r="A141" s="2"/>
      <c r="B141" s="2"/>
      <c r="C141" s="2"/>
      <c r="D141" s="2"/>
      <c r="E141" s="26"/>
      <c r="F141" s="26"/>
      <c r="G141" s="2"/>
    </row>
    <row r="142" spans="1:7">
      <c r="A142" s="2"/>
      <c r="B142" s="2"/>
      <c r="C142" s="2"/>
      <c r="D142" s="2"/>
      <c r="E142" s="26"/>
      <c r="F142" s="26"/>
      <c r="G142" s="2"/>
    </row>
    <row r="143" spans="1:7">
      <c r="A143" s="2"/>
      <c r="B143" s="2"/>
      <c r="C143" s="2"/>
      <c r="D143" s="2"/>
      <c r="E143" s="26"/>
      <c r="F143" s="26"/>
      <c r="G143" s="2"/>
    </row>
    <row r="144" spans="1:7">
      <c r="A144" s="2"/>
      <c r="B144" s="2"/>
      <c r="C144" s="2"/>
      <c r="D144" s="2"/>
      <c r="E144" s="26"/>
      <c r="F144" s="26"/>
      <c r="G144" s="2"/>
    </row>
    <row r="145" spans="1:7">
      <c r="A145" s="2"/>
      <c r="B145" s="2"/>
      <c r="C145" s="2"/>
      <c r="D145" s="2"/>
      <c r="E145" s="26"/>
      <c r="F145" s="26"/>
      <c r="G145" s="2"/>
    </row>
    <row r="146" spans="1:7">
      <c r="A146" s="2"/>
      <c r="B146" s="2"/>
      <c r="C146" s="2"/>
      <c r="D146" s="2"/>
      <c r="E146" s="26"/>
      <c r="F146" s="26"/>
      <c r="G146" s="2"/>
    </row>
    <row r="147" spans="1:7">
      <c r="A147" s="2"/>
      <c r="B147" s="2"/>
      <c r="C147" s="2"/>
      <c r="D147" s="2"/>
      <c r="E147" s="26"/>
      <c r="F147" s="26"/>
      <c r="G147" s="2"/>
    </row>
    <row r="148" spans="1:7">
      <c r="A148" s="2"/>
      <c r="B148" s="2"/>
      <c r="C148" s="2"/>
      <c r="D148" s="2"/>
      <c r="E148" s="26"/>
      <c r="F148" s="26"/>
      <c r="G148" s="2"/>
    </row>
    <row r="149" spans="1:7">
      <c r="A149" s="2"/>
      <c r="B149" s="2"/>
      <c r="C149" s="2"/>
      <c r="D149" s="2"/>
      <c r="E149" s="26"/>
      <c r="F149" s="26"/>
      <c r="G149" s="2"/>
    </row>
    <row r="150" spans="1:7">
      <c r="A150" s="2"/>
      <c r="B150" s="2"/>
      <c r="C150" s="2"/>
      <c r="D150" s="2"/>
      <c r="E150" s="26"/>
      <c r="F150" s="26"/>
      <c r="G150" s="2"/>
    </row>
    <row r="151" spans="1:7">
      <c r="A151" s="2"/>
      <c r="B151" s="2"/>
      <c r="C151" s="2"/>
      <c r="D151" s="2"/>
      <c r="E151" s="26"/>
      <c r="F151" s="26"/>
      <c r="G151" s="2"/>
    </row>
    <row r="152" spans="1:7">
      <c r="A152" s="2"/>
      <c r="B152" s="2"/>
      <c r="C152" s="2"/>
      <c r="D152" s="2"/>
      <c r="E152" s="26"/>
      <c r="F152" s="26"/>
      <c r="G152" s="2"/>
    </row>
    <row r="153" spans="1:7">
      <c r="A153" s="2"/>
      <c r="B153" s="2"/>
      <c r="C153" s="2"/>
      <c r="D153" s="2"/>
      <c r="E153" s="26"/>
      <c r="F153" s="26"/>
      <c r="G153" s="2"/>
    </row>
    <row r="154" spans="1:7">
      <c r="A154" s="2"/>
      <c r="B154" s="2"/>
      <c r="C154" s="2"/>
      <c r="D154" s="2"/>
      <c r="E154" s="26"/>
      <c r="F154" s="26"/>
      <c r="G154" s="2"/>
    </row>
    <row r="155" spans="1:7">
      <c r="A155" s="2"/>
      <c r="B155" s="2"/>
      <c r="C155" s="2"/>
      <c r="D155" s="2"/>
      <c r="E155" s="26"/>
      <c r="F155" s="26"/>
      <c r="G155" s="2"/>
    </row>
    <row r="156" spans="1:7">
      <c r="A156" s="2"/>
      <c r="B156" s="2"/>
      <c r="C156" s="2"/>
      <c r="D156" s="2"/>
      <c r="E156" s="26"/>
      <c r="F156" s="26"/>
      <c r="G156" s="2"/>
    </row>
    <row r="157" spans="1:7">
      <c r="A157" s="2"/>
      <c r="B157" s="2"/>
      <c r="C157" s="2"/>
      <c r="D157" s="2"/>
      <c r="E157" s="26"/>
      <c r="F157" s="26"/>
      <c r="G157" s="2"/>
    </row>
    <row r="158" spans="1:7">
      <c r="A158" s="2"/>
      <c r="B158" s="2"/>
      <c r="C158" s="2"/>
      <c r="D158" s="2"/>
      <c r="E158" s="26"/>
      <c r="F158" s="26"/>
      <c r="G158" s="2"/>
    </row>
    <row r="159" spans="1:7">
      <c r="A159" s="2"/>
      <c r="B159" s="2"/>
      <c r="C159" s="2"/>
      <c r="D159" s="2"/>
      <c r="E159" s="26"/>
      <c r="F159" s="26"/>
      <c r="G159" s="2"/>
    </row>
    <row r="160" spans="1:7">
      <c r="A160" s="2"/>
      <c r="B160" s="2"/>
      <c r="C160" s="2"/>
      <c r="D160" s="2"/>
      <c r="E160" s="26"/>
      <c r="F160" s="26"/>
      <c r="G160" s="2"/>
    </row>
    <row r="161" spans="1:7">
      <c r="A161" s="2"/>
      <c r="B161" s="2"/>
      <c r="C161" s="2"/>
      <c r="D161" s="2"/>
      <c r="E161" s="26"/>
      <c r="F161" s="26"/>
      <c r="G161" s="2"/>
    </row>
    <row r="162" spans="1:7">
      <c r="A162" s="2"/>
      <c r="B162" s="2"/>
      <c r="C162" s="2"/>
      <c r="D162" s="2"/>
      <c r="E162" s="26"/>
      <c r="F162" s="26"/>
      <c r="G162" s="2"/>
    </row>
    <row r="163" spans="1:7">
      <c r="A163" s="2"/>
      <c r="B163" s="2"/>
      <c r="C163" s="2"/>
      <c r="D163" s="2"/>
      <c r="E163" s="26"/>
      <c r="F163" s="26"/>
      <c r="G163" s="2"/>
    </row>
    <row r="164" spans="1:7">
      <c r="A164" s="2"/>
      <c r="B164" s="2"/>
      <c r="C164" s="2"/>
      <c r="D164" s="2"/>
      <c r="E164" s="26"/>
      <c r="F164" s="26"/>
      <c r="G164" s="2"/>
    </row>
    <row r="165" spans="1:7">
      <c r="A165" s="2"/>
      <c r="B165" s="2"/>
      <c r="C165" s="2"/>
      <c r="D165" s="2"/>
      <c r="E165" s="26"/>
      <c r="F165" s="26"/>
      <c r="G165" s="2"/>
    </row>
    <row r="166" spans="1:7">
      <c r="A166" s="2"/>
      <c r="B166" s="2"/>
      <c r="C166" s="2"/>
      <c r="D166" s="2"/>
      <c r="E166" s="26"/>
      <c r="F166" s="26"/>
      <c r="G166" s="2"/>
    </row>
    <row r="167" spans="1:7">
      <c r="A167" s="2"/>
      <c r="B167" s="2"/>
      <c r="C167" s="2"/>
      <c r="D167" s="2"/>
      <c r="E167" s="26"/>
      <c r="F167" s="26"/>
      <c r="G167" s="2"/>
    </row>
    <row r="168" spans="1:7">
      <c r="A168" s="2"/>
      <c r="B168" s="2"/>
      <c r="C168" s="2"/>
      <c r="D168" s="2"/>
      <c r="E168" s="26"/>
      <c r="F168" s="26"/>
      <c r="G168" s="2"/>
    </row>
    <row r="169" spans="1:7">
      <c r="A169" s="2"/>
      <c r="B169" s="2"/>
      <c r="C169" s="2"/>
      <c r="D169" s="2"/>
      <c r="E169" s="26"/>
      <c r="F169" s="26"/>
      <c r="G169" s="2"/>
    </row>
    <row r="170" spans="1:7">
      <c r="A170" s="2"/>
      <c r="B170" s="2"/>
      <c r="C170" s="2"/>
      <c r="D170" s="2"/>
      <c r="E170" s="26"/>
      <c r="F170" s="26"/>
      <c r="G170" s="2"/>
    </row>
    <row r="171" spans="1:7">
      <c r="A171" s="2"/>
      <c r="B171" s="2"/>
      <c r="C171" s="2"/>
      <c r="D171" s="2"/>
      <c r="E171" s="26"/>
      <c r="F171" s="26"/>
      <c r="G171" s="2"/>
    </row>
    <row r="172" spans="1:7">
      <c r="A172" s="2"/>
      <c r="B172" s="2"/>
      <c r="C172" s="2"/>
      <c r="D172" s="2"/>
      <c r="E172" s="26"/>
      <c r="F172" s="26"/>
      <c r="G172" s="2"/>
    </row>
    <row r="173" spans="1:7">
      <c r="A173" s="2"/>
      <c r="B173" s="2"/>
      <c r="C173" s="2"/>
      <c r="D173" s="2"/>
      <c r="E173" s="26"/>
      <c r="F173" s="26"/>
      <c r="G173" s="2"/>
    </row>
    <row r="174" spans="1:7">
      <c r="A174" s="2"/>
      <c r="B174" s="2"/>
      <c r="C174" s="2"/>
      <c r="D174" s="2"/>
      <c r="E174" s="26"/>
      <c r="F174" s="26"/>
      <c r="G174" s="2"/>
    </row>
    <row r="175" spans="1:7">
      <c r="A175" s="2"/>
      <c r="B175" s="2"/>
      <c r="C175" s="2"/>
      <c r="D175" s="2"/>
      <c r="E175" s="26"/>
      <c r="F175" s="26"/>
      <c r="G175" s="2"/>
    </row>
    <row r="176" spans="1:7">
      <c r="A176" s="2"/>
      <c r="B176" s="2"/>
      <c r="C176" s="2"/>
      <c r="D176" s="2"/>
      <c r="E176" s="26"/>
      <c r="F176" s="26"/>
      <c r="G176" s="2"/>
    </row>
    <row r="177" spans="1:7">
      <c r="A177" s="2"/>
      <c r="B177" s="2"/>
      <c r="C177" s="2"/>
      <c r="D177" s="2"/>
      <c r="E177" s="26"/>
      <c r="F177" s="26"/>
      <c r="G177" s="2"/>
    </row>
    <row r="178" spans="1:7">
      <c r="A178" s="2"/>
      <c r="B178" s="2"/>
      <c r="C178" s="2"/>
      <c r="D178" s="2"/>
      <c r="E178" s="26"/>
      <c r="F178" s="26"/>
      <c r="G178" s="2"/>
    </row>
    <row r="179" spans="1:7">
      <c r="A179" s="2"/>
      <c r="B179" s="2"/>
      <c r="C179" s="2"/>
      <c r="D179" s="2"/>
      <c r="E179" s="26"/>
      <c r="F179" s="26"/>
      <c r="G179" s="2"/>
    </row>
    <row r="180" spans="1:7">
      <c r="A180" s="2"/>
      <c r="B180" s="2"/>
      <c r="C180" s="2"/>
      <c r="D180" s="2"/>
      <c r="E180" s="26"/>
      <c r="F180" s="26"/>
      <c r="G180" s="2"/>
    </row>
    <row r="181" spans="1:7">
      <c r="A181" s="2"/>
      <c r="B181" s="2"/>
      <c r="C181" s="2"/>
      <c r="D181" s="2"/>
      <c r="E181" s="26"/>
      <c r="F181" s="26"/>
      <c r="G181" s="2"/>
    </row>
    <row r="182" spans="1:7">
      <c r="A182" s="2"/>
      <c r="B182" s="2"/>
      <c r="C182" s="2"/>
      <c r="D182" s="2"/>
      <c r="E182" s="26"/>
      <c r="F182" s="26"/>
      <c r="G182" s="2"/>
    </row>
    <row r="183" spans="1:7">
      <c r="A183" s="2"/>
      <c r="B183" s="2"/>
      <c r="C183" s="2"/>
      <c r="D183" s="2"/>
      <c r="E183" s="26"/>
      <c r="F183" s="26"/>
      <c r="G183" s="2"/>
    </row>
    <row r="184" spans="1:7">
      <c r="A184" s="2"/>
      <c r="B184" s="2"/>
      <c r="C184" s="2"/>
      <c r="D184" s="2"/>
      <c r="E184" s="26"/>
      <c r="F184" s="26"/>
      <c r="G184" s="2"/>
    </row>
    <row r="185" spans="1:7">
      <c r="A185" s="2"/>
      <c r="B185" s="2"/>
      <c r="C185" s="2"/>
      <c r="D185" s="2"/>
      <c r="E185" s="26"/>
      <c r="F185" s="26"/>
      <c r="G185" s="2"/>
    </row>
    <row r="186" spans="1:7">
      <c r="A186" s="2"/>
      <c r="B186" s="2"/>
      <c r="C186" s="2"/>
      <c r="D186" s="2"/>
      <c r="E186" s="26"/>
      <c r="F186" s="26"/>
      <c r="G186" s="2"/>
    </row>
    <row r="187" spans="1:7">
      <c r="A187" s="2"/>
      <c r="B187" s="2"/>
      <c r="C187" s="2"/>
      <c r="D187" s="2"/>
      <c r="E187" s="26"/>
      <c r="F187" s="26"/>
      <c r="G187" s="2"/>
    </row>
    <row r="188" spans="1:7">
      <c r="A188" s="2"/>
      <c r="B188" s="2"/>
      <c r="C188" s="2"/>
      <c r="D188" s="2"/>
      <c r="E188" s="26"/>
      <c r="F188" s="26"/>
      <c r="G188" s="2"/>
    </row>
    <row r="189" spans="1:7">
      <c r="A189" s="2"/>
      <c r="B189" s="2"/>
      <c r="C189" s="2"/>
      <c r="D189" s="2"/>
      <c r="E189" s="26"/>
      <c r="F189" s="26"/>
      <c r="G189" s="2"/>
    </row>
    <row r="190" spans="1:7">
      <c r="A190" s="2"/>
      <c r="B190" s="2"/>
      <c r="C190" s="2"/>
      <c r="D190" s="2"/>
      <c r="E190" s="26"/>
      <c r="F190" s="26"/>
      <c r="G190" s="2"/>
    </row>
    <row r="191" spans="1:7">
      <c r="A191" s="2"/>
      <c r="B191" s="2"/>
      <c r="C191" s="2"/>
      <c r="D191" s="2"/>
      <c r="E191" s="26"/>
      <c r="F191" s="26"/>
      <c r="G191" s="2"/>
    </row>
    <row r="192" spans="1:7">
      <c r="A192" s="2"/>
      <c r="B192" s="2"/>
      <c r="C192" s="2"/>
      <c r="D192" s="2"/>
      <c r="E192" s="26"/>
      <c r="F192" s="26"/>
      <c r="G192" s="2"/>
    </row>
    <row r="193" spans="1:7">
      <c r="A193" s="2"/>
      <c r="B193" s="2"/>
      <c r="C193" s="2"/>
      <c r="D193" s="2"/>
      <c r="E193" s="26"/>
      <c r="F193" s="26"/>
      <c r="G193" s="2"/>
    </row>
    <row r="194" spans="1:7">
      <c r="A194" s="2"/>
      <c r="B194" s="2"/>
      <c r="C194" s="2"/>
      <c r="D194" s="2"/>
      <c r="E194" s="26"/>
      <c r="F194" s="26"/>
      <c r="G194" s="2"/>
    </row>
    <row r="195" spans="1:7">
      <c r="A195" s="2"/>
      <c r="B195" s="2"/>
      <c r="C195" s="2"/>
      <c r="D195" s="2"/>
      <c r="E195" s="26"/>
      <c r="F195" s="26"/>
      <c r="G195" s="2"/>
    </row>
    <row r="196" spans="1:7">
      <c r="A196" s="2"/>
      <c r="B196" s="2"/>
      <c r="C196" s="2"/>
      <c r="D196" s="2"/>
      <c r="E196" s="26"/>
      <c r="F196" s="26"/>
      <c r="G196" s="2"/>
    </row>
    <row r="197" spans="1:7">
      <c r="A197" s="2"/>
      <c r="B197" s="2"/>
      <c r="C197" s="2"/>
      <c r="D197" s="2"/>
      <c r="E197" s="26"/>
      <c r="F197" s="26"/>
      <c r="G197" s="2"/>
    </row>
    <row r="198" spans="1:7">
      <c r="A198" s="2"/>
      <c r="B198" s="2"/>
      <c r="C198" s="2"/>
      <c r="D198" s="2"/>
      <c r="E198" s="26"/>
      <c r="F198" s="26"/>
      <c r="G198" s="2"/>
    </row>
    <row r="199" spans="1:7">
      <c r="A199" s="2"/>
      <c r="B199" s="2"/>
      <c r="C199" s="2"/>
      <c r="D199" s="2"/>
      <c r="E199" s="26"/>
      <c r="F199" s="26"/>
      <c r="G199" s="2"/>
    </row>
    <row r="200" spans="1:7">
      <c r="A200" s="2"/>
      <c r="B200" s="2"/>
      <c r="C200" s="2"/>
      <c r="D200" s="2"/>
      <c r="E200" s="26"/>
      <c r="F200" s="26"/>
      <c r="G200" s="2"/>
    </row>
    <row r="201" spans="1:7">
      <c r="A201" s="2"/>
      <c r="B201" s="2"/>
      <c r="C201" s="2"/>
      <c r="D201" s="2"/>
      <c r="E201" s="26"/>
      <c r="F201" s="26"/>
      <c r="G201" s="2"/>
    </row>
    <row r="202" spans="1:7">
      <c r="A202" s="2"/>
      <c r="B202" s="2"/>
      <c r="C202" s="2"/>
      <c r="D202" s="2"/>
      <c r="E202" s="26"/>
      <c r="F202" s="26"/>
      <c r="G202" s="2"/>
    </row>
  </sheetData>
  <mergeCells count="17">
    <mergeCell ref="A93:A96"/>
    <mergeCell ref="A88:A92"/>
    <mergeCell ref="A3:A4"/>
    <mergeCell ref="A6:A9"/>
    <mergeCell ref="A57:A63"/>
    <mergeCell ref="A64:A70"/>
    <mergeCell ref="A51:A56"/>
    <mergeCell ref="A42:A50"/>
    <mergeCell ref="A83:A87"/>
    <mergeCell ref="A71:A75"/>
    <mergeCell ref="A76:A82"/>
    <mergeCell ref="B6:B9"/>
    <mergeCell ref="A10:A12"/>
    <mergeCell ref="A13:A16"/>
    <mergeCell ref="A34:A41"/>
    <mergeCell ref="A23:A33"/>
    <mergeCell ref="A17:A22"/>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97" workbookViewId="0">
      <selection activeCell="A177" sqref="A177:A198"/>
    </sheetView>
  </sheetViews>
  <sheetFormatPr defaultColWidth="27.125" defaultRowHeight="15"/>
  <cols>
    <col min="1" max="1" width="12.375" style="344" customWidth="1"/>
    <col min="2" max="2" width="28.25" style="344" bestFit="1" customWidth="1"/>
    <col min="3" max="3" width="36.375" style="344" customWidth="1"/>
    <col min="4" max="4" width="15" style="344" customWidth="1"/>
    <col min="5" max="5" width="65.125" style="344" bestFit="1" customWidth="1"/>
    <col min="6" max="6" width="79.125" style="344" bestFit="1" customWidth="1"/>
    <col min="7" max="7" width="23.375" style="344" customWidth="1"/>
    <col min="8" max="8" width="15.375" style="344" customWidth="1"/>
    <col min="9" max="9" width="9.375" style="344" customWidth="1"/>
    <col min="10" max="10" width="10.625" style="344" customWidth="1"/>
    <col min="11" max="11" width="11.125" style="344" customWidth="1"/>
    <col min="12" max="12" width="15.875" style="344" customWidth="1"/>
    <col min="13" max="13" width="16.875" style="344" customWidth="1"/>
    <col min="14" max="14" width="11.75" style="344" customWidth="1"/>
    <col min="15" max="15" width="20" style="344" customWidth="1"/>
    <col min="16" max="16384" width="27.125" style="344"/>
  </cols>
  <sheetData>
    <row r="1" spans="1:17" ht="24" customHeight="1">
      <c r="A1" s="342" t="s">
        <v>2802</v>
      </c>
      <c r="B1" s="342" t="s">
        <v>2803</v>
      </c>
      <c r="C1" s="342" t="s">
        <v>2804</v>
      </c>
      <c r="D1" s="342" t="s">
        <v>2805</v>
      </c>
      <c r="E1" s="342" t="s">
        <v>2806</v>
      </c>
      <c r="F1" s="342" t="s">
        <v>2807</v>
      </c>
      <c r="G1" s="342" t="s">
        <v>2808</v>
      </c>
      <c r="H1" s="343"/>
      <c r="I1" s="343"/>
      <c r="J1" s="343"/>
      <c r="K1" s="343"/>
      <c r="L1" s="343"/>
      <c r="M1" s="343"/>
      <c r="N1" s="343"/>
      <c r="O1" s="343"/>
      <c r="P1" s="343"/>
      <c r="Q1" s="343"/>
    </row>
    <row r="2" spans="1:17" ht="32.25" customHeight="1">
      <c r="A2" s="345" t="s">
        <v>2809</v>
      </c>
      <c r="B2" s="345" t="s">
        <v>2810</v>
      </c>
      <c r="C2" s="345" t="s">
        <v>2811</v>
      </c>
      <c r="D2" s="345" t="s">
        <v>2812</v>
      </c>
      <c r="E2" s="345" t="s">
        <v>2813</v>
      </c>
      <c r="F2" s="345" t="s">
        <v>2814</v>
      </c>
      <c r="G2" s="346"/>
      <c r="H2" s="347"/>
      <c r="I2" s="347"/>
      <c r="J2" s="347"/>
      <c r="K2" s="347"/>
      <c r="L2" s="347"/>
      <c r="M2" s="347"/>
      <c r="N2" s="347"/>
      <c r="O2" s="347"/>
      <c r="P2" s="347"/>
      <c r="Q2" s="347"/>
    </row>
    <row r="3" spans="1:17" hidden="1">
      <c r="A3" s="546"/>
      <c r="B3" s="347"/>
      <c r="C3" s="347"/>
      <c r="D3" s="348"/>
      <c r="E3" s="349"/>
      <c r="F3" s="349"/>
      <c r="G3" s="350"/>
      <c r="H3" s="347"/>
      <c r="I3" s="347"/>
      <c r="J3" s="347"/>
      <c r="K3" s="347"/>
      <c r="L3" s="347"/>
      <c r="M3" s="347"/>
      <c r="N3" s="347"/>
      <c r="O3" s="347"/>
      <c r="P3" s="347"/>
      <c r="Q3" s="347"/>
    </row>
    <row r="4" spans="1:17" hidden="1">
      <c r="A4" s="546"/>
      <c r="B4" s="347"/>
      <c r="C4" s="347"/>
      <c r="D4" s="347"/>
      <c r="E4" s="343"/>
      <c r="F4" s="343"/>
      <c r="G4" s="347"/>
      <c r="H4" s="347"/>
      <c r="I4" s="347"/>
      <c r="J4" s="347"/>
      <c r="K4" s="347"/>
      <c r="L4" s="347"/>
      <c r="M4" s="347"/>
      <c r="N4" s="347"/>
      <c r="O4" s="347"/>
      <c r="P4" s="347"/>
      <c r="Q4" s="347"/>
    </row>
    <row r="5" spans="1:17" hidden="1">
      <c r="A5" s="546"/>
      <c r="B5" s="347"/>
      <c r="C5" s="347"/>
      <c r="D5" s="348"/>
      <c r="E5" s="343"/>
      <c r="F5" s="343"/>
      <c r="G5" s="347"/>
      <c r="H5" s="347"/>
      <c r="I5" s="347"/>
      <c r="J5" s="347"/>
      <c r="K5" s="347"/>
      <c r="L5" s="347"/>
      <c r="M5" s="347"/>
      <c r="N5" s="347"/>
      <c r="O5" s="347"/>
      <c r="P5" s="347"/>
      <c r="Q5" s="347"/>
    </row>
    <row r="6" spans="1:17" hidden="1">
      <c r="A6" s="546"/>
      <c r="B6" s="347"/>
      <c r="C6" s="347"/>
      <c r="D6" s="348"/>
      <c r="E6" s="349"/>
      <c r="F6" s="349"/>
      <c r="G6" s="347"/>
      <c r="H6" s="347"/>
      <c r="I6" s="347"/>
      <c r="J6" s="347"/>
      <c r="K6" s="347"/>
      <c r="L6" s="347"/>
      <c r="M6" s="347"/>
      <c r="N6" s="347"/>
      <c r="O6" s="347"/>
      <c r="P6" s="347"/>
      <c r="Q6" s="347"/>
    </row>
    <row r="7" spans="1:17" hidden="1">
      <c r="A7" s="546"/>
      <c r="B7" s="347"/>
      <c r="C7" s="347"/>
      <c r="D7" s="348"/>
      <c r="E7" s="349"/>
      <c r="F7" s="349"/>
      <c r="G7" s="347"/>
      <c r="H7" s="347"/>
      <c r="I7" s="347"/>
      <c r="J7" s="347"/>
      <c r="K7" s="347"/>
      <c r="L7" s="347"/>
      <c r="M7" s="347"/>
      <c r="N7" s="347"/>
      <c r="O7" s="347"/>
      <c r="P7" s="347"/>
      <c r="Q7" s="347"/>
    </row>
    <row r="8" spans="1:17" hidden="1">
      <c r="A8" s="546"/>
      <c r="B8" s="546"/>
      <c r="C8" s="347"/>
      <c r="D8" s="348"/>
      <c r="E8" s="349"/>
      <c r="F8" s="349"/>
      <c r="G8" s="553"/>
      <c r="H8" s="347"/>
      <c r="I8" s="347"/>
      <c r="J8" s="347"/>
      <c r="K8" s="347"/>
      <c r="L8" s="347"/>
      <c r="M8" s="347"/>
      <c r="N8" s="347"/>
      <c r="O8" s="347"/>
      <c r="P8" s="347"/>
      <c r="Q8" s="347"/>
    </row>
    <row r="9" spans="1:17" hidden="1">
      <c r="A9" s="546"/>
      <c r="B9" s="546"/>
      <c r="C9" s="347"/>
      <c r="D9" s="348"/>
      <c r="E9" s="349"/>
      <c r="F9" s="349"/>
      <c r="G9" s="553"/>
      <c r="H9" s="347"/>
      <c r="I9" s="347"/>
      <c r="J9" s="347"/>
      <c r="K9" s="347"/>
      <c r="L9" s="347"/>
      <c r="M9" s="347"/>
      <c r="N9" s="347"/>
      <c r="O9" s="347"/>
      <c r="P9" s="347"/>
      <c r="Q9" s="347"/>
    </row>
    <row r="10" spans="1:17" hidden="1">
      <c r="A10" s="546"/>
      <c r="B10" s="546"/>
      <c r="C10" s="347"/>
      <c r="D10" s="348"/>
      <c r="E10" s="349"/>
      <c r="F10" s="349"/>
      <c r="G10" s="553"/>
      <c r="H10" s="347"/>
      <c r="I10" s="347"/>
      <c r="J10" s="347"/>
      <c r="K10" s="347"/>
      <c r="L10" s="347"/>
      <c r="M10" s="347"/>
      <c r="N10" s="347"/>
      <c r="O10" s="347"/>
      <c r="P10" s="347"/>
      <c r="Q10" s="347"/>
    </row>
    <row r="11" spans="1:17" hidden="1">
      <c r="A11" s="546"/>
      <c r="B11" s="546"/>
      <c r="C11" s="347"/>
      <c r="D11" s="348"/>
      <c r="E11" s="349"/>
      <c r="F11" s="349"/>
      <c r="G11" s="553"/>
      <c r="H11" s="347"/>
      <c r="I11" s="347"/>
      <c r="J11" s="347"/>
      <c r="K11" s="347"/>
      <c r="L11" s="347"/>
      <c r="M11" s="347"/>
      <c r="N11" s="347"/>
      <c r="O11" s="347"/>
      <c r="P11" s="347"/>
      <c r="Q11" s="347"/>
    </row>
    <row r="12" spans="1:17" hidden="1">
      <c r="A12" s="546"/>
      <c r="B12" s="546"/>
      <c r="C12" s="347"/>
      <c r="D12" s="348"/>
      <c r="E12" s="349"/>
      <c r="F12" s="349"/>
      <c r="G12" s="553"/>
      <c r="H12" s="347"/>
      <c r="I12" s="347"/>
      <c r="J12" s="347"/>
      <c r="K12" s="347"/>
      <c r="L12" s="347"/>
      <c r="M12" s="347"/>
      <c r="N12" s="347"/>
      <c r="O12" s="347"/>
      <c r="P12" s="347"/>
      <c r="Q12" s="347"/>
    </row>
    <row r="13" spans="1:17" hidden="1">
      <c r="A13" s="546"/>
      <c r="B13" s="546"/>
      <c r="C13" s="347"/>
      <c r="D13" s="348"/>
      <c r="E13" s="349"/>
      <c r="F13" s="349"/>
      <c r="G13" s="553"/>
      <c r="H13" s="347"/>
      <c r="I13" s="347"/>
      <c r="J13" s="347"/>
      <c r="K13" s="347"/>
      <c r="L13" s="347"/>
      <c r="M13" s="347"/>
      <c r="N13" s="347"/>
      <c r="O13" s="347"/>
      <c r="P13" s="347"/>
      <c r="Q13" s="347"/>
    </row>
    <row r="14" spans="1:17" hidden="1">
      <c r="A14" s="546"/>
      <c r="B14" s="546"/>
      <c r="C14" s="347"/>
      <c r="D14" s="348"/>
      <c r="E14" s="349"/>
      <c r="F14" s="349"/>
      <c r="G14" s="553"/>
      <c r="H14" s="347"/>
      <c r="I14" s="347"/>
      <c r="J14" s="347"/>
      <c r="K14" s="347"/>
      <c r="L14" s="347"/>
      <c r="M14" s="347"/>
      <c r="N14" s="347"/>
      <c r="O14" s="347"/>
      <c r="P14" s="347"/>
      <c r="Q14" s="347"/>
    </row>
    <row r="15" spans="1:17" hidden="1">
      <c r="A15" s="546"/>
      <c r="B15" s="546"/>
      <c r="C15" s="347"/>
      <c r="D15" s="348"/>
      <c r="E15" s="349"/>
      <c r="F15" s="349"/>
      <c r="G15" s="553"/>
      <c r="H15" s="347"/>
      <c r="I15" s="347"/>
      <c r="J15" s="347"/>
      <c r="K15" s="347"/>
      <c r="L15" s="347"/>
      <c r="M15" s="347"/>
      <c r="N15" s="347"/>
      <c r="O15" s="347"/>
      <c r="P15" s="347"/>
      <c r="Q15" s="347"/>
    </row>
    <row r="16" spans="1:17" hidden="1">
      <c r="A16" s="546"/>
      <c r="B16" s="347"/>
      <c r="C16" s="347"/>
      <c r="D16" s="347"/>
      <c r="E16" s="343"/>
      <c r="F16" s="343"/>
      <c r="G16" s="347"/>
      <c r="H16" s="347"/>
      <c r="I16" s="347"/>
      <c r="J16" s="347"/>
      <c r="K16" s="347"/>
      <c r="L16" s="347"/>
      <c r="M16" s="347"/>
      <c r="N16" s="347"/>
      <c r="O16" s="347"/>
      <c r="P16" s="347"/>
      <c r="Q16" s="347"/>
    </row>
    <row r="17" spans="1:17" hidden="1">
      <c r="A17" s="546"/>
      <c r="B17" s="347"/>
      <c r="C17" s="347"/>
      <c r="D17" s="347"/>
      <c r="E17" s="343"/>
      <c r="F17" s="343"/>
      <c r="G17" s="347"/>
      <c r="H17" s="347"/>
      <c r="I17" s="347"/>
      <c r="J17" s="347"/>
      <c r="K17" s="347"/>
      <c r="L17" s="347"/>
      <c r="M17" s="347"/>
      <c r="N17" s="347"/>
      <c r="O17" s="347"/>
      <c r="P17" s="347"/>
      <c r="Q17" s="347"/>
    </row>
    <row r="18" spans="1:17" hidden="1">
      <c r="A18" s="546"/>
      <c r="B18" s="347"/>
      <c r="C18" s="347"/>
      <c r="D18" s="347"/>
      <c r="E18" s="343"/>
      <c r="F18" s="343"/>
      <c r="G18" s="347"/>
      <c r="H18" s="347"/>
      <c r="I18" s="347"/>
      <c r="J18" s="347"/>
      <c r="K18" s="347"/>
      <c r="L18" s="347"/>
      <c r="M18" s="347"/>
      <c r="N18" s="347"/>
      <c r="O18" s="347"/>
      <c r="P18" s="347"/>
      <c r="Q18" s="347"/>
    </row>
    <row r="19" spans="1:17" hidden="1">
      <c r="A19" s="546"/>
      <c r="B19" s="347"/>
      <c r="C19" s="347"/>
      <c r="D19" s="347"/>
      <c r="E19" s="349"/>
      <c r="F19" s="349"/>
      <c r="G19" s="347"/>
      <c r="H19" s="347"/>
      <c r="I19" s="347"/>
      <c r="J19" s="347"/>
      <c r="K19" s="347"/>
      <c r="L19" s="347"/>
      <c r="M19" s="347"/>
      <c r="N19" s="347"/>
      <c r="O19" s="347"/>
      <c r="P19" s="347"/>
      <c r="Q19" s="347"/>
    </row>
    <row r="20" spans="1:17" hidden="1">
      <c r="A20" s="546"/>
      <c r="B20" s="347"/>
      <c r="C20" s="347"/>
      <c r="D20" s="347"/>
      <c r="E20" s="343"/>
      <c r="F20" s="343"/>
      <c r="G20" s="347"/>
      <c r="H20" s="347"/>
      <c r="I20" s="347"/>
      <c r="J20" s="347"/>
      <c r="K20" s="347"/>
      <c r="L20" s="347"/>
      <c r="M20" s="347"/>
      <c r="N20" s="347"/>
      <c r="O20" s="347"/>
      <c r="P20" s="347"/>
      <c r="Q20" s="347"/>
    </row>
    <row r="21" spans="1:17" hidden="1">
      <c r="A21" s="555"/>
      <c r="B21" s="347"/>
      <c r="C21" s="347"/>
      <c r="D21" s="347"/>
      <c r="E21" s="343"/>
      <c r="F21" s="343"/>
      <c r="G21" s="347"/>
      <c r="H21" s="347"/>
      <c r="I21" s="347"/>
      <c r="J21" s="347"/>
      <c r="K21" s="347"/>
      <c r="L21" s="347"/>
      <c r="M21" s="347"/>
      <c r="N21" s="347"/>
      <c r="O21" s="347"/>
      <c r="P21" s="347"/>
      <c r="Q21" s="347"/>
    </row>
    <row r="22" spans="1:17" hidden="1">
      <c r="A22" s="546"/>
      <c r="B22" s="347"/>
      <c r="C22" s="347"/>
      <c r="D22" s="347"/>
      <c r="E22" s="343"/>
      <c r="F22" s="343"/>
      <c r="G22" s="554"/>
      <c r="H22" s="347"/>
      <c r="I22" s="347"/>
      <c r="J22" s="347"/>
      <c r="K22" s="347"/>
      <c r="L22" s="347"/>
      <c r="M22" s="347"/>
      <c r="N22" s="347"/>
      <c r="O22" s="347"/>
      <c r="P22" s="347"/>
      <c r="Q22" s="347"/>
    </row>
    <row r="23" spans="1:17" hidden="1">
      <c r="A23" s="546"/>
      <c r="B23" s="347"/>
      <c r="C23" s="347"/>
      <c r="D23" s="347"/>
      <c r="E23" s="343"/>
      <c r="F23" s="343"/>
      <c r="G23" s="554"/>
      <c r="H23" s="347"/>
      <c r="I23" s="347"/>
      <c r="J23" s="347"/>
      <c r="K23" s="347"/>
      <c r="L23" s="347"/>
      <c r="M23" s="347"/>
      <c r="N23" s="347"/>
      <c r="O23" s="347"/>
      <c r="P23" s="347"/>
      <c r="Q23" s="347"/>
    </row>
    <row r="24" spans="1:17" hidden="1">
      <c r="A24" s="546"/>
      <c r="B24" s="347"/>
      <c r="C24" s="347"/>
      <c r="D24" s="347"/>
      <c r="E24" s="343"/>
      <c r="F24" s="343"/>
      <c r="G24" s="347"/>
      <c r="H24" s="347"/>
      <c r="I24" s="347"/>
      <c r="J24" s="347"/>
      <c r="K24" s="347"/>
      <c r="L24" s="347"/>
      <c r="M24" s="347"/>
      <c r="N24" s="347"/>
      <c r="O24" s="347"/>
      <c r="P24" s="347"/>
      <c r="Q24" s="347"/>
    </row>
    <row r="25" spans="1:17" hidden="1">
      <c r="A25" s="546"/>
      <c r="B25" s="347"/>
      <c r="C25" s="347"/>
      <c r="D25" s="347"/>
      <c r="E25" s="343"/>
      <c r="F25" s="343"/>
      <c r="G25" s="347"/>
      <c r="H25" s="347"/>
      <c r="I25" s="347"/>
      <c r="J25" s="347"/>
      <c r="K25" s="347"/>
      <c r="L25" s="347"/>
      <c r="M25" s="347"/>
      <c r="N25" s="347"/>
      <c r="O25" s="347"/>
      <c r="P25" s="347"/>
      <c r="Q25" s="347"/>
    </row>
    <row r="26" spans="1:17" hidden="1">
      <c r="A26" s="546"/>
      <c r="B26" s="347"/>
      <c r="C26" s="347"/>
      <c r="D26" s="347"/>
      <c r="E26" s="343"/>
      <c r="F26" s="343"/>
      <c r="G26" s="347"/>
      <c r="H26" s="347"/>
      <c r="I26" s="347"/>
      <c r="J26" s="347"/>
      <c r="K26" s="347"/>
      <c r="L26" s="347"/>
      <c r="M26" s="347"/>
      <c r="N26" s="347"/>
      <c r="O26" s="347"/>
      <c r="P26" s="347"/>
      <c r="Q26" s="347"/>
    </row>
    <row r="27" spans="1:17" hidden="1">
      <c r="A27" s="546"/>
      <c r="B27" s="546"/>
      <c r="C27" s="347"/>
      <c r="D27" s="347"/>
      <c r="E27" s="343"/>
      <c r="F27" s="343"/>
      <c r="G27" s="343"/>
      <c r="H27" s="347"/>
      <c r="I27" s="347"/>
      <c r="J27" s="347"/>
      <c r="K27" s="347"/>
      <c r="L27" s="347"/>
      <c r="M27" s="347"/>
      <c r="N27" s="347"/>
      <c r="O27" s="347"/>
      <c r="P27" s="347"/>
      <c r="Q27" s="347"/>
    </row>
    <row r="28" spans="1:17" hidden="1">
      <c r="A28" s="546"/>
      <c r="B28" s="546"/>
      <c r="C28" s="347"/>
      <c r="D28" s="347"/>
      <c r="E28" s="343"/>
      <c r="F28" s="343"/>
      <c r="G28" s="347"/>
      <c r="H28" s="347"/>
      <c r="I28" s="347"/>
      <c r="J28" s="347"/>
      <c r="K28" s="347"/>
      <c r="L28" s="347"/>
      <c r="M28" s="347"/>
      <c r="N28" s="347"/>
      <c r="O28" s="347"/>
      <c r="P28" s="347"/>
      <c r="Q28" s="347"/>
    </row>
    <row r="29" spans="1:17" hidden="1">
      <c r="A29" s="546"/>
      <c r="B29" s="546"/>
      <c r="C29" s="347"/>
      <c r="D29" s="347"/>
      <c r="E29" s="343"/>
      <c r="F29" s="343"/>
      <c r="G29" s="347"/>
      <c r="H29" s="347"/>
      <c r="I29" s="347"/>
      <c r="J29" s="347"/>
      <c r="K29" s="347"/>
      <c r="L29" s="347"/>
      <c r="M29" s="347"/>
      <c r="N29" s="347"/>
      <c r="O29" s="347"/>
      <c r="P29" s="347"/>
      <c r="Q29" s="347"/>
    </row>
    <row r="30" spans="1:17" hidden="1">
      <c r="A30" s="546"/>
      <c r="B30" s="546"/>
      <c r="C30" s="347"/>
      <c r="D30" s="347"/>
      <c r="E30" s="343"/>
      <c r="F30" s="343"/>
      <c r="G30" s="347"/>
      <c r="H30" s="347"/>
      <c r="I30" s="347"/>
      <c r="J30" s="347"/>
      <c r="K30" s="347"/>
      <c r="L30" s="347"/>
      <c r="M30" s="347"/>
      <c r="N30" s="347"/>
      <c r="O30" s="347"/>
      <c r="P30" s="347"/>
      <c r="Q30" s="347"/>
    </row>
    <row r="31" spans="1:17" hidden="1">
      <c r="A31" s="546"/>
      <c r="B31" s="546"/>
      <c r="C31" s="347"/>
      <c r="D31" s="347"/>
      <c r="E31" s="343"/>
      <c r="F31" s="343"/>
      <c r="G31" s="347"/>
      <c r="H31" s="347"/>
      <c r="I31" s="347"/>
      <c r="J31" s="347"/>
      <c r="K31" s="347"/>
      <c r="L31" s="347"/>
      <c r="M31" s="347"/>
      <c r="N31" s="347"/>
      <c r="O31" s="347"/>
      <c r="P31" s="347"/>
      <c r="Q31" s="347"/>
    </row>
    <row r="32" spans="1:17" hidden="1">
      <c r="A32" s="546"/>
      <c r="B32" s="546"/>
      <c r="C32" s="347"/>
      <c r="D32" s="347"/>
      <c r="E32" s="343"/>
      <c r="F32" s="343"/>
      <c r="G32" s="347"/>
      <c r="H32" s="347"/>
      <c r="I32" s="347"/>
      <c r="J32" s="347"/>
      <c r="K32" s="347"/>
      <c r="L32" s="347"/>
      <c r="M32" s="347"/>
      <c r="N32" s="347"/>
      <c r="O32" s="347"/>
      <c r="P32" s="347"/>
      <c r="Q32" s="347"/>
    </row>
    <row r="33" spans="1:17" hidden="1">
      <c r="A33" s="546"/>
      <c r="B33" s="546"/>
      <c r="C33" s="347"/>
      <c r="D33" s="347"/>
      <c r="E33" s="343"/>
      <c r="F33" s="343"/>
      <c r="G33" s="347"/>
      <c r="H33" s="347"/>
      <c r="I33" s="347"/>
      <c r="J33" s="347"/>
      <c r="K33" s="347"/>
      <c r="L33" s="347"/>
      <c r="M33" s="347"/>
      <c r="N33" s="347"/>
      <c r="O33" s="347"/>
      <c r="P33" s="347"/>
      <c r="Q33" s="347"/>
    </row>
    <row r="34" spans="1:17" hidden="1">
      <c r="A34" s="546"/>
      <c r="B34" s="554"/>
      <c r="C34" s="347"/>
      <c r="D34" s="347"/>
      <c r="E34" s="343"/>
      <c r="F34" s="343"/>
      <c r="G34" s="347"/>
      <c r="H34" s="347"/>
      <c r="I34" s="347"/>
      <c r="J34" s="347"/>
      <c r="K34" s="347"/>
      <c r="L34" s="347"/>
      <c r="M34" s="347"/>
      <c r="N34" s="347"/>
      <c r="O34" s="347"/>
      <c r="P34" s="347"/>
      <c r="Q34" s="347"/>
    </row>
    <row r="35" spans="1:17" hidden="1">
      <c r="A35" s="546"/>
      <c r="B35" s="554"/>
      <c r="C35" s="347"/>
      <c r="D35" s="347"/>
      <c r="E35" s="343"/>
      <c r="F35" s="343"/>
      <c r="G35" s="556"/>
      <c r="H35" s="347"/>
      <c r="I35" s="347"/>
      <c r="J35" s="347"/>
      <c r="K35" s="347"/>
      <c r="L35" s="347"/>
      <c r="M35" s="347"/>
      <c r="N35" s="347"/>
      <c r="O35" s="347"/>
      <c r="P35" s="347"/>
      <c r="Q35" s="347"/>
    </row>
    <row r="36" spans="1:17" hidden="1">
      <c r="A36" s="546"/>
      <c r="B36" s="554"/>
      <c r="C36" s="347"/>
      <c r="D36" s="347"/>
      <c r="E36" s="343"/>
      <c r="F36" s="343"/>
      <c r="G36" s="556"/>
      <c r="H36" s="347"/>
      <c r="I36" s="347"/>
      <c r="J36" s="347"/>
      <c r="K36" s="347"/>
      <c r="L36" s="347"/>
      <c r="M36" s="347"/>
      <c r="N36" s="347"/>
      <c r="O36" s="347"/>
      <c r="P36" s="347"/>
      <c r="Q36" s="347"/>
    </row>
    <row r="37" spans="1:17">
      <c r="A37" s="554" t="s">
        <v>3007</v>
      </c>
      <c r="B37" s="546" t="s">
        <v>22</v>
      </c>
      <c r="C37" s="351" t="s">
        <v>3008</v>
      </c>
      <c r="D37" s="352" t="s">
        <v>3009</v>
      </c>
      <c r="E37" s="351" t="s">
        <v>3010</v>
      </c>
      <c r="F37" s="351" t="s">
        <v>3011</v>
      </c>
      <c r="G37" s="347"/>
      <c r="H37" s="347"/>
      <c r="I37" s="347"/>
      <c r="J37" s="347"/>
      <c r="K37" s="347"/>
      <c r="L37" s="347"/>
      <c r="M37" s="347"/>
      <c r="N37" s="347"/>
      <c r="O37" s="347"/>
      <c r="P37" s="347"/>
      <c r="Q37" s="347"/>
    </row>
    <row r="38" spans="1:17">
      <c r="A38" s="554"/>
      <c r="B38" s="546"/>
      <c r="C38" s="351" t="s">
        <v>3012</v>
      </c>
      <c r="D38" s="352" t="s">
        <v>3009</v>
      </c>
      <c r="E38" s="351" t="s">
        <v>3013</v>
      </c>
      <c r="F38" s="351" t="s">
        <v>3014</v>
      </c>
      <c r="G38" s="347"/>
      <c r="H38" s="347"/>
      <c r="I38" s="347"/>
      <c r="J38" s="347"/>
      <c r="K38" s="347"/>
      <c r="L38" s="347"/>
      <c r="M38" s="347"/>
      <c r="N38" s="347"/>
      <c r="O38" s="347"/>
      <c r="P38" s="347"/>
      <c r="Q38" s="347"/>
    </row>
    <row r="39" spans="1:17">
      <c r="A39" s="554"/>
      <c r="B39" s="546"/>
      <c r="C39" s="351" t="s">
        <v>3015</v>
      </c>
      <c r="D39" s="352" t="s">
        <v>3009</v>
      </c>
      <c r="E39" s="351" t="s">
        <v>3013</v>
      </c>
      <c r="F39" s="351" t="s">
        <v>3014</v>
      </c>
      <c r="G39" s="347"/>
      <c r="H39" s="347"/>
      <c r="I39" s="347"/>
      <c r="J39" s="347"/>
      <c r="K39" s="347"/>
      <c r="L39" s="347"/>
      <c r="M39" s="347"/>
      <c r="N39" s="347"/>
      <c r="O39" s="347"/>
      <c r="P39" s="347"/>
      <c r="Q39" s="347"/>
    </row>
    <row r="40" spans="1:17">
      <c r="A40" s="554"/>
      <c r="B40" s="546"/>
      <c r="C40" s="351" t="s">
        <v>2088</v>
      </c>
      <c r="D40" s="352" t="s">
        <v>3009</v>
      </c>
      <c r="E40" s="351" t="s">
        <v>3016</v>
      </c>
      <c r="F40" s="351" t="s">
        <v>3014</v>
      </c>
      <c r="G40" s="347"/>
      <c r="H40" s="347"/>
      <c r="I40" s="347"/>
      <c r="J40" s="347"/>
      <c r="K40" s="347"/>
      <c r="L40" s="347"/>
      <c r="M40" s="347"/>
      <c r="N40" s="347"/>
      <c r="O40" s="347"/>
      <c r="P40" s="347"/>
      <c r="Q40" s="347"/>
    </row>
    <row r="41" spans="1:17">
      <c r="A41" s="554"/>
      <c r="B41" s="546"/>
      <c r="C41" s="351" t="s">
        <v>1227</v>
      </c>
      <c r="D41" s="352" t="s">
        <v>3009</v>
      </c>
      <c r="E41" s="351" t="s">
        <v>3017</v>
      </c>
      <c r="F41" s="351" t="s">
        <v>3014</v>
      </c>
      <c r="G41" s="347"/>
      <c r="H41" s="347"/>
      <c r="I41" s="347"/>
      <c r="J41" s="347"/>
      <c r="K41" s="347"/>
      <c r="L41" s="347"/>
      <c r="M41" s="347"/>
      <c r="N41" s="347"/>
      <c r="O41" s="347"/>
      <c r="P41" s="347"/>
      <c r="Q41" s="347"/>
    </row>
    <row r="42" spans="1:17">
      <c r="A42" s="554"/>
      <c r="B42" s="546"/>
      <c r="C42" s="351" t="s">
        <v>2095</v>
      </c>
      <c r="D42" s="352" t="s">
        <v>3009</v>
      </c>
      <c r="E42" s="351" t="s">
        <v>3018</v>
      </c>
      <c r="F42" s="351" t="s">
        <v>3019</v>
      </c>
      <c r="G42" s="347"/>
      <c r="H42" s="347"/>
      <c r="I42" s="347"/>
      <c r="J42" s="347"/>
      <c r="K42" s="347"/>
      <c r="L42" s="347"/>
      <c r="M42" s="347"/>
      <c r="N42" s="347"/>
      <c r="O42" s="347"/>
      <c r="P42" s="347"/>
      <c r="Q42" s="347"/>
    </row>
    <row r="43" spans="1:17">
      <c r="A43" s="554"/>
      <c r="B43" s="546"/>
      <c r="C43" s="351" t="s">
        <v>3020</v>
      </c>
      <c r="D43" s="352" t="s">
        <v>3009</v>
      </c>
      <c r="E43" s="351" t="s">
        <v>3021</v>
      </c>
      <c r="F43" s="351" t="s">
        <v>3022</v>
      </c>
      <c r="G43" s="347"/>
      <c r="H43" s="347"/>
      <c r="I43" s="347"/>
      <c r="J43" s="347"/>
      <c r="K43" s="347"/>
      <c r="L43" s="347"/>
      <c r="M43" s="347"/>
      <c r="N43" s="347"/>
      <c r="O43" s="347"/>
      <c r="P43" s="347"/>
      <c r="Q43" s="347"/>
    </row>
    <row r="44" spans="1:17" ht="49.5" customHeight="1">
      <c r="A44" s="554"/>
      <c r="B44" s="546"/>
      <c r="C44" s="353" t="s">
        <v>3023</v>
      </c>
      <c r="D44" s="352" t="s">
        <v>3009</v>
      </c>
      <c r="E44" s="354" t="s">
        <v>3024</v>
      </c>
      <c r="F44" s="354" t="s">
        <v>3025</v>
      </c>
      <c r="G44" s="347"/>
      <c r="H44" s="347"/>
      <c r="I44" s="347"/>
      <c r="J44" s="347"/>
      <c r="K44" s="347"/>
      <c r="L44" s="347"/>
      <c r="M44" s="347"/>
      <c r="N44" s="347"/>
      <c r="O44" s="347"/>
      <c r="P44" s="347"/>
      <c r="Q44" s="347"/>
    </row>
    <row r="45" spans="1:17">
      <c r="A45" s="554"/>
      <c r="B45" s="546"/>
      <c r="C45" s="351" t="s">
        <v>2119</v>
      </c>
      <c r="D45" s="352" t="s">
        <v>3009</v>
      </c>
      <c r="E45" s="351" t="s">
        <v>3026</v>
      </c>
      <c r="F45" s="351" t="s">
        <v>3027</v>
      </c>
      <c r="G45" s="347"/>
      <c r="H45" s="347"/>
      <c r="I45" s="347"/>
      <c r="J45" s="347"/>
      <c r="K45" s="347"/>
      <c r="L45" s="347"/>
      <c r="M45" s="347"/>
      <c r="N45" s="347"/>
      <c r="O45" s="347"/>
      <c r="P45" s="347"/>
      <c r="Q45" s="347"/>
    </row>
    <row r="46" spans="1:17">
      <c r="A46" s="554"/>
      <c r="B46" s="546"/>
      <c r="C46" s="351" t="s">
        <v>3028</v>
      </c>
      <c r="D46" s="352" t="s">
        <v>3009</v>
      </c>
      <c r="E46" s="355" t="s">
        <v>3029</v>
      </c>
      <c r="F46" s="351" t="s">
        <v>3030</v>
      </c>
      <c r="G46" s="347"/>
      <c r="H46" s="347"/>
      <c r="I46" s="347"/>
      <c r="J46" s="347"/>
      <c r="K46" s="347"/>
      <c r="L46" s="347"/>
      <c r="M46" s="347"/>
      <c r="N46" s="347"/>
      <c r="O46" s="347"/>
      <c r="P46" s="347"/>
      <c r="Q46" s="347"/>
    </row>
    <row r="47" spans="1:17">
      <c r="A47" s="554"/>
      <c r="B47" s="546"/>
      <c r="C47" s="353" t="s">
        <v>2126</v>
      </c>
      <c r="D47" s="352" t="s">
        <v>3009</v>
      </c>
      <c r="E47" s="355" t="s">
        <v>3031</v>
      </c>
      <c r="F47" s="351" t="s">
        <v>3032</v>
      </c>
      <c r="G47" s="347"/>
      <c r="H47" s="347"/>
      <c r="I47" s="347"/>
      <c r="J47" s="347"/>
      <c r="K47" s="347"/>
      <c r="L47" s="347"/>
      <c r="M47" s="347"/>
      <c r="N47" s="347"/>
      <c r="O47" s="347"/>
      <c r="P47" s="347"/>
      <c r="Q47" s="347"/>
    </row>
    <row r="48" spans="1:17">
      <c r="A48" s="554"/>
      <c r="B48" s="546"/>
      <c r="C48" s="351" t="s">
        <v>2132</v>
      </c>
      <c r="D48" s="352" t="s">
        <v>3009</v>
      </c>
      <c r="E48" s="356" t="s">
        <v>3033</v>
      </c>
      <c r="F48" s="351" t="s">
        <v>26</v>
      </c>
      <c r="G48" s="347"/>
      <c r="H48" s="347"/>
      <c r="I48" s="347"/>
      <c r="J48" s="347"/>
      <c r="K48" s="347"/>
      <c r="L48" s="347"/>
      <c r="M48" s="347"/>
      <c r="N48" s="347"/>
      <c r="O48" s="347"/>
      <c r="P48" s="347"/>
      <c r="Q48" s="347"/>
    </row>
    <row r="49" spans="1:17">
      <c r="A49" s="554"/>
      <c r="B49" s="546"/>
      <c r="C49" s="351" t="s">
        <v>3034</v>
      </c>
      <c r="D49" s="352" t="s">
        <v>3009</v>
      </c>
      <c r="E49" s="351" t="s">
        <v>3035</v>
      </c>
      <c r="F49" s="351"/>
      <c r="G49" s="347"/>
      <c r="H49" s="347"/>
      <c r="I49" s="347"/>
      <c r="J49" s="347"/>
      <c r="K49" s="347"/>
      <c r="L49" s="347"/>
      <c r="M49" s="347"/>
      <c r="N49" s="347"/>
      <c r="O49" s="347"/>
      <c r="P49" s="347"/>
      <c r="Q49" s="347"/>
    </row>
    <row r="50" spans="1:17">
      <c r="A50" s="554"/>
      <c r="B50" s="546"/>
      <c r="C50" s="351" t="s">
        <v>3036</v>
      </c>
      <c r="D50" s="352" t="s">
        <v>3009</v>
      </c>
      <c r="E50" s="351" t="s">
        <v>3037</v>
      </c>
      <c r="F50" s="351" t="s">
        <v>3038</v>
      </c>
      <c r="G50" s="347"/>
      <c r="H50" s="347"/>
      <c r="I50" s="347"/>
      <c r="J50" s="347"/>
      <c r="K50" s="347"/>
      <c r="L50" s="347"/>
      <c r="M50" s="347"/>
      <c r="N50" s="347"/>
      <c r="O50" s="347"/>
      <c r="P50" s="347"/>
      <c r="Q50" s="347"/>
    </row>
    <row r="51" spans="1:17">
      <c r="A51" s="554"/>
      <c r="B51" s="546"/>
      <c r="C51" s="357" t="s">
        <v>2149</v>
      </c>
      <c r="D51" s="352" t="s">
        <v>3009</v>
      </c>
      <c r="E51" s="351" t="s">
        <v>3039</v>
      </c>
      <c r="F51" s="351"/>
      <c r="G51" s="347"/>
      <c r="H51" s="347"/>
      <c r="I51" s="347"/>
      <c r="J51" s="347"/>
      <c r="K51" s="347"/>
      <c r="L51" s="347"/>
      <c r="M51" s="347"/>
      <c r="N51" s="347"/>
      <c r="O51" s="347"/>
      <c r="P51" s="347"/>
      <c r="Q51" s="347"/>
    </row>
    <row r="52" spans="1:17">
      <c r="A52" s="554"/>
      <c r="B52" s="546"/>
      <c r="C52" s="357" t="s">
        <v>1119</v>
      </c>
      <c r="D52" s="352" t="s">
        <v>3009</v>
      </c>
      <c r="E52" s="351" t="s">
        <v>3040</v>
      </c>
      <c r="F52" s="351" t="s">
        <v>3041</v>
      </c>
      <c r="G52" s="347"/>
      <c r="H52" s="347"/>
      <c r="I52" s="347"/>
      <c r="J52" s="347"/>
      <c r="K52" s="347"/>
      <c r="L52" s="347"/>
      <c r="M52" s="347"/>
      <c r="N52" s="347"/>
      <c r="O52" s="347"/>
      <c r="P52" s="347"/>
      <c r="Q52" s="347"/>
    </row>
    <row r="53" spans="1:17">
      <c r="A53" s="554"/>
      <c r="B53" s="546"/>
      <c r="C53" s="357" t="s">
        <v>3042</v>
      </c>
      <c r="D53" s="352" t="s">
        <v>3009</v>
      </c>
      <c r="E53" s="351" t="s">
        <v>3043</v>
      </c>
      <c r="F53" s="351" t="s">
        <v>3044</v>
      </c>
      <c r="G53" s="347"/>
      <c r="H53" s="347"/>
      <c r="I53" s="347"/>
      <c r="J53" s="347"/>
      <c r="K53" s="347"/>
      <c r="L53" s="347"/>
      <c r="M53" s="347"/>
      <c r="N53" s="347"/>
      <c r="O53" s="347"/>
      <c r="P53" s="347"/>
      <c r="Q53" s="347"/>
    </row>
    <row r="54" spans="1:17">
      <c r="A54" s="554"/>
      <c r="B54" s="546"/>
      <c r="C54" s="351" t="s">
        <v>3045</v>
      </c>
      <c r="D54" s="352" t="s">
        <v>3009</v>
      </c>
      <c r="E54" s="351" t="s">
        <v>3046</v>
      </c>
      <c r="F54" s="351"/>
      <c r="G54" s="347"/>
      <c r="H54" s="347"/>
      <c r="I54" s="347"/>
      <c r="J54" s="347"/>
      <c r="K54" s="347"/>
      <c r="L54" s="347"/>
      <c r="M54" s="347"/>
      <c r="N54" s="347"/>
      <c r="O54" s="347"/>
      <c r="P54" s="347"/>
      <c r="Q54" s="347"/>
    </row>
    <row r="55" spans="1:17">
      <c r="A55" s="554"/>
      <c r="B55" s="546"/>
      <c r="C55" s="358" t="s">
        <v>2163</v>
      </c>
      <c r="D55" s="352" t="s">
        <v>3009</v>
      </c>
      <c r="E55" s="351" t="s">
        <v>1097</v>
      </c>
      <c r="F55" s="351" t="s">
        <v>3019</v>
      </c>
      <c r="G55" s="347"/>
      <c r="H55" s="347"/>
      <c r="I55" s="347"/>
      <c r="J55" s="347"/>
      <c r="K55" s="347"/>
      <c r="L55" s="347"/>
      <c r="M55" s="347"/>
      <c r="N55" s="347"/>
      <c r="O55" s="347"/>
      <c r="P55" s="347"/>
      <c r="Q55" s="347"/>
    </row>
    <row r="56" spans="1:17">
      <c r="A56" s="554"/>
      <c r="B56" s="546"/>
      <c r="C56" s="358" t="s">
        <v>2167</v>
      </c>
      <c r="D56" s="352" t="s">
        <v>3009</v>
      </c>
      <c r="E56" s="351" t="s">
        <v>1139</v>
      </c>
      <c r="F56" s="351" t="s">
        <v>3019</v>
      </c>
      <c r="G56" s="347"/>
      <c r="H56" s="347"/>
      <c r="I56" s="347"/>
      <c r="J56" s="347"/>
      <c r="K56" s="347"/>
      <c r="L56" s="347"/>
      <c r="M56" s="347"/>
      <c r="N56" s="347"/>
      <c r="O56" s="347"/>
      <c r="P56" s="347"/>
      <c r="Q56" s="347"/>
    </row>
    <row r="57" spans="1:17">
      <c r="A57" s="554"/>
      <c r="B57" s="546"/>
      <c r="C57" s="358" t="s">
        <v>2172</v>
      </c>
      <c r="D57" s="352" t="s">
        <v>3009</v>
      </c>
      <c r="E57" s="351" t="s">
        <v>1097</v>
      </c>
      <c r="F57" s="351" t="s">
        <v>3014</v>
      </c>
      <c r="G57" s="347"/>
      <c r="H57" s="347"/>
      <c r="I57" s="347"/>
      <c r="J57" s="347"/>
      <c r="K57" s="347"/>
      <c r="L57" s="347"/>
      <c r="M57" s="347"/>
      <c r="N57" s="347"/>
      <c r="O57" s="347"/>
      <c r="P57" s="347"/>
      <c r="Q57" s="347"/>
    </row>
    <row r="58" spans="1:17">
      <c r="A58" s="554"/>
      <c r="B58" s="546"/>
      <c r="C58" s="358" t="s">
        <v>2176</v>
      </c>
      <c r="D58" s="352" t="s">
        <v>3009</v>
      </c>
      <c r="E58" s="351" t="s">
        <v>3047</v>
      </c>
      <c r="F58" s="351" t="s">
        <v>3048</v>
      </c>
      <c r="G58" s="347"/>
      <c r="H58" s="347"/>
      <c r="I58" s="347"/>
      <c r="J58" s="347"/>
      <c r="K58" s="347"/>
      <c r="L58" s="347"/>
      <c r="M58" s="347"/>
      <c r="N58" s="347"/>
      <c r="O58" s="347"/>
      <c r="P58" s="347"/>
      <c r="Q58" s="347"/>
    </row>
    <row r="59" spans="1:17">
      <c r="A59" s="554"/>
      <c r="B59" s="546"/>
      <c r="C59" s="358" t="s">
        <v>1208</v>
      </c>
      <c r="D59" s="352" t="s">
        <v>3009</v>
      </c>
      <c r="E59" s="351" t="s">
        <v>1213</v>
      </c>
      <c r="F59" s="351" t="s">
        <v>3049</v>
      </c>
      <c r="G59" s="347"/>
      <c r="H59" s="347"/>
      <c r="I59" s="347"/>
      <c r="J59" s="347"/>
      <c r="K59" s="347"/>
      <c r="L59" s="347"/>
      <c r="M59" s="347"/>
      <c r="N59" s="347"/>
      <c r="O59" s="347"/>
      <c r="P59" s="347"/>
      <c r="Q59" s="347"/>
    </row>
    <row r="60" spans="1:17">
      <c r="A60" s="554"/>
      <c r="B60" s="546"/>
      <c r="C60" s="353" t="s">
        <v>2181</v>
      </c>
      <c r="D60" s="352" t="s">
        <v>3009</v>
      </c>
      <c r="E60" s="355" t="s">
        <v>3050</v>
      </c>
      <c r="F60" s="351" t="s">
        <v>3051</v>
      </c>
      <c r="G60" s="347"/>
      <c r="H60" s="347"/>
      <c r="I60" s="347"/>
      <c r="J60" s="347"/>
      <c r="K60" s="347"/>
      <c r="L60" s="347"/>
      <c r="M60" s="347"/>
      <c r="N60" s="347"/>
      <c r="O60" s="347"/>
      <c r="P60" s="347"/>
      <c r="Q60" s="347"/>
    </row>
    <row r="61" spans="1:17">
      <c r="A61" s="554"/>
      <c r="B61" s="546"/>
      <c r="C61" s="351" t="s">
        <v>3052</v>
      </c>
      <c r="D61" s="352" t="s">
        <v>3009</v>
      </c>
      <c r="E61" s="351" t="s">
        <v>3053</v>
      </c>
      <c r="F61" s="351"/>
      <c r="G61" s="347"/>
      <c r="H61" s="347"/>
      <c r="I61" s="347"/>
      <c r="J61" s="347"/>
      <c r="K61" s="347"/>
      <c r="L61" s="347"/>
      <c r="M61" s="347"/>
      <c r="N61" s="347"/>
      <c r="O61" s="347"/>
      <c r="P61" s="347"/>
      <c r="Q61" s="347"/>
    </row>
    <row r="62" spans="1:17">
      <c r="A62" s="554"/>
      <c r="B62" s="546"/>
      <c r="C62" s="353" t="s">
        <v>3054</v>
      </c>
      <c r="D62" s="352" t="s">
        <v>3009</v>
      </c>
      <c r="E62" s="355" t="s">
        <v>3055</v>
      </c>
      <c r="F62" s="351" t="s">
        <v>3056</v>
      </c>
      <c r="G62" s="347"/>
      <c r="H62" s="347"/>
      <c r="I62" s="347"/>
      <c r="J62" s="347"/>
      <c r="K62" s="347"/>
      <c r="L62" s="347"/>
      <c r="M62" s="347"/>
      <c r="N62" s="347"/>
      <c r="O62" s="347"/>
      <c r="P62" s="347"/>
      <c r="Q62" s="347"/>
    </row>
    <row r="63" spans="1:17" ht="214.5" customHeight="1">
      <c r="A63" s="554"/>
      <c r="B63" s="546"/>
      <c r="C63" s="357" t="s">
        <v>2192</v>
      </c>
      <c r="D63" s="352" t="s">
        <v>3009</v>
      </c>
      <c r="E63" s="354" t="s">
        <v>3057</v>
      </c>
      <c r="F63" s="351" t="s">
        <v>3058</v>
      </c>
      <c r="G63" s="347"/>
      <c r="H63" s="347"/>
      <c r="I63" s="347"/>
      <c r="J63" s="347"/>
      <c r="K63" s="347"/>
      <c r="L63" s="347"/>
      <c r="M63" s="347"/>
      <c r="N63" s="347"/>
      <c r="O63" s="347"/>
      <c r="P63" s="347"/>
      <c r="Q63" s="347"/>
    </row>
    <row r="64" spans="1:17" ht="62.25" customHeight="1">
      <c r="A64" s="554"/>
      <c r="B64" s="546"/>
      <c r="C64" s="359" t="s">
        <v>2625</v>
      </c>
      <c r="D64" s="352" t="s">
        <v>3009</v>
      </c>
      <c r="E64" s="360" t="s">
        <v>3059</v>
      </c>
      <c r="F64" s="351" t="s">
        <v>3060</v>
      </c>
      <c r="G64" s="347"/>
      <c r="H64" s="347"/>
      <c r="I64" s="347"/>
      <c r="J64" s="347"/>
      <c r="K64" s="347"/>
      <c r="L64" s="347"/>
      <c r="M64" s="347"/>
      <c r="N64" s="347"/>
      <c r="O64" s="347"/>
      <c r="P64" s="347"/>
      <c r="Q64" s="347"/>
    </row>
    <row r="65" spans="1:17">
      <c r="A65" s="554"/>
      <c r="B65" s="546"/>
      <c r="C65" s="358" t="s">
        <v>2201</v>
      </c>
      <c r="D65" s="352" t="s">
        <v>3009</v>
      </c>
      <c r="E65" s="351" t="s">
        <v>2204</v>
      </c>
      <c r="F65" s="351" t="s">
        <v>3061</v>
      </c>
      <c r="G65" s="347"/>
      <c r="H65" s="347"/>
      <c r="I65" s="347"/>
      <c r="J65" s="347"/>
      <c r="K65" s="347"/>
      <c r="L65" s="347"/>
      <c r="M65" s="347"/>
      <c r="N65" s="347"/>
      <c r="O65" s="347"/>
      <c r="P65" s="347"/>
      <c r="Q65" s="347"/>
    </row>
    <row r="66" spans="1:17">
      <c r="A66" s="554"/>
      <c r="B66" s="546"/>
      <c r="C66" s="361" t="s">
        <v>2205</v>
      </c>
      <c r="D66" s="352" t="s">
        <v>3009</v>
      </c>
      <c r="E66" s="351" t="s">
        <v>2200</v>
      </c>
      <c r="F66" s="351" t="s">
        <v>3049</v>
      </c>
      <c r="G66" s="347"/>
      <c r="H66" s="347"/>
      <c r="I66" s="347"/>
      <c r="J66" s="347"/>
      <c r="K66" s="347"/>
      <c r="L66" s="347"/>
      <c r="M66" s="347"/>
      <c r="N66" s="347"/>
      <c r="O66" s="347"/>
      <c r="P66" s="347"/>
      <c r="Q66" s="347"/>
    </row>
    <row r="67" spans="1:17">
      <c r="A67" s="554"/>
      <c r="B67" s="546"/>
      <c r="C67" s="358" t="s">
        <v>2209</v>
      </c>
      <c r="D67" s="352" t="s">
        <v>3009</v>
      </c>
      <c r="E67" s="351" t="s">
        <v>2200</v>
      </c>
      <c r="F67" s="351" t="s">
        <v>3062</v>
      </c>
      <c r="G67" s="347"/>
      <c r="H67" s="347"/>
      <c r="I67" s="347"/>
      <c r="J67" s="347"/>
      <c r="K67" s="347"/>
      <c r="L67" s="347"/>
      <c r="M67" s="347"/>
      <c r="N67" s="347"/>
      <c r="O67" s="347"/>
      <c r="P67" s="347"/>
      <c r="Q67" s="347"/>
    </row>
    <row r="68" spans="1:17">
      <c r="A68" s="554"/>
      <c r="B68" s="546"/>
      <c r="C68" s="358" t="s">
        <v>2213</v>
      </c>
      <c r="D68" s="352" t="s">
        <v>3009</v>
      </c>
      <c r="E68" s="351" t="s">
        <v>2204</v>
      </c>
      <c r="F68" s="351" t="s">
        <v>3014</v>
      </c>
      <c r="G68" s="347"/>
      <c r="H68" s="347"/>
      <c r="I68" s="347"/>
      <c r="J68" s="347"/>
      <c r="K68" s="347"/>
      <c r="L68" s="347"/>
      <c r="M68" s="347"/>
      <c r="N68" s="347"/>
      <c r="O68" s="347"/>
      <c r="P68" s="347"/>
      <c r="Q68" s="347"/>
    </row>
    <row r="69" spans="1:17">
      <c r="A69" s="554"/>
      <c r="B69" s="546"/>
      <c r="C69" s="361" t="s">
        <v>3063</v>
      </c>
      <c r="D69" s="352" t="s">
        <v>3009</v>
      </c>
      <c r="E69" s="351" t="s">
        <v>3064</v>
      </c>
      <c r="F69" s="351" t="s">
        <v>3065</v>
      </c>
      <c r="G69" s="347"/>
      <c r="H69" s="347"/>
      <c r="I69" s="347"/>
      <c r="J69" s="347"/>
      <c r="K69" s="347"/>
      <c r="L69" s="347"/>
      <c r="M69" s="347"/>
      <c r="N69" s="347"/>
      <c r="O69" s="347"/>
      <c r="P69" s="347"/>
      <c r="Q69" s="347"/>
    </row>
    <row r="70" spans="1:17" ht="37.5">
      <c r="A70" s="554"/>
      <c r="B70" s="546"/>
      <c r="C70" s="361" t="s">
        <v>467</v>
      </c>
      <c r="D70" s="352" t="s">
        <v>3066</v>
      </c>
      <c r="E70" s="354" t="s">
        <v>3067</v>
      </c>
      <c r="F70" s="351" t="s">
        <v>3068</v>
      </c>
      <c r="G70" s="347"/>
      <c r="H70" s="347"/>
      <c r="I70" s="347"/>
      <c r="J70" s="347"/>
      <c r="K70" s="347"/>
      <c r="L70" s="347"/>
      <c r="M70" s="347"/>
      <c r="N70" s="347"/>
      <c r="O70" s="347"/>
      <c r="P70" s="347"/>
      <c r="Q70" s="347"/>
    </row>
    <row r="71" spans="1:17">
      <c r="A71" s="554"/>
      <c r="B71" s="546"/>
      <c r="C71" s="362" t="s">
        <v>1050</v>
      </c>
      <c r="D71" s="352" t="s">
        <v>3009</v>
      </c>
      <c r="E71" s="351" t="s">
        <v>1063</v>
      </c>
      <c r="F71" s="351" t="s">
        <v>2101</v>
      </c>
      <c r="G71" s="347"/>
      <c r="H71" s="347"/>
      <c r="I71" s="347"/>
      <c r="J71" s="347"/>
      <c r="K71" s="347"/>
      <c r="L71" s="347"/>
      <c r="M71" s="347"/>
      <c r="N71" s="347"/>
      <c r="O71" s="347"/>
      <c r="P71" s="347"/>
      <c r="Q71" s="347"/>
    </row>
    <row r="72" spans="1:17" ht="24.75">
      <c r="A72" s="554"/>
      <c r="B72" s="546"/>
      <c r="C72" s="361" t="s">
        <v>1006</v>
      </c>
      <c r="D72" s="352" t="s">
        <v>3009</v>
      </c>
      <c r="E72" s="354" t="s">
        <v>3069</v>
      </c>
      <c r="F72" s="351" t="s">
        <v>3070</v>
      </c>
      <c r="G72" s="347"/>
      <c r="H72" s="347"/>
      <c r="I72" s="347"/>
      <c r="J72" s="347"/>
      <c r="K72" s="347"/>
      <c r="L72" s="347"/>
      <c r="M72" s="347"/>
      <c r="N72" s="347"/>
      <c r="O72" s="347"/>
      <c r="P72" s="347"/>
      <c r="Q72" s="347"/>
    </row>
    <row r="73" spans="1:17" ht="73.5" customHeight="1">
      <c r="A73" s="554"/>
      <c r="B73" s="546"/>
      <c r="C73" s="361" t="s">
        <v>2217</v>
      </c>
      <c r="D73" s="352" t="s">
        <v>3009</v>
      </c>
      <c r="E73" s="360" t="s">
        <v>3071</v>
      </c>
      <c r="F73" s="351" t="s">
        <v>3060</v>
      </c>
      <c r="G73" s="347"/>
      <c r="H73" s="347"/>
      <c r="I73" s="347"/>
      <c r="J73" s="347"/>
      <c r="K73" s="347"/>
      <c r="L73" s="347"/>
      <c r="M73" s="347"/>
      <c r="N73" s="347"/>
      <c r="O73" s="347"/>
      <c r="P73" s="347"/>
      <c r="Q73" s="347"/>
    </row>
    <row r="74" spans="1:17">
      <c r="A74" s="554"/>
      <c r="B74" s="546"/>
      <c r="C74" s="363" t="s">
        <v>3072</v>
      </c>
      <c r="D74" s="352" t="s">
        <v>3009</v>
      </c>
      <c r="E74" s="364" t="s">
        <v>2229</v>
      </c>
      <c r="F74" s="364" t="s">
        <v>26</v>
      </c>
      <c r="G74" s="347"/>
      <c r="H74" s="347"/>
      <c r="I74" s="347"/>
      <c r="J74" s="347"/>
      <c r="K74" s="347"/>
      <c r="L74" s="347"/>
      <c r="M74" s="347"/>
      <c r="N74" s="347"/>
      <c r="O74" s="347"/>
      <c r="P74" s="347"/>
      <c r="Q74" s="347"/>
    </row>
    <row r="75" spans="1:17">
      <c r="A75" s="554"/>
      <c r="B75" s="546"/>
      <c r="C75" s="365" t="s">
        <v>1214</v>
      </c>
      <c r="D75" s="352" t="s">
        <v>3009</v>
      </c>
      <c r="E75" s="364" t="s">
        <v>3073</v>
      </c>
      <c r="F75" s="351" t="s">
        <v>3019</v>
      </c>
      <c r="G75" s="347"/>
      <c r="H75" s="347"/>
      <c r="I75" s="347"/>
      <c r="J75" s="347"/>
      <c r="K75" s="347"/>
      <c r="L75" s="347"/>
      <c r="M75" s="347"/>
      <c r="N75" s="347"/>
      <c r="O75" s="347"/>
      <c r="P75" s="347"/>
      <c r="Q75" s="347"/>
    </row>
    <row r="76" spans="1:17">
      <c r="A76" s="554"/>
      <c r="B76" s="546"/>
      <c r="C76" s="365" t="s">
        <v>1202</v>
      </c>
      <c r="D76" s="352" t="s">
        <v>3009</v>
      </c>
      <c r="E76" s="364" t="s">
        <v>1207</v>
      </c>
      <c r="F76" s="364" t="s">
        <v>28</v>
      </c>
      <c r="G76" s="347"/>
      <c r="H76" s="347"/>
      <c r="I76" s="347"/>
      <c r="J76" s="347"/>
      <c r="K76" s="347"/>
      <c r="L76" s="347"/>
      <c r="M76" s="347"/>
      <c r="N76" s="347"/>
      <c r="O76" s="347"/>
      <c r="P76" s="347"/>
      <c r="Q76" s="347"/>
    </row>
    <row r="77" spans="1:17">
      <c r="A77" s="554"/>
      <c r="B77" s="546"/>
      <c r="C77" s="365" t="s">
        <v>2231</v>
      </c>
      <c r="D77" s="352" t="s">
        <v>3009</v>
      </c>
      <c r="E77" s="364" t="s">
        <v>1207</v>
      </c>
      <c r="F77" s="364" t="s">
        <v>2230</v>
      </c>
      <c r="G77" s="347"/>
      <c r="H77" s="347"/>
      <c r="I77" s="347"/>
      <c r="J77" s="347"/>
      <c r="K77" s="347"/>
      <c r="L77" s="347"/>
      <c r="M77" s="347"/>
      <c r="N77" s="347"/>
      <c r="O77" s="347"/>
      <c r="P77" s="347"/>
      <c r="Q77" s="347"/>
    </row>
    <row r="78" spans="1:17">
      <c r="A78" s="554"/>
      <c r="B78" s="546"/>
      <c r="C78" s="366" t="s">
        <v>3074</v>
      </c>
      <c r="D78" s="352" t="s">
        <v>3009</v>
      </c>
      <c r="E78" s="364" t="s">
        <v>2229</v>
      </c>
      <c r="F78" s="364" t="s">
        <v>28</v>
      </c>
      <c r="G78" s="347"/>
      <c r="H78" s="347"/>
      <c r="I78" s="347"/>
      <c r="J78" s="347"/>
      <c r="K78" s="347"/>
      <c r="L78" s="347"/>
      <c r="M78" s="347"/>
      <c r="N78" s="347"/>
      <c r="O78" s="347"/>
      <c r="P78" s="347"/>
      <c r="Q78" s="347"/>
    </row>
    <row r="79" spans="1:17">
      <c r="A79" s="554"/>
      <c r="B79" s="546"/>
      <c r="C79" s="367" t="s">
        <v>3075</v>
      </c>
      <c r="D79" s="352" t="s">
        <v>3009</v>
      </c>
      <c r="E79" s="364" t="s">
        <v>3076</v>
      </c>
      <c r="F79" s="351" t="s">
        <v>3077</v>
      </c>
      <c r="G79" s="347"/>
      <c r="H79" s="347"/>
      <c r="I79" s="347"/>
      <c r="J79" s="347"/>
      <c r="K79" s="347"/>
      <c r="L79" s="347"/>
      <c r="M79" s="347"/>
      <c r="N79" s="347"/>
      <c r="O79" s="347"/>
      <c r="P79" s="347"/>
      <c r="Q79" s="347"/>
    </row>
    <row r="80" spans="1:17">
      <c r="A80" s="554"/>
      <c r="B80" s="546"/>
      <c r="C80" s="364" t="s">
        <v>3078</v>
      </c>
      <c r="D80" s="352" t="s">
        <v>3009</v>
      </c>
      <c r="E80" s="364" t="s">
        <v>3079</v>
      </c>
      <c r="F80" s="351" t="s">
        <v>3077</v>
      </c>
      <c r="G80" s="347"/>
      <c r="H80" s="347"/>
      <c r="I80" s="347"/>
      <c r="J80" s="347"/>
      <c r="K80" s="347"/>
      <c r="L80" s="347"/>
      <c r="M80" s="347"/>
      <c r="N80" s="347"/>
      <c r="O80" s="347"/>
      <c r="P80" s="347"/>
      <c r="Q80" s="347"/>
    </row>
    <row r="81" spans="1:17">
      <c r="A81" s="554"/>
      <c r="B81" s="546"/>
      <c r="C81" s="364" t="s">
        <v>3080</v>
      </c>
      <c r="D81" s="352" t="s">
        <v>3009</v>
      </c>
      <c r="E81" s="364" t="s">
        <v>3079</v>
      </c>
      <c r="F81" s="351" t="s">
        <v>3077</v>
      </c>
      <c r="G81" s="347"/>
      <c r="H81" s="347"/>
      <c r="I81" s="347"/>
      <c r="J81" s="347"/>
      <c r="K81" s="347"/>
      <c r="L81" s="347"/>
      <c r="M81" s="347"/>
      <c r="N81" s="347"/>
      <c r="O81" s="347"/>
      <c r="P81" s="347"/>
      <c r="Q81" s="347"/>
    </row>
    <row r="82" spans="1:17">
      <c r="A82" s="554"/>
      <c r="B82" s="546"/>
      <c r="C82" s="364" t="s">
        <v>3081</v>
      </c>
      <c r="D82" s="352" t="s">
        <v>3009</v>
      </c>
      <c r="E82" s="364" t="s">
        <v>3079</v>
      </c>
      <c r="F82" s="351" t="s">
        <v>3077</v>
      </c>
      <c r="G82" s="347"/>
      <c r="H82" s="347"/>
      <c r="I82" s="347"/>
      <c r="J82" s="347"/>
      <c r="K82" s="347"/>
      <c r="L82" s="347"/>
      <c r="M82" s="347"/>
      <c r="N82" s="347"/>
      <c r="O82" s="347"/>
      <c r="P82" s="347"/>
      <c r="Q82" s="347"/>
    </row>
    <row r="83" spans="1:17">
      <c r="A83" s="554"/>
      <c r="B83" s="546"/>
      <c r="C83" s="368" t="s">
        <v>3082</v>
      </c>
      <c r="D83" s="352" t="s">
        <v>3009</v>
      </c>
      <c r="E83" s="364" t="s">
        <v>3083</v>
      </c>
      <c r="F83" s="351" t="s">
        <v>3077</v>
      </c>
    </row>
    <row r="84" spans="1:17">
      <c r="A84" s="554"/>
      <c r="B84" s="546"/>
      <c r="C84" s="364" t="s">
        <v>3084</v>
      </c>
      <c r="D84" s="352" t="s">
        <v>3009</v>
      </c>
      <c r="E84" s="364" t="s">
        <v>3083</v>
      </c>
      <c r="F84" s="351" t="s">
        <v>3077</v>
      </c>
    </row>
    <row r="85" spans="1:17">
      <c r="A85" s="554"/>
      <c r="B85" s="546"/>
      <c r="C85" s="364" t="s">
        <v>3085</v>
      </c>
      <c r="D85" s="352" t="s">
        <v>3009</v>
      </c>
      <c r="E85" s="364" t="s">
        <v>3086</v>
      </c>
      <c r="F85" s="351" t="s">
        <v>3077</v>
      </c>
    </row>
    <row r="86" spans="1:17">
      <c r="A86" s="554"/>
      <c r="B86" s="546"/>
      <c r="C86" s="364" t="s">
        <v>3087</v>
      </c>
      <c r="D86" s="352" t="s">
        <v>3009</v>
      </c>
      <c r="E86" s="364" t="s">
        <v>3086</v>
      </c>
      <c r="F86" s="351" t="s">
        <v>3077</v>
      </c>
    </row>
    <row r="87" spans="1:17">
      <c r="A87" s="554"/>
      <c r="B87" s="546"/>
      <c r="C87" s="351" t="s">
        <v>3088</v>
      </c>
      <c r="D87" s="352" t="s">
        <v>3009</v>
      </c>
      <c r="E87" s="364" t="s">
        <v>3083</v>
      </c>
      <c r="F87" s="351" t="s">
        <v>3077</v>
      </c>
    </row>
    <row r="88" spans="1:17">
      <c r="A88" s="554"/>
      <c r="B88" s="546"/>
      <c r="C88" s="351" t="s">
        <v>3089</v>
      </c>
      <c r="D88" s="352" t="s">
        <v>3009</v>
      </c>
      <c r="E88" s="364" t="s">
        <v>3090</v>
      </c>
      <c r="F88" s="351" t="s">
        <v>3077</v>
      </c>
    </row>
    <row r="89" spans="1:17">
      <c r="A89" s="554"/>
      <c r="B89" s="546"/>
      <c r="C89" s="351" t="s">
        <v>3091</v>
      </c>
      <c r="D89" s="352" t="s">
        <v>3009</v>
      </c>
      <c r="E89" s="364" t="s">
        <v>3090</v>
      </c>
      <c r="F89" s="351" t="s">
        <v>3077</v>
      </c>
    </row>
    <row r="90" spans="1:17">
      <c r="A90" s="554"/>
      <c r="B90" s="546"/>
      <c r="C90" s="351" t="s">
        <v>3092</v>
      </c>
      <c r="D90" s="352" t="s">
        <v>3009</v>
      </c>
      <c r="E90" s="364" t="s">
        <v>3090</v>
      </c>
      <c r="F90" s="351" t="s">
        <v>3077</v>
      </c>
    </row>
    <row r="91" spans="1:17">
      <c r="A91" s="554"/>
      <c r="B91" s="546"/>
      <c r="C91" s="351" t="s">
        <v>3093</v>
      </c>
      <c r="D91" s="352" t="s">
        <v>3009</v>
      </c>
      <c r="E91" s="364" t="s">
        <v>3090</v>
      </c>
      <c r="F91" s="351" t="s">
        <v>3077</v>
      </c>
    </row>
    <row r="92" spans="1:17" ht="72.75" customHeight="1">
      <c r="A92" s="554"/>
      <c r="B92" s="546"/>
      <c r="C92" s="353" t="s">
        <v>3094</v>
      </c>
      <c r="D92" s="352" t="s">
        <v>3009</v>
      </c>
      <c r="E92" s="369" t="s">
        <v>3095</v>
      </c>
      <c r="F92" s="351" t="s">
        <v>3096</v>
      </c>
    </row>
    <row r="93" spans="1:17">
      <c r="A93" s="554"/>
      <c r="B93" s="546"/>
      <c r="C93" s="368" t="s">
        <v>3097</v>
      </c>
      <c r="D93" s="352" t="s">
        <v>3009</v>
      </c>
      <c r="E93" s="364" t="s">
        <v>3090</v>
      </c>
      <c r="F93" s="351" t="s">
        <v>3077</v>
      </c>
    </row>
    <row r="94" spans="1:17">
      <c r="A94" s="343"/>
      <c r="B94" s="347"/>
      <c r="C94" s="368"/>
      <c r="D94" s="352"/>
      <c r="E94" s="364"/>
      <c r="F94" s="351"/>
    </row>
    <row r="95" spans="1:17" ht="206.25" customHeight="1">
      <c r="A95" s="547" t="s">
        <v>3098</v>
      </c>
      <c r="B95" s="558" t="s">
        <v>3099</v>
      </c>
      <c r="C95" s="370" t="s">
        <v>3100</v>
      </c>
      <c r="D95" s="371"/>
      <c r="E95" s="372" t="s">
        <v>3101</v>
      </c>
      <c r="F95" s="373" t="s">
        <v>3102</v>
      </c>
    </row>
    <row r="96" spans="1:17">
      <c r="A96" s="548"/>
      <c r="B96" s="559"/>
      <c r="C96" s="374" t="s">
        <v>1790</v>
      </c>
      <c r="D96" s="374"/>
      <c r="E96" s="374" t="s">
        <v>3103</v>
      </c>
    </row>
    <row r="97" spans="1:6" ht="50.25">
      <c r="A97" s="548"/>
      <c r="B97" s="559"/>
      <c r="C97" s="374" t="s">
        <v>3104</v>
      </c>
      <c r="D97" s="374"/>
      <c r="E97" s="360" t="s">
        <v>3105</v>
      </c>
      <c r="F97" s="374" t="s">
        <v>3106</v>
      </c>
    </row>
    <row r="98" spans="1:6" ht="63.75" customHeight="1">
      <c r="A98" s="548"/>
      <c r="B98" s="559"/>
      <c r="C98" s="375" t="s">
        <v>3107</v>
      </c>
      <c r="D98" s="374"/>
      <c r="E98" s="360" t="s">
        <v>3108</v>
      </c>
      <c r="F98" s="351" t="s">
        <v>3109</v>
      </c>
    </row>
    <row r="99" spans="1:6" ht="24.75">
      <c r="A99" s="548"/>
      <c r="B99" s="559"/>
      <c r="C99" s="375" t="s">
        <v>1790</v>
      </c>
      <c r="D99" s="352" t="s">
        <v>3009</v>
      </c>
      <c r="E99" s="368" t="s">
        <v>3110</v>
      </c>
    </row>
    <row r="100" spans="1:6">
      <c r="A100" s="548"/>
      <c r="B100" s="559"/>
      <c r="C100" s="353" t="s">
        <v>2181</v>
      </c>
      <c r="D100" s="352" t="s">
        <v>3009</v>
      </c>
      <c r="E100" s="355" t="s">
        <v>3111</v>
      </c>
      <c r="F100" s="351" t="s">
        <v>3056</v>
      </c>
    </row>
    <row r="101" spans="1:6">
      <c r="A101" s="548"/>
      <c r="B101" s="559"/>
      <c r="C101" s="351" t="s">
        <v>3112</v>
      </c>
      <c r="D101" s="352" t="s">
        <v>3009</v>
      </c>
      <c r="E101" s="351" t="s">
        <v>3113</v>
      </c>
      <c r="F101" s="351" t="s">
        <v>26</v>
      </c>
    </row>
    <row r="102" spans="1:6" ht="24.75">
      <c r="A102" s="548"/>
      <c r="B102" s="559"/>
      <c r="C102" s="376" t="s">
        <v>3085</v>
      </c>
      <c r="D102" s="352" t="s">
        <v>3009</v>
      </c>
      <c r="E102" s="360" t="s">
        <v>3114</v>
      </c>
      <c r="F102" s="351" t="s">
        <v>3115</v>
      </c>
    </row>
    <row r="103" spans="1:6" ht="50.25">
      <c r="A103" s="548"/>
      <c r="B103" s="559"/>
      <c r="C103" s="375" t="s">
        <v>3116</v>
      </c>
      <c r="D103" s="352" t="s">
        <v>3009</v>
      </c>
      <c r="E103" s="360" t="s">
        <v>3117</v>
      </c>
      <c r="F103" s="351" t="s">
        <v>3118</v>
      </c>
    </row>
    <row r="104" spans="1:6" ht="61.5" customHeight="1">
      <c r="A104" s="548"/>
      <c r="B104" s="559"/>
      <c r="C104" s="375" t="s">
        <v>3119</v>
      </c>
      <c r="D104" s="352" t="s">
        <v>3009</v>
      </c>
      <c r="E104" s="360" t="s">
        <v>3120</v>
      </c>
      <c r="F104" s="351" t="s">
        <v>3118</v>
      </c>
    </row>
    <row r="105" spans="1:6" ht="212.25" customHeight="1">
      <c r="A105" s="548"/>
      <c r="B105" s="559"/>
      <c r="C105" s="377" t="s">
        <v>3121</v>
      </c>
      <c r="D105" s="352" t="s">
        <v>3009</v>
      </c>
      <c r="E105" s="378" t="s">
        <v>3122</v>
      </c>
    </row>
    <row r="106" spans="1:6" ht="37.5">
      <c r="A106" s="548"/>
      <c r="B106" s="559"/>
      <c r="C106" s="379" t="s">
        <v>3123</v>
      </c>
      <c r="D106" s="352" t="s">
        <v>3009</v>
      </c>
      <c r="E106" s="380" t="s">
        <v>3124</v>
      </c>
      <c r="F106" s="351" t="s">
        <v>3118</v>
      </c>
    </row>
    <row r="107" spans="1:6">
      <c r="A107" s="548"/>
      <c r="B107" s="559"/>
      <c r="C107" s="381" t="s">
        <v>3125</v>
      </c>
      <c r="D107" s="352" t="s">
        <v>3009</v>
      </c>
      <c r="E107" s="364" t="s">
        <v>3083</v>
      </c>
      <c r="F107" s="351" t="s">
        <v>3118</v>
      </c>
    </row>
    <row r="108" spans="1:6" ht="100.5">
      <c r="A108" s="548"/>
      <c r="B108" s="559"/>
      <c r="C108" s="375" t="s">
        <v>2617</v>
      </c>
      <c r="D108" s="352" t="s">
        <v>3009</v>
      </c>
      <c r="E108" s="360" t="s">
        <v>3126</v>
      </c>
      <c r="F108" s="351" t="s">
        <v>3118</v>
      </c>
    </row>
    <row r="109" spans="1:6" ht="37.5">
      <c r="A109" s="548"/>
      <c r="B109" s="559"/>
      <c r="C109" s="374" t="s">
        <v>1119</v>
      </c>
      <c r="D109" s="352" t="s">
        <v>3009</v>
      </c>
      <c r="E109" s="360" t="s">
        <v>3127</v>
      </c>
      <c r="F109" s="351" t="s">
        <v>3128</v>
      </c>
    </row>
    <row r="110" spans="1:6" ht="108.75" customHeight="1">
      <c r="A110" s="547" t="s">
        <v>3129</v>
      </c>
      <c r="B110" s="547" t="s">
        <v>3099</v>
      </c>
      <c r="C110" s="370" t="s">
        <v>3130</v>
      </c>
      <c r="D110" s="382" t="s">
        <v>3009</v>
      </c>
      <c r="E110" s="386" t="s">
        <v>3131</v>
      </c>
      <c r="F110" s="373" t="s">
        <v>3132</v>
      </c>
    </row>
    <row r="111" spans="1:6">
      <c r="A111" s="548"/>
      <c r="B111" s="548"/>
      <c r="C111" s="374" t="s">
        <v>3133</v>
      </c>
      <c r="D111" s="352" t="s">
        <v>3009</v>
      </c>
      <c r="E111" s="364" t="s">
        <v>3134</v>
      </c>
      <c r="F111" s="351" t="s">
        <v>3135</v>
      </c>
    </row>
    <row r="112" spans="1:6" ht="135.75" customHeight="1">
      <c r="A112" s="548"/>
      <c r="B112" s="548"/>
      <c r="C112" s="375" t="s">
        <v>3136</v>
      </c>
      <c r="D112" s="352" t="s">
        <v>3009</v>
      </c>
      <c r="E112" s="383" t="s">
        <v>3137</v>
      </c>
      <c r="F112" s="355" t="s">
        <v>3138</v>
      </c>
    </row>
    <row r="113" spans="1:6">
      <c r="A113" s="548"/>
      <c r="B113" s="548"/>
      <c r="C113" s="374" t="s">
        <v>3139</v>
      </c>
      <c r="D113" s="352" t="s">
        <v>3009</v>
      </c>
      <c r="E113" s="364" t="s">
        <v>3134</v>
      </c>
      <c r="F113" s="351" t="s">
        <v>3135</v>
      </c>
    </row>
    <row r="114" spans="1:6">
      <c r="A114" s="548"/>
      <c r="B114" s="548"/>
      <c r="C114" s="374" t="s">
        <v>3140</v>
      </c>
      <c r="D114" s="352" t="s">
        <v>3009</v>
      </c>
      <c r="E114" s="364" t="s">
        <v>3134</v>
      </c>
      <c r="F114" s="351"/>
    </row>
    <row r="115" spans="1:6">
      <c r="A115" s="548"/>
      <c r="B115" s="548"/>
      <c r="C115" s="374" t="s">
        <v>3141</v>
      </c>
      <c r="D115" s="352" t="s">
        <v>3009</v>
      </c>
      <c r="E115" s="364" t="s">
        <v>3134</v>
      </c>
      <c r="F115" s="351"/>
    </row>
    <row r="116" spans="1:6">
      <c r="A116" s="548"/>
      <c r="B116" s="548"/>
      <c r="C116" s="374" t="s">
        <v>3142</v>
      </c>
      <c r="D116" s="352" t="s">
        <v>3009</v>
      </c>
      <c r="E116" s="364" t="s">
        <v>3134</v>
      </c>
      <c r="F116" s="351"/>
    </row>
    <row r="117" spans="1:6">
      <c r="A117" s="548"/>
      <c r="B117" s="548"/>
      <c r="C117" s="374" t="s">
        <v>3143</v>
      </c>
      <c r="D117" s="352" t="s">
        <v>3009</v>
      </c>
      <c r="E117" s="364" t="s">
        <v>3134</v>
      </c>
      <c r="F117" s="351"/>
    </row>
    <row r="118" spans="1:6">
      <c r="A118" s="548"/>
      <c r="B118" s="548"/>
      <c r="C118" s="374" t="s">
        <v>3144</v>
      </c>
      <c r="D118" s="352" t="s">
        <v>3009</v>
      </c>
      <c r="E118" s="364" t="s">
        <v>3134</v>
      </c>
    </row>
    <row r="119" spans="1:6">
      <c r="A119" s="548"/>
      <c r="B119" s="548"/>
      <c r="C119" s="374" t="s">
        <v>3145</v>
      </c>
      <c r="D119" s="352" t="s">
        <v>3009</v>
      </c>
      <c r="E119" s="364" t="s">
        <v>3146</v>
      </c>
    </row>
    <row r="120" spans="1:6">
      <c r="A120" s="548"/>
      <c r="B120" s="548"/>
      <c r="C120" s="384" t="s">
        <v>3147</v>
      </c>
      <c r="D120" s="352" t="s">
        <v>3009</v>
      </c>
      <c r="E120" s="364" t="s">
        <v>3146</v>
      </c>
    </row>
    <row r="121" spans="1:6">
      <c r="A121" s="548"/>
      <c r="B121" s="548"/>
      <c r="C121" s="374" t="s">
        <v>3148</v>
      </c>
      <c r="D121" s="352" t="s">
        <v>3009</v>
      </c>
      <c r="E121" s="364" t="s">
        <v>3146</v>
      </c>
    </row>
    <row r="122" spans="1:6">
      <c r="A122" s="548"/>
      <c r="B122" s="548"/>
      <c r="C122" s="374" t="s">
        <v>3149</v>
      </c>
      <c r="D122" s="352" t="s">
        <v>3009</v>
      </c>
      <c r="E122" s="364" t="s">
        <v>3146</v>
      </c>
    </row>
    <row r="123" spans="1:6">
      <c r="A123" s="548"/>
      <c r="B123" s="548" t="s">
        <v>3099</v>
      </c>
      <c r="C123" s="351" t="s">
        <v>3015</v>
      </c>
      <c r="D123" s="352" t="s">
        <v>3009</v>
      </c>
      <c r="E123" s="351" t="s">
        <v>3150</v>
      </c>
      <c r="F123" s="351" t="s">
        <v>3014</v>
      </c>
    </row>
    <row r="124" spans="1:6">
      <c r="A124" s="548"/>
      <c r="B124" s="548"/>
      <c r="C124" s="351" t="s">
        <v>1227</v>
      </c>
      <c r="D124" s="352" t="s">
        <v>3009</v>
      </c>
      <c r="E124" s="351" t="s">
        <v>3150</v>
      </c>
      <c r="F124" s="351" t="s">
        <v>3014</v>
      </c>
    </row>
    <row r="125" spans="1:6">
      <c r="A125" s="548"/>
      <c r="B125" s="548"/>
      <c r="C125" s="351" t="s">
        <v>3008</v>
      </c>
      <c r="D125" s="352" t="s">
        <v>3009</v>
      </c>
      <c r="E125" s="351" t="s">
        <v>3151</v>
      </c>
      <c r="F125" s="351" t="s">
        <v>3011</v>
      </c>
    </row>
    <row r="126" spans="1:6" ht="74.25" customHeight="1">
      <c r="A126" s="548"/>
      <c r="B126" s="548"/>
      <c r="C126" s="374" t="s">
        <v>3152</v>
      </c>
      <c r="D126" s="352" t="s">
        <v>3009</v>
      </c>
      <c r="E126" s="360" t="s">
        <v>3153</v>
      </c>
      <c r="F126" s="374" t="s">
        <v>3154</v>
      </c>
    </row>
    <row r="127" spans="1:6" ht="75.75">
      <c r="A127" s="548"/>
      <c r="B127" s="548"/>
      <c r="C127" s="374" t="s">
        <v>3155</v>
      </c>
      <c r="D127" s="352" t="s">
        <v>3009</v>
      </c>
      <c r="E127" s="369" t="s">
        <v>3156</v>
      </c>
      <c r="F127" s="374" t="s">
        <v>3157</v>
      </c>
    </row>
    <row r="128" spans="1:6" ht="168" customHeight="1">
      <c r="A128" s="548"/>
      <c r="B128" s="548"/>
      <c r="C128" s="351" t="s">
        <v>3020</v>
      </c>
      <c r="D128" s="352" t="s">
        <v>3009</v>
      </c>
      <c r="E128" s="360" t="s">
        <v>3158</v>
      </c>
      <c r="F128" s="351" t="s">
        <v>3159</v>
      </c>
    </row>
    <row r="129" spans="1:6" ht="231" customHeight="1">
      <c r="A129" s="548"/>
      <c r="B129" s="548"/>
      <c r="C129" s="374" t="s">
        <v>2610</v>
      </c>
      <c r="D129" s="352" t="s">
        <v>3009</v>
      </c>
      <c r="E129" s="360" t="s">
        <v>3160</v>
      </c>
      <c r="F129" s="374"/>
    </row>
    <row r="130" spans="1:6">
      <c r="A130" s="548"/>
      <c r="B130" s="548"/>
      <c r="C130" s="381" t="s">
        <v>3161</v>
      </c>
      <c r="D130" s="352" t="s">
        <v>3009</v>
      </c>
      <c r="E130" s="355" t="s">
        <v>3162</v>
      </c>
      <c r="F130" s="374" t="s">
        <v>3163</v>
      </c>
    </row>
    <row r="131" spans="1:6">
      <c r="A131" s="548"/>
      <c r="B131" s="548"/>
      <c r="C131" s="374" t="s">
        <v>3164</v>
      </c>
      <c r="D131" s="352" t="s">
        <v>3009</v>
      </c>
      <c r="E131" s="355" t="s">
        <v>3162</v>
      </c>
      <c r="F131" s="374"/>
    </row>
    <row r="132" spans="1:6">
      <c r="A132" s="548"/>
      <c r="B132" s="548"/>
      <c r="C132" s="374" t="s">
        <v>3165</v>
      </c>
      <c r="D132" s="352" t="s">
        <v>3009</v>
      </c>
      <c r="E132" s="355" t="s">
        <v>3162</v>
      </c>
      <c r="F132" s="374"/>
    </row>
    <row r="133" spans="1:6">
      <c r="A133" s="548"/>
      <c r="B133" s="548"/>
      <c r="C133" s="374" t="s">
        <v>3166</v>
      </c>
      <c r="D133" s="352" t="s">
        <v>3009</v>
      </c>
      <c r="E133" s="355" t="s">
        <v>3162</v>
      </c>
      <c r="F133" s="374"/>
    </row>
    <row r="134" spans="1:6">
      <c r="A134" s="548"/>
      <c r="B134" s="548"/>
      <c r="C134" s="374" t="s">
        <v>3167</v>
      </c>
      <c r="D134" s="352" t="s">
        <v>3009</v>
      </c>
      <c r="E134" s="355" t="s">
        <v>3168</v>
      </c>
    </row>
    <row r="135" spans="1:6" ht="75" customHeight="1">
      <c r="A135" s="548"/>
      <c r="B135" s="548"/>
      <c r="C135" s="374" t="s">
        <v>3169</v>
      </c>
      <c r="D135" s="352" t="s">
        <v>3009</v>
      </c>
      <c r="E135" s="385" t="s">
        <v>3170</v>
      </c>
      <c r="F135" s="374" t="s">
        <v>3171</v>
      </c>
    </row>
    <row r="136" spans="1:6">
      <c r="A136" s="557">
        <v>37810</v>
      </c>
      <c r="B136" s="547" t="s">
        <v>3099</v>
      </c>
      <c r="C136" s="387" t="s">
        <v>3169</v>
      </c>
      <c r="D136" s="382" t="s">
        <v>3009</v>
      </c>
      <c r="E136" s="387" t="s">
        <v>3172</v>
      </c>
      <c r="F136" s="371"/>
    </row>
    <row r="137" spans="1:6">
      <c r="A137" s="548"/>
      <c r="B137" s="548"/>
      <c r="C137" s="374" t="s">
        <v>3173</v>
      </c>
      <c r="D137" s="352" t="s">
        <v>3009</v>
      </c>
      <c r="E137" s="364" t="s">
        <v>3174</v>
      </c>
    </row>
    <row r="138" spans="1:6" ht="62.25">
      <c r="A138" s="548"/>
      <c r="B138" s="548"/>
      <c r="C138" s="359" t="s">
        <v>2625</v>
      </c>
      <c r="D138" s="352" t="s">
        <v>3009</v>
      </c>
      <c r="E138" s="360" t="s">
        <v>3175</v>
      </c>
      <c r="F138" s="351" t="s">
        <v>3060</v>
      </c>
    </row>
    <row r="139" spans="1:6" ht="88.5">
      <c r="A139" s="548"/>
      <c r="B139" s="548"/>
      <c r="C139" s="361" t="s">
        <v>2217</v>
      </c>
      <c r="D139" s="352" t="s">
        <v>3009</v>
      </c>
      <c r="E139" s="360" t="s">
        <v>3176</v>
      </c>
      <c r="F139" s="351" t="s">
        <v>3060</v>
      </c>
    </row>
    <row r="140" spans="1:6">
      <c r="A140" s="548"/>
      <c r="B140" s="548"/>
      <c r="C140" s="374" t="s">
        <v>3177</v>
      </c>
      <c r="D140" s="352" t="s">
        <v>3009</v>
      </c>
      <c r="E140" s="355" t="s">
        <v>3178</v>
      </c>
    </row>
    <row r="141" spans="1:6" ht="50.25">
      <c r="A141" s="548"/>
      <c r="B141" s="548"/>
      <c r="C141" s="375" t="s">
        <v>3116</v>
      </c>
      <c r="D141" s="352" t="s">
        <v>3009</v>
      </c>
      <c r="E141" s="360" t="s">
        <v>3179</v>
      </c>
      <c r="F141" s="351" t="s">
        <v>3118</v>
      </c>
    </row>
    <row r="142" spans="1:6" ht="208.5" customHeight="1">
      <c r="A142" s="548"/>
      <c r="B142" s="548"/>
      <c r="C142" s="377" t="s">
        <v>3121</v>
      </c>
      <c r="D142" s="352" t="s">
        <v>3009</v>
      </c>
      <c r="E142" s="378" t="s">
        <v>3180</v>
      </c>
    </row>
    <row r="143" spans="1:6" ht="36.75" customHeight="1">
      <c r="A143" s="548"/>
      <c r="B143" s="548"/>
      <c r="C143" s="379" t="s">
        <v>3123</v>
      </c>
      <c r="D143" s="352" t="s">
        <v>3009</v>
      </c>
      <c r="E143" s="378" t="s">
        <v>3181</v>
      </c>
      <c r="F143" s="351"/>
    </row>
    <row r="144" spans="1:6" ht="98.25" customHeight="1">
      <c r="A144" s="548"/>
      <c r="B144" s="548"/>
      <c r="C144" s="375" t="s">
        <v>3182</v>
      </c>
      <c r="D144" s="352" t="s">
        <v>3009</v>
      </c>
      <c r="E144" s="360" t="s">
        <v>3183</v>
      </c>
      <c r="F144" s="351" t="s">
        <v>3184</v>
      </c>
    </row>
    <row r="145" spans="1:6">
      <c r="A145" s="548"/>
      <c r="B145" s="548"/>
      <c r="C145" s="364" t="s">
        <v>2088</v>
      </c>
      <c r="D145" s="352" t="s">
        <v>3009</v>
      </c>
      <c r="E145" s="351" t="s">
        <v>3185</v>
      </c>
      <c r="F145" s="351" t="s">
        <v>3186</v>
      </c>
    </row>
    <row r="146" spans="1:6">
      <c r="A146" s="548"/>
      <c r="B146" s="548"/>
      <c r="C146" s="365" t="s">
        <v>1208</v>
      </c>
      <c r="D146" s="352" t="s">
        <v>3009</v>
      </c>
      <c r="E146" s="351" t="s">
        <v>3187</v>
      </c>
      <c r="F146" s="351" t="s">
        <v>3186</v>
      </c>
    </row>
    <row r="147" spans="1:6">
      <c r="A147" s="548"/>
      <c r="B147" s="548"/>
      <c r="C147" s="365" t="s">
        <v>1202</v>
      </c>
      <c r="D147" s="352" t="s">
        <v>3009</v>
      </c>
      <c r="E147" s="364" t="s">
        <v>3188</v>
      </c>
      <c r="F147" s="351" t="s">
        <v>3186</v>
      </c>
    </row>
    <row r="148" spans="1:6">
      <c r="A148" s="548"/>
      <c r="B148" s="548"/>
      <c r="C148" s="364" t="s">
        <v>3015</v>
      </c>
      <c r="D148" s="352" t="s">
        <v>3009</v>
      </c>
      <c r="E148" s="351" t="s">
        <v>3189</v>
      </c>
      <c r="F148" s="351" t="s">
        <v>3186</v>
      </c>
    </row>
    <row r="149" spans="1:6">
      <c r="A149" s="548"/>
      <c r="B149" s="548"/>
      <c r="C149" s="365" t="s">
        <v>3190</v>
      </c>
      <c r="D149" s="352" t="s">
        <v>3009</v>
      </c>
      <c r="E149" s="351" t="s">
        <v>3191</v>
      </c>
      <c r="F149" s="351" t="s">
        <v>3186</v>
      </c>
    </row>
    <row r="150" spans="1:6">
      <c r="A150" s="548"/>
      <c r="B150" s="548"/>
      <c r="C150" s="374" t="s">
        <v>3192</v>
      </c>
      <c r="D150" s="352" t="s">
        <v>3009</v>
      </c>
      <c r="E150" s="351" t="s">
        <v>3191</v>
      </c>
      <c r="F150" s="351" t="s">
        <v>3186</v>
      </c>
    </row>
    <row r="151" spans="1:6">
      <c r="A151" s="548"/>
      <c r="B151" s="548"/>
      <c r="C151" s="374" t="s">
        <v>3193</v>
      </c>
      <c r="D151" s="352" t="s">
        <v>3009</v>
      </c>
      <c r="E151" s="351" t="s">
        <v>3191</v>
      </c>
      <c r="F151" s="351" t="s">
        <v>3186</v>
      </c>
    </row>
    <row r="152" spans="1:6">
      <c r="A152" s="548"/>
      <c r="B152" s="548"/>
      <c r="C152" s="374" t="s">
        <v>3194</v>
      </c>
      <c r="D152" s="352" t="s">
        <v>3009</v>
      </c>
      <c r="E152" s="351" t="s">
        <v>3191</v>
      </c>
      <c r="F152" s="351" t="s">
        <v>3186</v>
      </c>
    </row>
    <row r="153" spans="1:6">
      <c r="A153" s="548"/>
      <c r="B153" s="548"/>
      <c r="C153" s="384" t="s">
        <v>3147</v>
      </c>
      <c r="D153" s="352" t="s">
        <v>3009</v>
      </c>
      <c r="E153" s="364" t="s">
        <v>3195</v>
      </c>
      <c r="F153" s="351" t="s">
        <v>3186</v>
      </c>
    </row>
    <row r="154" spans="1:6" ht="50.25">
      <c r="A154" s="548"/>
      <c r="B154" s="548"/>
      <c r="C154" s="375" t="s">
        <v>3116</v>
      </c>
      <c r="D154" s="352" t="s">
        <v>3009</v>
      </c>
      <c r="E154" s="360" t="s">
        <v>3196</v>
      </c>
      <c r="F154" s="351"/>
    </row>
    <row r="155" spans="1:6" ht="213.75">
      <c r="A155" s="548"/>
      <c r="B155" s="548"/>
      <c r="C155" s="375" t="s">
        <v>3136</v>
      </c>
      <c r="D155" s="352" t="s">
        <v>3009</v>
      </c>
      <c r="E155" s="383" t="s">
        <v>3197</v>
      </c>
    </row>
    <row r="156" spans="1:6">
      <c r="A156" s="548"/>
      <c r="B156" s="548"/>
      <c r="C156" s="365" t="s">
        <v>3198</v>
      </c>
      <c r="D156" s="352" t="s">
        <v>3009</v>
      </c>
      <c r="E156" s="351" t="s">
        <v>3191</v>
      </c>
      <c r="F156" s="351" t="s">
        <v>3186</v>
      </c>
    </row>
    <row r="157" spans="1:6">
      <c r="A157" s="548"/>
      <c r="B157" s="548"/>
      <c r="C157" s="374" t="s">
        <v>3199</v>
      </c>
      <c r="D157" s="352" t="s">
        <v>3009</v>
      </c>
      <c r="E157" s="351" t="s">
        <v>3191</v>
      </c>
      <c r="F157" s="351" t="s">
        <v>3186</v>
      </c>
    </row>
    <row r="158" spans="1:6">
      <c r="A158" s="548"/>
      <c r="B158" s="548"/>
      <c r="C158" s="374" t="s">
        <v>3200</v>
      </c>
      <c r="D158" s="352" t="s">
        <v>3009</v>
      </c>
      <c r="E158" s="351" t="s">
        <v>3191</v>
      </c>
      <c r="F158" s="351" t="s">
        <v>3186</v>
      </c>
    </row>
    <row r="159" spans="1:6">
      <c r="A159" s="548"/>
      <c r="B159" s="548"/>
      <c r="C159" s="374" t="s">
        <v>3201</v>
      </c>
      <c r="D159" s="352" t="s">
        <v>3009</v>
      </c>
      <c r="E159" s="351" t="s">
        <v>3191</v>
      </c>
      <c r="F159" s="351" t="s">
        <v>3014</v>
      </c>
    </row>
    <row r="160" spans="1:6">
      <c r="A160" s="548"/>
      <c r="B160" s="548"/>
      <c r="C160" s="374" t="s">
        <v>3202</v>
      </c>
      <c r="D160" s="352" t="s">
        <v>3009</v>
      </c>
      <c r="E160" s="351" t="s">
        <v>3191</v>
      </c>
      <c r="F160" s="351" t="s">
        <v>3014</v>
      </c>
    </row>
    <row r="161" spans="1:6">
      <c r="A161" s="548"/>
      <c r="B161" s="548"/>
      <c r="C161" s="374" t="s">
        <v>3203</v>
      </c>
      <c r="D161" s="352" t="s">
        <v>3009</v>
      </c>
      <c r="E161" s="351" t="s">
        <v>3191</v>
      </c>
      <c r="F161" s="351" t="s">
        <v>3014</v>
      </c>
    </row>
    <row r="162" spans="1:6">
      <c r="B162" s="548"/>
      <c r="C162" s="374" t="s">
        <v>3204</v>
      </c>
      <c r="D162" s="352" t="s">
        <v>3009</v>
      </c>
      <c r="E162" s="351" t="s">
        <v>3191</v>
      </c>
    </row>
    <row r="163" spans="1:6">
      <c r="B163" s="548"/>
      <c r="C163" s="374" t="s">
        <v>3205</v>
      </c>
      <c r="D163" s="352" t="s">
        <v>3009</v>
      </c>
      <c r="E163" s="351" t="s">
        <v>3191</v>
      </c>
    </row>
    <row r="164" spans="1:6">
      <c r="B164" s="548"/>
      <c r="C164" s="374" t="s">
        <v>3206</v>
      </c>
      <c r="D164" s="352" t="s">
        <v>3009</v>
      </c>
      <c r="E164" s="351" t="s">
        <v>3191</v>
      </c>
    </row>
    <row r="165" spans="1:6" ht="82.5">
      <c r="B165" s="548"/>
      <c r="C165" s="375" t="s">
        <v>3130</v>
      </c>
      <c r="D165" s="352" t="s">
        <v>3009</v>
      </c>
      <c r="E165" s="389" t="s">
        <v>3207</v>
      </c>
      <c r="F165" s="374" t="s">
        <v>3208</v>
      </c>
    </row>
    <row r="166" spans="1:6">
      <c r="B166" s="548"/>
      <c r="C166" s="374" t="s">
        <v>3209</v>
      </c>
      <c r="D166" s="352" t="s">
        <v>3009</v>
      </c>
      <c r="E166" s="351" t="s">
        <v>3210</v>
      </c>
      <c r="F166" s="374" t="s">
        <v>3211</v>
      </c>
    </row>
    <row r="167" spans="1:6">
      <c r="B167" s="548"/>
      <c r="C167" s="377" t="s">
        <v>3212</v>
      </c>
      <c r="D167" s="352" t="s">
        <v>3009</v>
      </c>
      <c r="E167" s="351" t="s">
        <v>3210</v>
      </c>
      <c r="F167" s="374" t="s">
        <v>3211</v>
      </c>
    </row>
    <row r="168" spans="1:6" ht="246.75" customHeight="1">
      <c r="B168" s="548"/>
      <c r="C168" s="390" t="s">
        <v>311</v>
      </c>
      <c r="D168" s="352" t="s">
        <v>3213</v>
      </c>
      <c r="E168" s="383" t="s">
        <v>3214</v>
      </c>
      <c r="F168" s="374" t="s">
        <v>3215</v>
      </c>
    </row>
    <row r="169" spans="1:6" ht="219.75" customHeight="1">
      <c r="B169" s="548"/>
      <c r="C169" s="377" t="s">
        <v>467</v>
      </c>
      <c r="D169" s="352" t="s">
        <v>3213</v>
      </c>
      <c r="E169" s="383" t="s">
        <v>3216</v>
      </c>
    </row>
    <row r="170" spans="1:6" ht="407.25" customHeight="1">
      <c r="B170" s="548"/>
      <c r="C170" s="375" t="s">
        <v>2617</v>
      </c>
      <c r="D170" s="352" t="s">
        <v>3009</v>
      </c>
      <c r="E170" s="383" t="s">
        <v>3217</v>
      </c>
    </row>
    <row r="171" spans="1:6">
      <c r="B171" s="548"/>
      <c r="C171" s="355" t="s">
        <v>3218</v>
      </c>
      <c r="D171" s="391" t="s">
        <v>3009</v>
      </c>
      <c r="E171" s="364" t="s">
        <v>3219</v>
      </c>
      <c r="F171" s="392" t="s">
        <v>3220</v>
      </c>
    </row>
    <row r="172" spans="1:6">
      <c r="B172" s="548"/>
      <c r="C172" s="374" t="s">
        <v>3221</v>
      </c>
      <c r="D172" s="391" t="s">
        <v>3009</v>
      </c>
      <c r="E172" s="364" t="s">
        <v>3219</v>
      </c>
      <c r="F172" s="392" t="s">
        <v>3220</v>
      </c>
    </row>
    <row r="173" spans="1:6">
      <c r="B173" s="548"/>
      <c r="C173" s="374" t="s">
        <v>3222</v>
      </c>
      <c r="D173" s="391" t="s">
        <v>3009</v>
      </c>
      <c r="E173" s="364" t="s">
        <v>3219</v>
      </c>
      <c r="F173" s="392" t="s">
        <v>3220</v>
      </c>
    </row>
    <row r="174" spans="1:6" ht="75.75">
      <c r="B174" s="548"/>
      <c r="C174" s="374" t="s">
        <v>3223</v>
      </c>
      <c r="D174" s="391" t="s">
        <v>3009</v>
      </c>
      <c r="E174" s="364" t="s">
        <v>3219</v>
      </c>
      <c r="F174" s="360" t="s">
        <v>3224</v>
      </c>
    </row>
    <row r="175" spans="1:6" ht="90.75" customHeight="1">
      <c r="B175" s="548"/>
      <c r="C175" s="374" t="s">
        <v>2673</v>
      </c>
      <c r="D175" s="391" t="s">
        <v>3009</v>
      </c>
      <c r="E175" s="364" t="s">
        <v>3219</v>
      </c>
      <c r="F175" s="383" t="s">
        <v>3225</v>
      </c>
    </row>
    <row r="176" spans="1:6" ht="62.25">
      <c r="B176" s="549"/>
      <c r="C176" s="351" t="s">
        <v>1119</v>
      </c>
      <c r="D176" s="352" t="s">
        <v>3009</v>
      </c>
      <c r="E176" s="383" t="s">
        <v>3226</v>
      </c>
    </row>
    <row r="177" spans="1:6">
      <c r="A177" s="547" t="s">
        <v>3227</v>
      </c>
      <c r="B177" s="550" t="s">
        <v>3099</v>
      </c>
      <c r="C177" s="387" t="s">
        <v>3228</v>
      </c>
      <c r="D177" s="382" t="s">
        <v>3009</v>
      </c>
      <c r="E177" s="373" t="s">
        <v>3229</v>
      </c>
      <c r="F177" s="371"/>
    </row>
    <row r="178" spans="1:6" ht="125.25">
      <c r="A178" s="548"/>
      <c r="B178" s="551"/>
      <c r="C178" s="374" t="s">
        <v>3230</v>
      </c>
      <c r="D178" s="374" t="s">
        <v>3231</v>
      </c>
      <c r="E178" s="380" t="s">
        <v>3232</v>
      </c>
    </row>
    <row r="179" spans="1:6" ht="188.25">
      <c r="A179" s="548"/>
      <c r="B179" s="551"/>
      <c r="C179" s="375" t="s">
        <v>3107</v>
      </c>
      <c r="D179" s="374"/>
      <c r="E179" s="393" t="s">
        <v>3233</v>
      </c>
      <c r="F179" s="351" t="s">
        <v>3234</v>
      </c>
    </row>
    <row r="180" spans="1:6">
      <c r="A180" s="548"/>
      <c r="B180" s="551"/>
      <c r="C180" s="374" t="s">
        <v>3235</v>
      </c>
      <c r="D180" s="352" t="s">
        <v>3009</v>
      </c>
      <c r="E180" s="351" t="s">
        <v>3236</v>
      </c>
    </row>
    <row r="181" spans="1:6">
      <c r="A181" s="548"/>
      <c r="B181" s="551"/>
      <c r="C181" s="374" t="s">
        <v>3237</v>
      </c>
      <c r="D181" s="352" t="s">
        <v>3009</v>
      </c>
      <c r="E181" s="351" t="s">
        <v>3236</v>
      </c>
    </row>
    <row r="182" spans="1:6">
      <c r="A182" s="548"/>
      <c r="B182" s="551"/>
      <c r="C182" s="374" t="s">
        <v>3238</v>
      </c>
      <c r="D182" s="352" t="s">
        <v>3009</v>
      </c>
      <c r="E182" s="351" t="s">
        <v>3236</v>
      </c>
      <c r="F182" s="374" t="s">
        <v>3239</v>
      </c>
    </row>
    <row r="183" spans="1:6" ht="37.5">
      <c r="A183" s="548"/>
      <c r="B183" s="551"/>
      <c r="C183" s="374" t="s">
        <v>3240</v>
      </c>
      <c r="D183" s="352" t="s">
        <v>3009</v>
      </c>
      <c r="E183" s="354" t="s">
        <v>3241</v>
      </c>
      <c r="F183" s="351" t="s">
        <v>3186</v>
      </c>
    </row>
    <row r="184" spans="1:6">
      <c r="A184" s="548"/>
      <c r="B184" s="551"/>
      <c r="C184" s="374" t="s">
        <v>3242</v>
      </c>
      <c r="D184" s="352" t="s">
        <v>3009</v>
      </c>
      <c r="E184" s="351" t="s">
        <v>3243</v>
      </c>
    </row>
    <row r="185" spans="1:6">
      <c r="A185" s="548"/>
      <c r="B185" s="551"/>
      <c r="C185" s="374" t="s">
        <v>3244</v>
      </c>
      <c r="D185" s="352" t="s">
        <v>3009</v>
      </c>
      <c r="E185" s="351" t="s">
        <v>3243</v>
      </c>
    </row>
    <row r="186" spans="1:6">
      <c r="A186" s="548"/>
      <c r="B186" s="551"/>
      <c r="C186" s="374" t="s">
        <v>3245</v>
      </c>
      <c r="D186" s="352" t="s">
        <v>3009</v>
      </c>
      <c r="E186" s="351" t="s">
        <v>3243</v>
      </c>
    </row>
    <row r="187" spans="1:6" ht="162.75">
      <c r="A187" s="548"/>
      <c r="B187" s="551"/>
      <c r="C187" s="375" t="s">
        <v>3164</v>
      </c>
      <c r="D187" s="352" t="s">
        <v>3009</v>
      </c>
      <c r="E187" s="380" t="s">
        <v>3246</v>
      </c>
      <c r="F187" s="374" t="s">
        <v>3247</v>
      </c>
    </row>
    <row r="188" spans="1:6">
      <c r="A188" s="548"/>
      <c r="B188" s="551"/>
      <c r="C188" s="374" t="s">
        <v>3248</v>
      </c>
      <c r="D188" s="352" t="s">
        <v>3009</v>
      </c>
      <c r="E188" s="351" t="s">
        <v>3249</v>
      </c>
    </row>
    <row r="189" spans="1:6">
      <c r="A189" s="548"/>
      <c r="B189" s="551"/>
      <c r="C189" s="374" t="s">
        <v>3250</v>
      </c>
      <c r="D189" s="352" t="s">
        <v>3009</v>
      </c>
      <c r="E189" s="351" t="s">
        <v>3249</v>
      </c>
    </row>
    <row r="190" spans="1:6">
      <c r="A190" s="548"/>
      <c r="B190" s="551"/>
      <c r="C190" s="374" t="s">
        <v>3251</v>
      </c>
      <c r="D190" s="352" t="s">
        <v>3009</v>
      </c>
      <c r="E190" s="351" t="s">
        <v>3249</v>
      </c>
    </row>
    <row r="191" spans="1:6">
      <c r="A191" s="548"/>
      <c r="B191" s="551"/>
      <c r="C191" s="374" t="s">
        <v>3252</v>
      </c>
      <c r="D191" s="352" t="s">
        <v>3009</v>
      </c>
      <c r="E191" s="351" t="s">
        <v>3249</v>
      </c>
    </row>
    <row r="192" spans="1:6">
      <c r="A192" s="548"/>
      <c r="B192" s="551"/>
      <c r="C192" s="374" t="s">
        <v>3253</v>
      </c>
      <c r="D192" s="352" t="s">
        <v>3009</v>
      </c>
      <c r="E192" s="351" t="s">
        <v>3249</v>
      </c>
    </row>
    <row r="193" spans="1:6">
      <c r="A193" s="548"/>
      <c r="B193" s="551"/>
      <c r="C193" s="374" t="s">
        <v>3254</v>
      </c>
      <c r="D193" s="352" t="s">
        <v>3009</v>
      </c>
      <c r="E193" s="351" t="s">
        <v>3249</v>
      </c>
    </row>
    <row r="194" spans="1:6">
      <c r="A194" s="548"/>
      <c r="B194" s="551"/>
      <c r="C194" s="374" t="s">
        <v>3255</v>
      </c>
      <c r="D194" s="352" t="s">
        <v>3009</v>
      </c>
      <c r="E194" s="351" t="s">
        <v>3249</v>
      </c>
    </row>
    <row r="195" spans="1:6" ht="117.75" customHeight="1">
      <c r="A195" s="548"/>
      <c r="B195" s="551"/>
      <c r="C195" s="351" t="s">
        <v>3020</v>
      </c>
      <c r="D195" s="352" t="s">
        <v>3009</v>
      </c>
      <c r="E195" s="383" t="s">
        <v>3256</v>
      </c>
      <c r="F195" s="374" t="s">
        <v>3257</v>
      </c>
    </row>
    <row r="196" spans="1:6">
      <c r="A196" s="548"/>
      <c r="B196" s="551"/>
      <c r="C196" s="374" t="s">
        <v>3258</v>
      </c>
      <c r="D196" s="352" t="s">
        <v>3009</v>
      </c>
      <c r="E196" s="351" t="s">
        <v>3249</v>
      </c>
    </row>
    <row r="197" spans="1:6" ht="162.75">
      <c r="A197" s="548"/>
      <c r="B197" s="551"/>
      <c r="C197" s="375" t="s">
        <v>3130</v>
      </c>
      <c r="D197" s="352" t="s">
        <v>3009</v>
      </c>
      <c r="E197" s="383" t="s">
        <v>3259</v>
      </c>
    </row>
    <row r="198" spans="1:6" ht="115.5" customHeight="1">
      <c r="A198" s="549"/>
      <c r="B198" s="552"/>
      <c r="C198" s="374" t="s">
        <v>1807</v>
      </c>
      <c r="D198" s="352" t="s">
        <v>3009</v>
      </c>
      <c r="E198" s="383" t="s">
        <v>3260</v>
      </c>
    </row>
    <row r="199" spans="1:6">
      <c r="A199" s="371"/>
      <c r="B199" s="371"/>
      <c r="C199" s="371"/>
      <c r="D199" s="371"/>
      <c r="E199" s="371"/>
      <c r="F199" s="371"/>
    </row>
  </sheetData>
  <mergeCells count="21">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 ref="A3:A20"/>
    <mergeCell ref="B8:B15"/>
    <mergeCell ref="A110:A135"/>
    <mergeCell ref="B123:B135"/>
    <mergeCell ref="B136:B176"/>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199"/>
  <sheetViews>
    <sheetView topLeftCell="A180" workbookViewId="0">
      <selection activeCell="A182" sqref="A182:A190"/>
    </sheetView>
  </sheetViews>
  <sheetFormatPr defaultColWidth="12.875" defaultRowHeight="20.25" customHeight="1"/>
  <cols>
    <col min="1" max="2" width="12.875" style="44"/>
    <col min="3" max="3" width="17.25" style="44" customWidth="1"/>
    <col min="4" max="4" width="31" style="44" customWidth="1"/>
    <col min="5" max="5" width="41.75" style="44" customWidth="1"/>
    <col min="6" max="6" width="32.875" style="44" customWidth="1"/>
    <col min="7" max="7" width="32.75" style="44" customWidth="1"/>
    <col min="8" max="16384" width="12.875" style="44"/>
  </cols>
  <sheetData>
    <row r="1" spans="1:7" ht="33" customHeight="1">
      <c r="A1" s="25" t="s">
        <v>2802</v>
      </c>
      <c r="B1" s="25" t="s">
        <v>2803</v>
      </c>
      <c r="C1" s="25" t="s">
        <v>2804</v>
      </c>
      <c r="D1" s="25" t="s">
        <v>2805</v>
      </c>
      <c r="E1" s="25" t="s">
        <v>2806</v>
      </c>
      <c r="F1" s="25" t="s">
        <v>2807</v>
      </c>
      <c r="G1" s="25" t="s">
        <v>2808</v>
      </c>
    </row>
    <row r="2" spans="1:7" ht="20.25" hidden="1" customHeight="1">
      <c r="A2" s="27" t="s">
        <v>2809</v>
      </c>
      <c r="B2" s="27" t="s">
        <v>2810</v>
      </c>
      <c r="C2" s="27" t="s">
        <v>2811</v>
      </c>
      <c r="D2" s="27" t="s">
        <v>2812</v>
      </c>
      <c r="E2" s="27" t="s">
        <v>2813</v>
      </c>
      <c r="F2" s="27" t="s">
        <v>2814</v>
      </c>
      <c r="G2" s="28"/>
    </row>
    <row r="3" spans="1:7" ht="20.25" hidden="1" customHeight="1">
      <c r="A3" s="29">
        <v>46115</v>
      </c>
      <c r="B3" s="30" t="s">
        <v>20</v>
      </c>
      <c r="C3" s="30" t="s">
        <v>380</v>
      </c>
      <c r="D3" s="30" t="s">
        <v>2824</v>
      </c>
      <c r="E3" s="31" t="s">
        <v>3261</v>
      </c>
      <c r="F3" s="31" t="s">
        <v>3262</v>
      </c>
      <c r="G3" s="32" t="s">
        <v>3263</v>
      </c>
    </row>
    <row r="4" spans="1:7" ht="20.25" hidden="1" customHeight="1">
      <c r="A4" s="33">
        <v>46118</v>
      </c>
      <c r="B4" s="34" t="s">
        <v>20</v>
      </c>
      <c r="C4" s="34" t="s">
        <v>3264</v>
      </c>
      <c r="D4" s="34" t="s">
        <v>3265</v>
      </c>
      <c r="E4" s="35" t="s">
        <v>3266</v>
      </c>
      <c r="F4" s="35" t="s">
        <v>3267</v>
      </c>
      <c r="G4" s="36"/>
    </row>
    <row r="5" spans="1:7" ht="20.25" hidden="1" customHeight="1">
      <c r="A5" s="539">
        <v>46119</v>
      </c>
      <c r="B5" s="34" t="s">
        <v>20</v>
      </c>
      <c r="C5" s="34" t="s">
        <v>3268</v>
      </c>
      <c r="D5" s="34" t="s">
        <v>3269</v>
      </c>
      <c r="E5" s="35" t="s">
        <v>3270</v>
      </c>
      <c r="F5" s="35" t="s">
        <v>3271</v>
      </c>
      <c r="G5" s="36" t="s">
        <v>3272</v>
      </c>
    </row>
    <row r="6" spans="1:7" ht="39" hidden="1" customHeight="1">
      <c r="A6" s="537"/>
      <c r="B6" s="34" t="s">
        <v>20</v>
      </c>
      <c r="C6" s="34" t="s">
        <v>2592</v>
      </c>
      <c r="D6" s="34" t="s">
        <v>2817</v>
      </c>
      <c r="E6" s="35" t="s">
        <v>3273</v>
      </c>
      <c r="F6" s="35" t="s">
        <v>3274</v>
      </c>
      <c r="G6" s="38" t="s">
        <v>3275</v>
      </c>
    </row>
    <row r="7" spans="1:7" ht="20.25" hidden="1" customHeight="1">
      <c r="A7" s="538"/>
      <c r="B7" s="34" t="s">
        <v>20</v>
      </c>
      <c r="C7" s="34" t="s">
        <v>731</v>
      </c>
      <c r="D7" s="34" t="s">
        <v>3276</v>
      </c>
      <c r="E7" s="35" t="s">
        <v>3277</v>
      </c>
      <c r="F7" s="35" t="s">
        <v>3278</v>
      </c>
      <c r="G7" s="36" t="s">
        <v>3279</v>
      </c>
    </row>
    <row r="8" spans="1:7" ht="20.25" hidden="1" customHeight="1">
      <c r="A8" s="539">
        <v>46120</v>
      </c>
      <c r="B8" s="34" t="s">
        <v>20</v>
      </c>
      <c r="C8" s="34" t="s">
        <v>1481</v>
      </c>
      <c r="D8" s="34" t="s">
        <v>3280</v>
      </c>
      <c r="E8" s="35" t="s">
        <v>3281</v>
      </c>
      <c r="F8" s="35" t="s">
        <v>3282</v>
      </c>
      <c r="G8" s="36" t="s">
        <v>3283</v>
      </c>
    </row>
    <row r="9" spans="1:7" ht="20.25" hidden="1" customHeight="1">
      <c r="A9" s="537"/>
      <c r="B9" s="34" t="s">
        <v>20</v>
      </c>
      <c r="C9" s="34" t="s">
        <v>408</v>
      </c>
      <c r="D9" s="34" t="s">
        <v>2838</v>
      </c>
      <c r="E9" s="35" t="s">
        <v>3284</v>
      </c>
      <c r="F9" s="35" t="s">
        <v>3285</v>
      </c>
      <c r="G9" s="36" t="s">
        <v>3286</v>
      </c>
    </row>
    <row r="10" spans="1:7" ht="20.25" hidden="1" customHeight="1">
      <c r="A10" s="537"/>
      <c r="B10" s="34" t="s">
        <v>20</v>
      </c>
      <c r="C10" s="34" t="s">
        <v>3287</v>
      </c>
      <c r="D10" s="34" t="s">
        <v>3288</v>
      </c>
      <c r="E10" s="35" t="s">
        <v>3289</v>
      </c>
      <c r="F10" s="35" t="s">
        <v>3290</v>
      </c>
      <c r="G10" s="36" t="s">
        <v>3291</v>
      </c>
    </row>
    <row r="11" spans="1:7" ht="20.25" hidden="1" customHeight="1">
      <c r="A11" s="537"/>
      <c r="B11" s="34" t="s">
        <v>20</v>
      </c>
      <c r="C11" s="34" t="s">
        <v>2657</v>
      </c>
      <c r="D11" s="34" t="s">
        <v>2972</v>
      </c>
      <c r="E11" s="35" t="s">
        <v>3292</v>
      </c>
      <c r="F11" s="35" t="s">
        <v>3293</v>
      </c>
      <c r="G11" s="36" t="s">
        <v>3294</v>
      </c>
    </row>
    <row r="12" spans="1:7" ht="20.25" hidden="1" customHeight="1">
      <c r="A12" s="538"/>
      <c r="B12" s="34" t="s">
        <v>20</v>
      </c>
      <c r="C12" s="34" t="s">
        <v>678</v>
      </c>
      <c r="D12" s="34" t="s">
        <v>3288</v>
      </c>
      <c r="E12" s="35" t="s">
        <v>3295</v>
      </c>
      <c r="F12" s="35" t="s">
        <v>3296</v>
      </c>
      <c r="G12" s="36"/>
    </row>
    <row r="13" spans="1:7" ht="20.25" hidden="1" customHeight="1">
      <c r="A13" s="569" t="s">
        <v>3297</v>
      </c>
      <c r="B13" s="566" t="s">
        <v>20</v>
      </c>
      <c r="C13" s="34" t="s">
        <v>1704</v>
      </c>
      <c r="D13" s="30" t="s">
        <v>2972</v>
      </c>
      <c r="E13" s="35" t="s">
        <v>3298</v>
      </c>
      <c r="F13" s="35" t="s">
        <v>3299</v>
      </c>
      <c r="G13" s="36"/>
    </row>
    <row r="14" spans="1:7" ht="20.25" hidden="1" customHeight="1">
      <c r="A14" s="570"/>
      <c r="B14" s="567"/>
      <c r="C14" s="34" t="s">
        <v>3268</v>
      </c>
      <c r="D14" s="30" t="s">
        <v>2817</v>
      </c>
      <c r="E14" s="35" t="s">
        <v>3300</v>
      </c>
      <c r="F14" s="35" t="s">
        <v>3301</v>
      </c>
      <c r="G14" s="36"/>
    </row>
    <row r="15" spans="1:7" ht="20.25" hidden="1" customHeight="1">
      <c r="A15" s="570"/>
      <c r="B15" s="567"/>
      <c r="C15" s="34" t="s">
        <v>1520</v>
      </c>
      <c r="D15" s="30" t="s">
        <v>2972</v>
      </c>
      <c r="E15" s="35" t="s">
        <v>3302</v>
      </c>
      <c r="F15" s="35" t="s">
        <v>3303</v>
      </c>
      <c r="G15" s="36"/>
    </row>
    <row r="16" spans="1:7" ht="20.25" hidden="1" customHeight="1">
      <c r="A16" s="570"/>
      <c r="B16" s="567"/>
      <c r="C16" s="34" t="s">
        <v>3304</v>
      </c>
      <c r="D16" s="30" t="s">
        <v>2846</v>
      </c>
      <c r="E16" s="35" t="s">
        <v>3305</v>
      </c>
      <c r="F16" s="35" t="s">
        <v>3306</v>
      </c>
      <c r="G16" s="36"/>
    </row>
    <row r="17" spans="1:7" ht="20.25" hidden="1" customHeight="1">
      <c r="A17" s="570"/>
      <c r="B17" s="567"/>
      <c r="C17" s="34" t="s">
        <v>731</v>
      </c>
      <c r="D17" s="30" t="s">
        <v>3276</v>
      </c>
      <c r="E17" s="35" t="s">
        <v>3307</v>
      </c>
      <c r="F17" s="35" t="s">
        <v>3308</v>
      </c>
      <c r="G17" s="36"/>
    </row>
    <row r="18" spans="1:7" ht="20.25" hidden="1" customHeight="1">
      <c r="A18" s="570"/>
      <c r="B18" s="567"/>
      <c r="C18" s="34" t="s">
        <v>2633</v>
      </c>
      <c r="D18" s="30" t="s">
        <v>3265</v>
      </c>
      <c r="E18" s="35" t="s">
        <v>3309</v>
      </c>
      <c r="F18" s="35" t="s">
        <v>3310</v>
      </c>
      <c r="G18" s="36"/>
    </row>
    <row r="19" spans="1:7" ht="20.25" hidden="1" customHeight="1">
      <c r="A19" s="570"/>
      <c r="B19" s="567"/>
      <c r="C19" s="34" t="s">
        <v>678</v>
      </c>
      <c r="D19" s="30" t="s">
        <v>2817</v>
      </c>
      <c r="E19" s="35" t="s">
        <v>3311</v>
      </c>
      <c r="F19" s="35" t="s">
        <v>3312</v>
      </c>
      <c r="G19" s="36"/>
    </row>
    <row r="20" spans="1:7" ht="20.25" hidden="1" customHeight="1">
      <c r="A20" s="570"/>
      <c r="B20" s="567"/>
      <c r="C20" s="34" t="s">
        <v>335</v>
      </c>
      <c r="D20" s="30" t="s">
        <v>2817</v>
      </c>
      <c r="E20" s="35" t="s">
        <v>3313</v>
      </c>
      <c r="F20" s="35" t="s">
        <v>3314</v>
      </c>
      <c r="G20" s="36"/>
    </row>
    <row r="21" spans="1:7" ht="38.25" hidden="1" customHeight="1">
      <c r="A21" s="570"/>
      <c r="B21" s="567"/>
      <c r="C21" s="34" t="s">
        <v>2592</v>
      </c>
      <c r="D21" s="30" t="s">
        <v>2817</v>
      </c>
      <c r="E21" s="35" t="s">
        <v>3315</v>
      </c>
      <c r="F21" s="35" t="s">
        <v>3316</v>
      </c>
      <c r="G21" s="38" t="s">
        <v>3317</v>
      </c>
    </row>
    <row r="22" spans="1:7" ht="20.25" hidden="1" customHeight="1">
      <c r="A22" s="570"/>
      <c r="B22" s="567"/>
      <c r="C22" s="34" t="s">
        <v>1031</v>
      </c>
      <c r="D22" s="30" t="s">
        <v>3318</v>
      </c>
      <c r="E22" s="35" t="s">
        <v>3319</v>
      </c>
      <c r="F22" s="35" t="s">
        <v>3320</v>
      </c>
      <c r="G22" s="36"/>
    </row>
    <row r="23" spans="1:7" ht="20.25" hidden="1" customHeight="1">
      <c r="A23" s="570"/>
      <c r="B23" s="567"/>
      <c r="C23" s="34" t="s">
        <v>3321</v>
      </c>
      <c r="D23" s="34" t="s">
        <v>2829</v>
      </c>
      <c r="E23" s="35" t="s">
        <v>3305</v>
      </c>
      <c r="F23" s="35" t="s">
        <v>3306</v>
      </c>
      <c r="G23" s="36"/>
    </row>
    <row r="24" spans="1:7" ht="51.75" hidden="1" customHeight="1">
      <c r="A24" s="571"/>
      <c r="B24" s="568"/>
      <c r="C24" s="34" t="s">
        <v>3322</v>
      </c>
      <c r="D24" s="30" t="s">
        <v>2972</v>
      </c>
      <c r="E24" s="35" t="s">
        <v>3323</v>
      </c>
      <c r="F24" s="35" t="s">
        <v>3324</v>
      </c>
      <c r="G24" s="38" t="s">
        <v>3325</v>
      </c>
    </row>
    <row r="25" spans="1:7" ht="63.75" hidden="1" customHeight="1">
      <c r="A25" s="574" t="s">
        <v>3326</v>
      </c>
      <c r="B25" s="574" t="s">
        <v>20</v>
      </c>
      <c r="C25" s="34" t="s">
        <v>657</v>
      </c>
      <c r="D25" s="30" t="s">
        <v>2817</v>
      </c>
      <c r="E25" s="35" t="s">
        <v>3327</v>
      </c>
      <c r="F25" s="35" t="s">
        <v>3328</v>
      </c>
      <c r="G25" s="36"/>
    </row>
    <row r="26" spans="1:7" ht="49.5" hidden="1" customHeight="1">
      <c r="A26" s="543"/>
      <c r="B26" s="543"/>
      <c r="C26" s="34" t="s">
        <v>1031</v>
      </c>
      <c r="D26" s="30" t="s">
        <v>3318</v>
      </c>
      <c r="E26" s="35" t="s">
        <v>3329</v>
      </c>
      <c r="F26" s="35" t="s">
        <v>3330</v>
      </c>
      <c r="G26" s="36"/>
    </row>
    <row r="27" spans="1:7" ht="33" hidden="1" customHeight="1">
      <c r="A27" s="543"/>
      <c r="B27" s="543"/>
      <c r="C27" s="34" t="s">
        <v>3331</v>
      </c>
      <c r="D27" s="30" t="s">
        <v>2972</v>
      </c>
      <c r="E27" s="35" t="s">
        <v>3332</v>
      </c>
      <c r="F27" s="35" t="s">
        <v>3333</v>
      </c>
      <c r="G27" s="36"/>
    </row>
    <row r="28" spans="1:7" ht="35.25" hidden="1" customHeight="1">
      <c r="A28" s="543"/>
      <c r="B28" s="543"/>
      <c r="C28" s="34" t="s">
        <v>731</v>
      </c>
      <c r="D28" s="30" t="s">
        <v>3276</v>
      </c>
      <c r="E28" s="35" t="s">
        <v>3334</v>
      </c>
      <c r="F28" s="35" t="s">
        <v>3335</v>
      </c>
      <c r="G28" s="36"/>
    </row>
    <row r="29" spans="1:7" ht="33.75" hidden="1" customHeight="1">
      <c r="A29" s="543"/>
      <c r="B29" s="543"/>
      <c r="C29" s="34" t="s">
        <v>3336</v>
      </c>
      <c r="D29" s="30" t="s">
        <v>2829</v>
      </c>
      <c r="E29" s="35" t="s">
        <v>3337</v>
      </c>
      <c r="F29" s="35" t="s">
        <v>3338</v>
      </c>
      <c r="G29" s="36"/>
    </row>
    <row r="30" spans="1:7" ht="20.25" hidden="1" customHeight="1">
      <c r="A30" s="543"/>
      <c r="B30" s="543"/>
      <c r="C30" s="34" t="s">
        <v>1704</v>
      </c>
      <c r="D30" s="30" t="s">
        <v>3265</v>
      </c>
      <c r="E30" s="35" t="s">
        <v>3339</v>
      </c>
      <c r="F30" s="35" t="s">
        <v>3340</v>
      </c>
      <c r="G30" s="36"/>
    </row>
    <row r="31" spans="1:7" ht="56.25" hidden="1" customHeight="1">
      <c r="A31" s="543"/>
      <c r="B31" s="543"/>
      <c r="C31" s="34" t="s">
        <v>3341</v>
      </c>
      <c r="D31" s="30" t="s">
        <v>3318</v>
      </c>
      <c r="E31" s="35" t="s">
        <v>3342</v>
      </c>
      <c r="F31" s="35" t="s">
        <v>3343</v>
      </c>
      <c r="G31" s="36"/>
    </row>
    <row r="32" spans="1:7" ht="48" hidden="1" customHeight="1">
      <c r="A32" s="543"/>
      <c r="B32" s="543"/>
      <c r="C32" s="34" t="s">
        <v>3341</v>
      </c>
      <c r="D32" s="30" t="s">
        <v>2817</v>
      </c>
      <c r="E32" s="35" t="s">
        <v>3344</v>
      </c>
      <c r="F32" s="35" t="s">
        <v>3345</v>
      </c>
      <c r="G32" s="36"/>
    </row>
    <row r="33" spans="1:7" ht="20.25" hidden="1" customHeight="1">
      <c r="A33" s="543"/>
      <c r="B33" s="543"/>
      <c r="C33" s="34" t="s">
        <v>678</v>
      </c>
      <c r="D33" s="30" t="s">
        <v>2972</v>
      </c>
      <c r="E33" s="35" t="s">
        <v>3346</v>
      </c>
      <c r="F33" s="35" t="s">
        <v>3347</v>
      </c>
      <c r="G33" s="36"/>
    </row>
    <row r="34" spans="1:7" ht="20.25" hidden="1" customHeight="1">
      <c r="A34" s="543"/>
      <c r="B34" s="543"/>
      <c r="C34" s="34" t="s">
        <v>3336</v>
      </c>
      <c r="D34" s="30" t="s">
        <v>2829</v>
      </c>
      <c r="E34" s="35" t="s">
        <v>3348</v>
      </c>
      <c r="F34" s="35" t="s">
        <v>3349</v>
      </c>
      <c r="G34" s="36"/>
    </row>
    <row r="35" spans="1:7" ht="38.25" hidden="1" customHeight="1">
      <c r="A35" s="543"/>
      <c r="B35" s="543"/>
      <c r="C35" s="34" t="s">
        <v>408</v>
      </c>
      <c r="D35" s="30" t="s">
        <v>2817</v>
      </c>
      <c r="E35" s="35" t="s">
        <v>3350</v>
      </c>
      <c r="F35" s="35" t="s">
        <v>3349</v>
      </c>
      <c r="G35" s="38" t="s">
        <v>3351</v>
      </c>
    </row>
    <row r="36" spans="1:7" ht="20.25" hidden="1" customHeight="1">
      <c r="A36" s="543"/>
      <c r="B36" s="543"/>
      <c r="C36" s="34" t="s">
        <v>3352</v>
      </c>
      <c r="D36" s="30" t="s">
        <v>2972</v>
      </c>
      <c r="E36" s="35" t="s">
        <v>3353</v>
      </c>
      <c r="F36" s="35"/>
      <c r="G36" s="36"/>
    </row>
    <row r="37" spans="1:7" ht="20.25" hidden="1" customHeight="1">
      <c r="A37" s="543"/>
      <c r="B37" s="543"/>
      <c r="C37" s="34" t="s">
        <v>725</v>
      </c>
      <c r="D37" s="30" t="s">
        <v>2829</v>
      </c>
      <c r="E37" s="35" t="s">
        <v>3354</v>
      </c>
      <c r="F37" s="35" t="s">
        <v>3355</v>
      </c>
      <c r="G37" s="36"/>
    </row>
    <row r="38" spans="1:7" ht="74.25" hidden="1" customHeight="1">
      <c r="A38" s="543"/>
      <c r="B38" s="543"/>
      <c r="C38" s="34" t="s">
        <v>3341</v>
      </c>
      <c r="D38" s="30" t="s">
        <v>2817</v>
      </c>
      <c r="E38" s="35" t="s">
        <v>3356</v>
      </c>
      <c r="F38" s="35" t="s">
        <v>3357</v>
      </c>
      <c r="G38" s="38" t="s">
        <v>3358</v>
      </c>
    </row>
    <row r="39" spans="1:7" ht="35.25" hidden="1" customHeight="1">
      <c r="A39" s="543"/>
      <c r="B39" s="543"/>
      <c r="C39" s="34" t="s">
        <v>731</v>
      </c>
      <c r="D39" s="30" t="s">
        <v>2838</v>
      </c>
      <c r="E39" s="35" t="s">
        <v>3359</v>
      </c>
      <c r="F39" s="35" t="s">
        <v>3360</v>
      </c>
      <c r="G39" s="36" t="s">
        <v>3361</v>
      </c>
    </row>
    <row r="40" spans="1:7" ht="88.5" hidden="1" customHeight="1">
      <c r="A40" s="543"/>
      <c r="B40" s="543"/>
      <c r="C40" s="34" t="s">
        <v>699</v>
      </c>
      <c r="D40" s="30" t="s">
        <v>2972</v>
      </c>
      <c r="E40" s="35" t="s">
        <v>3362</v>
      </c>
      <c r="F40" s="35" t="s">
        <v>3363</v>
      </c>
      <c r="G40" s="36"/>
    </row>
    <row r="41" spans="1:7" ht="20.25" hidden="1" customHeight="1">
      <c r="A41" s="543"/>
      <c r="B41" s="543"/>
      <c r="C41" s="42" t="s">
        <v>983</v>
      </c>
      <c r="D41" s="30" t="s">
        <v>2972</v>
      </c>
      <c r="E41" s="39" t="s">
        <v>3364</v>
      </c>
      <c r="F41" s="105" t="s">
        <v>3365</v>
      </c>
      <c r="G41" s="43"/>
    </row>
    <row r="42" spans="1:7" ht="20.25" hidden="1" customHeight="1">
      <c r="A42" s="543"/>
      <c r="B42" s="543"/>
      <c r="C42" s="2" t="s">
        <v>3366</v>
      </c>
      <c r="D42" s="30" t="s">
        <v>2972</v>
      </c>
      <c r="E42" s="26" t="s">
        <v>3367</v>
      </c>
      <c r="F42" s="104" t="s">
        <v>3368</v>
      </c>
      <c r="G42" s="2"/>
    </row>
    <row r="43" spans="1:7" ht="20.25" hidden="1" customHeight="1">
      <c r="A43" s="543"/>
      <c r="B43" s="543"/>
      <c r="C43" s="2" t="s">
        <v>400</v>
      </c>
      <c r="D43" s="30" t="s">
        <v>3318</v>
      </c>
      <c r="E43" s="26" t="s">
        <v>3369</v>
      </c>
      <c r="F43" s="26" t="s">
        <v>3370</v>
      </c>
      <c r="G43" s="2"/>
    </row>
    <row r="44" spans="1:7" ht="20.25" hidden="1" customHeight="1">
      <c r="A44" s="572" t="s">
        <v>3371</v>
      </c>
      <c r="B44" s="543" t="s">
        <v>20</v>
      </c>
      <c r="C44" s="2" t="s">
        <v>983</v>
      </c>
      <c r="D44" s="30" t="s">
        <v>3265</v>
      </c>
      <c r="E44" s="26" t="s">
        <v>3372</v>
      </c>
      <c r="F44" s="26" t="s">
        <v>3373</v>
      </c>
      <c r="G44" s="2"/>
    </row>
    <row r="45" spans="1:7" ht="30.75" hidden="1" customHeight="1">
      <c r="A45" s="573"/>
      <c r="B45" s="543"/>
      <c r="C45" s="2" t="s">
        <v>731</v>
      </c>
      <c r="D45" s="30" t="s">
        <v>2838</v>
      </c>
      <c r="E45" s="26" t="s">
        <v>3374</v>
      </c>
      <c r="F45" s="26" t="s">
        <v>3375</v>
      </c>
      <c r="G45" s="2"/>
    </row>
    <row r="46" spans="1:7" ht="66" hidden="1" customHeight="1">
      <c r="A46" s="573"/>
      <c r="B46" s="543"/>
      <c r="C46" s="2" t="s">
        <v>390</v>
      </c>
      <c r="D46" s="30" t="s">
        <v>3318</v>
      </c>
      <c r="E46" s="26" t="s">
        <v>3376</v>
      </c>
      <c r="F46" s="26" t="s">
        <v>3377</v>
      </c>
      <c r="G46" s="26" t="s">
        <v>3378</v>
      </c>
    </row>
    <row r="47" spans="1:7" ht="33" hidden="1" customHeight="1">
      <c r="A47" s="573"/>
      <c r="B47" s="543"/>
      <c r="C47" s="2" t="s">
        <v>751</v>
      </c>
      <c r="D47" s="30" t="s">
        <v>3265</v>
      </c>
      <c r="E47" s="26" t="s">
        <v>3379</v>
      </c>
      <c r="F47" s="26" t="s">
        <v>3380</v>
      </c>
      <c r="G47" s="2"/>
    </row>
    <row r="48" spans="1:7" ht="20.25" hidden="1" customHeight="1">
      <c r="A48" s="573"/>
      <c r="B48" s="543"/>
      <c r="C48" s="2" t="s">
        <v>2635</v>
      </c>
      <c r="D48" s="30" t="s">
        <v>2972</v>
      </c>
      <c r="E48" s="26" t="s">
        <v>3381</v>
      </c>
      <c r="F48" s="26" t="s">
        <v>3382</v>
      </c>
      <c r="G48" s="2"/>
    </row>
    <row r="49" spans="1:7" ht="20.25" hidden="1" customHeight="1">
      <c r="A49" s="573"/>
      <c r="B49" s="543"/>
      <c r="C49" s="2" t="s">
        <v>2633</v>
      </c>
      <c r="D49" s="30" t="s">
        <v>3265</v>
      </c>
      <c r="E49" s="26" t="s">
        <v>3383</v>
      </c>
      <c r="F49" s="26" t="s">
        <v>3384</v>
      </c>
      <c r="G49" s="2" t="s">
        <v>3385</v>
      </c>
    </row>
    <row r="50" spans="1:7" ht="20.25" hidden="1" customHeight="1">
      <c r="A50" s="573"/>
      <c r="B50" s="543"/>
      <c r="C50" s="2" t="s">
        <v>380</v>
      </c>
      <c r="D50" s="30" t="s">
        <v>2846</v>
      </c>
      <c r="E50" s="26" t="s">
        <v>3386</v>
      </c>
      <c r="F50" s="26" t="s">
        <v>3387</v>
      </c>
      <c r="G50" s="2" t="s">
        <v>3388</v>
      </c>
    </row>
    <row r="51" spans="1:7" ht="53.25" hidden="1" customHeight="1">
      <c r="A51" s="573"/>
      <c r="B51" s="543"/>
      <c r="C51" s="2" t="s">
        <v>335</v>
      </c>
      <c r="D51" s="30" t="s">
        <v>2846</v>
      </c>
      <c r="E51" s="26" t="s">
        <v>3389</v>
      </c>
      <c r="F51" s="26" t="s">
        <v>3390</v>
      </c>
      <c r="G51" s="2" t="s">
        <v>3388</v>
      </c>
    </row>
    <row r="52" spans="1:7" ht="66.75" hidden="1" customHeight="1">
      <c r="A52" s="573"/>
      <c r="B52" s="543"/>
      <c r="C52" s="2" t="s">
        <v>322</v>
      </c>
      <c r="D52" s="30" t="s">
        <v>2846</v>
      </c>
      <c r="E52" s="26" t="s">
        <v>3389</v>
      </c>
      <c r="F52" s="26" t="s">
        <v>3390</v>
      </c>
      <c r="G52" s="2" t="s">
        <v>3388</v>
      </c>
    </row>
    <row r="53" spans="1:7" ht="66.75" hidden="1" customHeight="1">
      <c r="A53" s="573"/>
      <c r="B53" s="543"/>
      <c r="C53" s="2" t="s">
        <v>3341</v>
      </c>
      <c r="D53" s="30" t="s">
        <v>2846</v>
      </c>
      <c r="E53" s="26" t="s">
        <v>3389</v>
      </c>
      <c r="F53" s="26" t="s">
        <v>3391</v>
      </c>
      <c r="G53" s="2"/>
    </row>
    <row r="54" spans="1:7" ht="20.25" hidden="1" customHeight="1">
      <c r="A54" s="573"/>
      <c r="B54" s="543"/>
      <c r="C54" s="2" t="s">
        <v>2757</v>
      </c>
      <c r="D54" s="30" t="s">
        <v>2829</v>
      </c>
      <c r="E54" s="26" t="s">
        <v>3392</v>
      </c>
      <c r="F54" s="26" t="s">
        <v>3393</v>
      </c>
      <c r="G54" s="2"/>
    </row>
    <row r="55" spans="1:7" ht="20.25" hidden="1" customHeight="1">
      <c r="A55" s="573"/>
      <c r="B55" s="543"/>
      <c r="C55" s="2" t="s">
        <v>3322</v>
      </c>
      <c r="D55" s="30" t="s">
        <v>2972</v>
      </c>
      <c r="E55" s="26" t="s">
        <v>3394</v>
      </c>
      <c r="F55" s="26" t="s">
        <v>3395</v>
      </c>
      <c r="G55" s="2"/>
    </row>
    <row r="56" spans="1:7" ht="20.25" hidden="1" customHeight="1">
      <c r="A56" s="573"/>
      <c r="B56" s="543"/>
      <c r="C56" s="2" t="s">
        <v>3396</v>
      </c>
      <c r="D56" s="30" t="s">
        <v>2972</v>
      </c>
      <c r="E56" s="26" t="s">
        <v>3397</v>
      </c>
      <c r="F56" s="26" t="s">
        <v>3398</v>
      </c>
      <c r="G56" s="2"/>
    </row>
    <row r="57" spans="1:7" ht="56.25" hidden="1" customHeight="1">
      <c r="A57" s="573"/>
      <c r="B57" s="543"/>
      <c r="C57" s="2" t="s">
        <v>678</v>
      </c>
      <c r="D57" s="30" t="s">
        <v>3288</v>
      </c>
      <c r="E57" s="26" t="s">
        <v>3399</v>
      </c>
      <c r="F57" s="26" t="s">
        <v>3400</v>
      </c>
      <c r="G57" s="26" t="s">
        <v>3401</v>
      </c>
    </row>
    <row r="58" spans="1:7" ht="20.25" customHeight="1">
      <c r="A58" s="543" t="s">
        <v>3402</v>
      </c>
      <c r="B58" s="543" t="s">
        <v>20</v>
      </c>
      <c r="C58" s="2" t="s">
        <v>983</v>
      </c>
      <c r="D58" s="30" t="s">
        <v>2972</v>
      </c>
      <c r="E58" s="26" t="s">
        <v>3403</v>
      </c>
      <c r="F58" s="26" t="s">
        <v>3404</v>
      </c>
      <c r="G58" s="2"/>
    </row>
    <row r="59" spans="1:7" ht="20.25" customHeight="1">
      <c r="A59" s="543"/>
      <c r="B59" s="543"/>
      <c r="C59" s="2" t="s">
        <v>3405</v>
      </c>
      <c r="D59" s="30" t="s">
        <v>2829</v>
      </c>
      <c r="E59" s="26" t="s">
        <v>3406</v>
      </c>
      <c r="F59" s="26" t="s">
        <v>3407</v>
      </c>
      <c r="G59" s="2"/>
    </row>
    <row r="60" spans="1:7" ht="20.25" customHeight="1">
      <c r="A60" s="543"/>
      <c r="B60" s="543"/>
      <c r="C60" s="2" t="s">
        <v>335</v>
      </c>
      <c r="D60" s="30" t="s">
        <v>3318</v>
      </c>
      <c r="E60" s="26" t="s">
        <v>3408</v>
      </c>
      <c r="F60" s="26" t="s">
        <v>3409</v>
      </c>
      <c r="G60" s="2"/>
    </row>
    <row r="61" spans="1:7" ht="20.25" customHeight="1">
      <c r="A61" s="543"/>
      <c r="B61" s="543"/>
      <c r="C61" s="2" t="s">
        <v>1704</v>
      </c>
      <c r="D61" s="30" t="s">
        <v>2972</v>
      </c>
      <c r="E61" s="26" t="s">
        <v>3410</v>
      </c>
      <c r="F61" s="26" t="s">
        <v>3411</v>
      </c>
      <c r="G61" s="26" t="s">
        <v>3412</v>
      </c>
    </row>
    <row r="62" spans="1:7" ht="20.25" customHeight="1">
      <c r="A62" s="543"/>
      <c r="B62" s="543"/>
      <c r="C62" s="2" t="s">
        <v>408</v>
      </c>
      <c r="D62" s="30" t="s">
        <v>2838</v>
      </c>
      <c r="E62" s="26" t="s">
        <v>3413</v>
      </c>
      <c r="F62" s="26" t="s">
        <v>3414</v>
      </c>
      <c r="G62" s="2"/>
    </row>
    <row r="63" spans="1:7" ht="34.5" customHeight="1">
      <c r="A63" s="543"/>
      <c r="B63" s="543"/>
      <c r="C63" s="2" t="s">
        <v>408</v>
      </c>
      <c r="D63" s="30" t="s">
        <v>2829</v>
      </c>
      <c r="E63" s="135" t="s">
        <v>3415</v>
      </c>
      <c r="F63" s="135" t="s">
        <v>3416</v>
      </c>
      <c r="G63" s="2"/>
    </row>
    <row r="64" spans="1:7" ht="53.25" customHeight="1">
      <c r="A64" s="543"/>
      <c r="B64" s="543"/>
      <c r="C64" s="2" t="s">
        <v>731</v>
      </c>
      <c r="D64" s="30" t="s">
        <v>2829</v>
      </c>
      <c r="E64" s="26" t="s">
        <v>3417</v>
      </c>
      <c r="F64" s="26" t="s">
        <v>3418</v>
      </c>
      <c r="G64" s="26" t="s">
        <v>3419</v>
      </c>
    </row>
    <row r="65" spans="1:7" ht="30.75" customHeight="1">
      <c r="A65" s="543"/>
      <c r="B65" s="543"/>
      <c r="C65" s="2" t="s">
        <v>2757</v>
      </c>
      <c r="D65" s="30" t="s">
        <v>2838</v>
      </c>
      <c r="E65" s="26" t="s">
        <v>3420</v>
      </c>
      <c r="F65" s="26" t="s">
        <v>3421</v>
      </c>
      <c r="G65" s="2"/>
    </row>
    <row r="66" spans="1:7" ht="30.75" customHeight="1">
      <c r="A66" s="543"/>
      <c r="B66" s="543"/>
      <c r="C66" s="2" t="s">
        <v>2757</v>
      </c>
      <c r="D66" s="30" t="s">
        <v>2829</v>
      </c>
      <c r="E66" s="26" t="s">
        <v>3422</v>
      </c>
      <c r="F66" s="26" t="s">
        <v>3423</v>
      </c>
      <c r="G66" s="2"/>
    </row>
    <row r="67" spans="1:7" ht="20.25" customHeight="1">
      <c r="A67" s="543"/>
      <c r="B67" s="543"/>
      <c r="C67" s="2" t="s">
        <v>3366</v>
      </c>
      <c r="D67" s="30" t="s">
        <v>2972</v>
      </c>
      <c r="E67" s="26" t="s">
        <v>3424</v>
      </c>
      <c r="F67" s="26" t="s">
        <v>3425</v>
      </c>
      <c r="G67" s="2"/>
    </row>
    <row r="68" spans="1:7" ht="20.25" customHeight="1">
      <c r="A68" s="543"/>
      <c r="B68" s="543"/>
      <c r="C68" s="2" t="s">
        <v>751</v>
      </c>
      <c r="D68" s="30" t="s">
        <v>2972</v>
      </c>
      <c r="E68" s="26" t="s">
        <v>3424</v>
      </c>
      <c r="F68" s="26" t="s">
        <v>3426</v>
      </c>
      <c r="G68" s="2"/>
    </row>
    <row r="69" spans="1:7" ht="28.5" customHeight="1">
      <c r="A69" s="543"/>
      <c r="B69" s="543"/>
      <c r="C69" s="2" t="s">
        <v>1031</v>
      </c>
      <c r="D69" s="30" t="s">
        <v>3318</v>
      </c>
      <c r="E69" s="26" t="s">
        <v>3427</v>
      </c>
      <c r="F69" s="26" t="s">
        <v>3428</v>
      </c>
      <c r="G69" s="2"/>
    </row>
    <row r="70" spans="1:7" ht="50.25" customHeight="1">
      <c r="A70" s="543"/>
      <c r="B70" s="543"/>
      <c r="C70" s="2" t="s">
        <v>3336</v>
      </c>
      <c r="D70" s="30" t="s">
        <v>2829</v>
      </c>
      <c r="E70" s="26" t="s">
        <v>3429</v>
      </c>
      <c r="F70" s="26" t="s">
        <v>3430</v>
      </c>
      <c r="G70" s="26" t="s">
        <v>3431</v>
      </c>
    </row>
    <row r="71" spans="1:7" ht="20.25" customHeight="1">
      <c r="A71" s="565" t="s">
        <v>3432</v>
      </c>
      <c r="B71" s="560" t="s">
        <v>3433</v>
      </c>
      <c r="C71" s="2" t="s">
        <v>3434</v>
      </c>
      <c r="D71" s="30" t="s">
        <v>2829</v>
      </c>
      <c r="E71" s="26" t="s">
        <v>3435</v>
      </c>
      <c r="F71" s="26" t="s">
        <v>3436</v>
      </c>
      <c r="G71" s="2"/>
    </row>
    <row r="72" spans="1:7" ht="20.25" customHeight="1">
      <c r="A72" s="565"/>
      <c r="B72" s="560"/>
      <c r="C72" s="2" t="s">
        <v>2757</v>
      </c>
      <c r="D72" s="30" t="s">
        <v>2838</v>
      </c>
      <c r="E72" s="26" t="s">
        <v>3420</v>
      </c>
      <c r="F72" s="26" t="s">
        <v>3437</v>
      </c>
      <c r="G72" s="2"/>
    </row>
    <row r="73" spans="1:7" ht="20.25" customHeight="1">
      <c r="A73" s="565"/>
      <c r="B73" s="560"/>
      <c r="C73" s="2" t="s">
        <v>2757</v>
      </c>
      <c r="D73" s="30" t="s">
        <v>2838</v>
      </c>
      <c r="E73" s="26" t="s">
        <v>3438</v>
      </c>
      <c r="F73" s="26" t="s">
        <v>3439</v>
      </c>
      <c r="G73" s="2"/>
    </row>
    <row r="74" spans="1:7" ht="20.25" customHeight="1">
      <c r="A74" s="565"/>
      <c r="B74" s="560"/>
      <c r="C74" s="2" t="s">
        <v>408</v>
      </c>
      <c r="D74" s="30" t="s">
        <v>2829</v>
      </c>
      <c r="E74" s="26" t="s">
        <v>3440</v>
      </c>
      <c r="F74" s="26" t="s">
        <v>3441</v>
      </c>
      <c r="G74" s="2" t="s">
        <v>3442</v>
      </c>
    </row>
    <row r="75" spans="1:7" ht="20.25" customHeight="1">
      <c r="A75" s="565"/>
      <c r="B75" s="560"/>
      <c r="C75" s="2" t="s">
        <v>678</v>
      </c>
      <c r="D75" s="30" t="s">
        <v>3318</v>
      </c>
      <c r="E75" s="26" t="s">
        <v>3443</v>
      </c>
      <c r="F75" s="26" t="s">
        <v>3444</v>
      </c>
      <c r="G75" s="2"/>
    </row>
    <row r="76" spans="1:7" ht="20.25" customHeight="1">
      <c r="A76" s="565"/>
      <c r="B76" s="560"/>
      <c r="C76" s="2" t="s">
        <v>678</v>
      </c>
      <c r="D76" s="30" t="s">
        <v>3318</v>
      </c>
      <c r="E76" s="26" t="s">
        <v>3445</v>
      </c>
      <c r="F76" s="26" t="s">
        <v>3446</v>
      </c>
      <c r="G76" s="2" t="s">
        <v>3447</v>
      </c>
    </row>
    <row r="77" spans="1:7" ht="20.25" customHeight="1">
      <c r="A77" s="565"/>
      <c r="B77" s="560"/>
      <c r="C77" s="2" t="s">
        <v>335</v>
      </c>
      <c r="D77" s="30" t="s">
        <v>3318</v>
      </c>
      <c r="E77" s="26" t="s">
        <v>3448</v>
      </c>
      <c r="F77" s="26" t="s">
        <v>3449</v>
      </c>
      <c r="G77" s="2"/>
    </row>
    <row r="78" spans="1:7" ht="20.25" customHeight="1">
      <c r="A78" s="565"/>
      <c r="B78" s="560"/>
      <c r="C78" s="2" t="s">
        <v>983</v>
      </c>
      <c r="D78" s="30" t="s">
        <v>3276</v>
      </c>
      <c r="E78" s="26" t="s">
        <v>3450</v>
      </c>
      <c r="F78" s="26" t="s">
        <v>3451</v>
      </c>
      <c r="G78" s="2" t="s">
        <v>3452</v>
      </c>
    </row>
    <row r="79" spans="1:7" ht="20.25" customHeight="1">
      <c r="A79" s="565"/>
      <c r="B79" s="560"/>
      <c r="C79" s="2" t="s">
        <v>3453</v>
      </c>
      <c r="D79" s="30" t="s">
        <v>2829</v>
      </c>
      <c r="E79" s="26" t="s">
        <v>3454</v>
      </c>
      <c r="F79" s="26" t="s">
        <v>3455</v>
      </c>
      <c r="G79" s="2" t="s">
        <v>3456</v>
      </c>
    </row>
    <row r="80" spans="1:7" ht="20.25" customHeight="1">
      <c r="A80" s="565"/>
      <c r="B80" s="560"/>
      <c r="C80" s="2" t="s">
        <v>1031</v>
      </c>
      <c r="D80" s="30" t="s">
        <v>2829</v>
      </c>
      <c r="E80" s="26" t="s">
        <v>3457</v>
      </c>
      <c r="F80" s="26" t="s">
        <v>3458</v>
      </c>
      <c r="G80" s="2" t="s">
        <v>3459</v>
      </c>
    </row>
    <row r="81" spans="1:7" ht="20.25" customHeight="1">
      <c r="A81" s="565"/>
      <c r="B81" s="560"/>
      <c r="C81" s="2" t="s">
        <v>1481</v>
      </c>
      <c r="D81" s="30" t="s">
        <v>2829</v>
      </c>
      <c r="E81" s="26" t="s">
        <v>3460</v>
      </c>
      <c r="F81" s="26" t="s">
        <v>3461</v>
      </c>
      <c r="G81" s="2" t="s">
        <v>3462</v>
      </c>
    </row>
    <row r="82" spans="1:7" ht="20.25" customHeight="1">
      <c r="A82" s="543" t="s">
        <v>3463</v>
      </c>
      <c r="B82" s="560" t="s">
        <v>3433</v>
      </c>
      <c r="C82" s="2" t="s">
        <v>3464</v>
      </c>
      <c r="D82" s="30" t="s">
        <v>3269</v>
      </c>
      <c r="E82" s="26" t="s">
        <v>3465</v>
      </c>
      <c r="F82" s="26" t="s">
        <v>3466</v>
      </c>
      <c r="G82" s="2" t="s">
        <v>3467</v>
      </c>
    </row>
    <row r="83" spans="1:7" ht="20.25" customHeight="1">
      <c r="A83" s="543"/>
      <c r="B83" s="560"/>
      <c r="C83" s="2" t="s">
        <v>408</v>
      </c>
      <c r="D83" s="30" t="s">
        <v>2824</v>
      </c>
      <c r="E83" s="26" t="s">
        <v>3468</v>
      </c>
      <c r="F83" s="26" t="s">
        <v>3469</v>
      </c>
      <c r="G83" s="2" t="s">
        <v>3470</v>
      </c>
    </row>
    <row r="84" spans="1:7" ht="20.25" customHeight="1">
      <c r="A84" s="543"/>
      <c r="B84" s="560"/>
      <c r="C84" s="2" t="s">
        <v>1481</v>
      </c>
      <c r="D84" s="30" t="s">
        <v>2824</v>
      </c>
      <c r="E84" s="26" t="s">
        <v>3471</v>
      </c>
      <c r="F84" s="26" t="s">
        <v>3472</v>
      </c>
      <c r="G84" s="2"/>
    </row>
    <row r="85" spans="1:7" ht="20.25" customHeight="1">
      <c r="A85" s="543"/>
      <c r="B85" s="560"/>
      <c r="C85" s="2" t="s">
        <v>751</v>
      </c>
      <c r="D85" s="30" t="s">
        <v>2829</v>
      </c>
      <c r="E85" s="26" t="s">
        <v>3473</v>
      </c>
      <c r="F85" s="26" t="s">
        <v>3474</v>
      </c>
      <c r="G85" s="2"/>
    </row>
    <row r="86" spans="1:7" ht="20.25" customHeight="1">
      <c r="A86" s="543"/>
      <c r="B86" s="560"/>
      <c r="C86" s="136" t="s">
        <v>1832</v>
      </c>
      <c r="D86" s="30" t="s">
        <v>2972</v>
      </c>
      <c r="E86" s="137" t="s">
        <v>3475</v>
      </c>
      <c r="F86" s="2" t="s">
        <v>3476</v>
      </c>
      <c r="G86" s="2" t="s">
        <v>3477</v>
      </c>
    </row>
    <row r="87" spans="1:7" ht="20.25" customHeight="1">
      <c r="A87" s="543"/>
      <c r="B87" s="560"/>
      <c r="C87" s="136" t="s">
        <v>1839</v>
      </c>
      <c r="D87" s="30" t="s">
        <v>2972</v>
      </c>
      <c r="E87" s="137" t="s">
        <v>3478</v>
      </c>
      <c r="F87" s="2" t="s">
        <v>3479</v>
      </c>
      <c r="G87" s="2" t="s">
        <v>3477</v>
      </c>
    </row>
    <row r="88" spans="1:7" ht="20.25" customHeight="1">
      <c r="A88" s="543"/>
      <c r="B88" s="560"/>
      <c r="C88" s="136" t="s">
        <v>1847</v>
      </c>
      <c r="D88" s="30" t="s">
        <v>2972</v>
      </c>
      <c r="E88" s="137" t="s">
        <v>3480</v>
      </c>
      <c r="F88" s="2" t="s">
        <v>3476</v>
      </c>
      <c r="G88" s="142" t="s">
        <v>3477</v>
      </c>
    </row>
    <row r="89" spans="1:7" ht="20.25" customHeight="1">
      <c r="A89" s="543"/>
      <c r="B89" s="560"/>
      <c r="C89" s="136" t="s">
        <v>1857</v>
      </c>
      <c r="D89" s="30" t="s">
        <v>2972</v>
      </c>
      <c r="E89" s="137" t="s">
        <v>3481</v>
      </c>
      <c r="F89" s="2" t="s">
        <v>3476</v>
      </c>
      <c r="G89" s="2" t="s">
        <v>3477</v>
      </c>
    </row>
    <row r="90" spans="1:7" ht="20.25" customHeight="1">
      <c r="A90" s="543"/>
      <c r="B90" s="560"/>
      <c r="C90" s="136" t="s">
        <v>1866</v>
      </c>
      <c r="D90" s="30" t="s">
        <v>2972</v>
      </c>
      <c r="E90" s="137" t="s">
        <v>3482</v>
      </c>
      <c r="F90" s="2" t="s">
        <v>3483</v>
      </c>
      <c r="G90" s="143" t="s">
        <v>3477</v>
      </c>
    </row>
    <row r="91" spans="1:7" ht="20.25" customHeight="1">
      <c r="A91" s="543"/>
      <c r="B91" s="560"/>
      <c r="C91" s="136" t="s">
        <v>1874</v>
      </c>
      <c r="D91" s="30" t="s">
        <v>2972</v>
      </c>
      <c r="E91" s="137" t="s">
        <v>3484</v>
      </c>
      <c r="F91" s="2" t="s">
        <v>3476</v>
      </c>
      <c r="G91" s="142" t="s">
        <v>3477</v>
      </c>
    </row>
    <row r="92" spans="1:7" ht="20.25" customHeight="1">
      <c r="A92" s="543"/>
      <c r="B92" s="560"/>
      <c r="C92" s="136" t="s">
        <v>1882</v>
      </c>
      <c r="D92" s="30" t="s">
        <v>2972</v>
      </c>
      <c r="E92" s="137" t="s">
        <v>3485</v>
      </c>
      <c r="F92" s="2" t="s">
        <v>3486</v>
      </c>
      <c r="G92" s="2"/>
    </row>
    <row r="93" spans="1:7" ht="20.25" customHeight="1">
      <c r="A93" s="543"/>
      <c r="B93" s="560"/>
      <c r="C93" s="136" t="s">
        <v>1889</v>
      </c>
      <c r="D93" s="30" t="s">
        <v>2972</v>
      </c>
      <c r="E93" s="137" t="s">
        <v>3487</v>
      </c>
      <c r="F93" s="141" t="s">
        <v>3368</v>
      </c>
      <c r="G93" s="2" t="s">
        <v>3477</v>
      </c>
    </row>
    <row r="94" spans="1:7" ht="20.25" customHeight="1">
      <c r="A94" s="543"/>
      <c r="B94" s="560"/>
      <c r="C94" s="136" t="s">
        <v>1898</v>
      </c>
      <c r="D94" s="30" t="s">
        <v>2972</v>
      </c>
      <c r="E94" s="26" t="s">
        <v>3488</v>
      </c>
      <c r="F94" s="26" t="s">
        <v>3483</v>
      </c>
      <c r="G94" s="143" t="s">
        <v>3477</v>
      </c>
    </row>
    <row r="95" spans="1:7" ht="20.25" customHeight="1">
      <c r="A95" s="543"/>
      <c r="B95" s="560"/>
      <c r="C95" s="137" t="s">
        <v>2667</v>
      </c>
      <c r="D95" s="30" t="s">
        <v>2972</v>
      </c>
      <c r="E95" s="26" t="s">
        <v>3489</v>
      </c>
      <c r="F95" s="2" t="s">
        <v>3476</v>
      </c>
      <c r="G95" s="142" t="s">
        <v>3477</v>
      </c>
    </row>
    <row r="96" spans="1:7" ht="20.25" customHeight="1">
      <c r="A96" s="543"/>
      <c r="B96" s="560"/>
      <c r="C96" s="137" t="s">
        <v>3490</v>
      </c>
      <c r="D96" s="30" t="s">
        <v>2972</v>
      </c>
      <c r="E96" s="26" t="s">
        <v>3489</v>
      </c>
      <c r="F96" s="2" t="s">
        <v>3476</v>
      </c>
      <c r="G96" s="142" t="s">
        <v>3477</v>
      </c>
    </row>
    <row r="97" spans="1:7" ht="20.25" customHeight="1">
      <c r="A97" s="543" t="s">
        <v>3491</v>
      </c>
      <c r="B97" s="560" t="s">
        <v>3433</v>
      </c>
      <c r="C97" s="2" t="s">
        <v>751</v>
      </c>
      <c r="D97" s="30" t="s">
        <v>2972</v>
      </c>
      <c r="E97" s="26" t="s">
        <v>3492</v>
      </c>
      <c r="F97" s="26" t="s">
        <v>3493</v>
      </c>
      <c r="G97" s="2"/>
    </row>
    <row r="98" spans="1:7" ht="20.25" customHeight="1">
      <c r="A98" s="543"/>
      <c r="B98" s="560"/>
      <c r="C98" s="2" t="s">
        <v>1704</v>
      </c>
      <c r="D98" s="30" t="s">
        <v>2972</v>
      </c>
      <c r="E98" s="26" t="s">
        <v>3494</v>
      </c>
      <c r="F98" s="26" t="s">
        <v>3495</v>
      </c>
      <c r="G98" s="2"/>
    </row>
    <row r="99" spans="1:7" ht="20.25" customHeight="1">
      <c r="A99" s="543"/>
      <c r="B99" s="560"/>
      <c r="C99" s="2" t="s">
        <v>2034</v>
      </c>
      <c r="D99" s="30" t="s">
        <v>2972</v>
      </c>
      <c r="E99" s="26" t="s">
        <v>3496</v>
      </c>
      <c r="F99" s="26" t="s">
        <v>3497</v>
      </c>
      <c r="G99" s="2"/>
    </row>
    <row r="100" spans="1:7" ht="20.25" customHeight="1">
      <c r="A100" s="543"/>
      <c r="B100" s="560"/>
      <c r="C100" s="2" t="s">
        <v>3498</v>
      </c>
      <c r="D100" s="30" t="s">
        <v>2972</v>
      </c>
      <c r="E100" s="26" t="s">
        <v>3499</v>
      </c>
      <c r="F100" s="26" t="s">
        <v>3500</v>
      </c>
      <c r="G100" s="142" t="s">
        <v>3477</v>
      </c>
    </row>
    <row r="101" spans="1:7" ht="27.75" customHeight="1">
      <c r="A101" s="543"/>
      <c r="B101" s="560"/>
      <c r="C101" s="2" t="s">
        <v>657</v>
      </c>
      <c r="D101" s="30" t="s">
        <v>3318</v>
      </c>
      <c r="E101" s="26" t="s">
        <v>3501</v>
      </c>
      <c r="F101" s="26" t="s">
        <v>3502</v>
      </c>
      <c r="G101" s="2"/>
    </row>
    <row r="102" spans="1:7" ht="20.25" customHeight="1">
      <c r="A102" s="543"/>
      <c r="B102" s="560"/>
      <c r="C102" s="2" t="s">
        <v>3503</v>
      </c>
      <c r="D102" s="30" t="s">
        <v>2972</v>
      </c>
      <c r="E102" s="26" t="s">
        <v>3504</v>
      </c>
      <c r="F102" s="26" t="s">
        <v>3505</v>
      </c>
      <c r="G102" s="142" t="s">
        <v>3477</v>
      </c>
    </row>
    <row r="103" spans="1:7" ht="20.25" customHeight="1">
      <c r="A103" s="543" t="s">
        <v>3506</v>
      </c>
      <c r="B103" s="560"/>
      <c r="C103" s="2" t="s">
        <v>3507</v>
      </c>
      <c r="D103" s="30" t="s">
        <v>2972</v>
      </c>
      <c r="E103" s="26" t="s">
        <v>3508</v>
      </c>
      <c r="F103" s="26" t="s">
        <v>3509</v>
      </c>
      <c r="G103" s="142" t="s">
        <v>3477</v>
      </c>
    </row>
    <row r="104" spans="1:7" ht="20.25" customHeight="1">
      <c r="A104" s="543"/>
      <c r="B104" s="560"/>
      <c r="C104" s="2" t="s">
        <v>3510</v>
      </c>
      <c r="D104" s="30" t="s">
        <v>2972</v>
      </c>
      <c r="E104" s="26" t="s">
        <v>3504</v>
      </c>
      <c r="F104" s="2" t="s">
        <v>3476</v>
      </c>
      <c r="G104" s="142" t="s">
        <v>3477</v>
      </c>
    </row>
    <row r="105" spans="1:7" ht="28.5" customHeight="1">
      <c r="A105" s="543"/>
      <c r="B105" s="560"/>
      <c r="C105" s="2" t="s">
        <v>408</v>
      </c>
      <c r="D105" s="30" t="s">
        <v>2846</v>
      </c>
      <c r="E105" s="26" t="s">
        <v>3511</v>
      </c>
      <c r="F105" s="26" t="s">
        <v>3512</v>
      </c>
      <c r="G105" s="2"/>
    </row>
    <row r="106" spans="1:7" ht="20.25" customHeight="1">
      <c r="A106" s="543"/>
      <c r="B106" s="560"/>
      <c r="C106" s="2" t="s">
        <v>751</v>
      </c>
      <c r="D106" s="30" t="s">
        <v>2972</v>
      </c>
      <c r="E106" s="26" t="s">
        <v>3513</v>
      </c>
      <c r="F106" s="26" t="s">
        <v>3514</v>
      </c>
      <c r="G106" s="2"/>
    </row>
    <row r="107" spans="1:7" ht="20.25" customHeight="1">
      <c r="A107" s="543"/>
      <c r="B107" s="560"/>
      <c r="C107" s="2" t="s">
        <v>335</v>
      </c>
      <c r="D107" s="30" t="s">
        <v>2838</v>
      </c>
      <c r="E107" s="26" t="s">
        <v>3515</v>
      </c>
      <c r="F107" s="26" t="s">
        <v>3516</v>
      </c>
      <c r="G107" s="2" t="s">
        <v>3517</v>
      </c>
    </row>
    <row r="108" spans="1:7" ht="20.25" customHeight="1">
      <c r="A108" s="543"/>
      <c r="B108" s="560"/>
      <c r="C108" s="2" t="s">
        <v>1857</v>
      </c>
      <c r="D108" s="30" t="s">
        <v>2972</v>
      </c>
      <c r="E108" s="26" t="s">
        <v>3518</v>
      </c>
      <c r="F108" s="26" t="s">
        <v>3519</v>
      </c>
      <c r="G108" s="2" t="s">
        <v>3520</v>
      </c>
    </row>
    <row r="109" spans="1:7" ht="20.25" customHeight="1">
      <c r="A109" s="543"/>
      <c r="B109" s="560"/>
      <c r="C109" s="2" t="s">
        <v>1874</v>
      </c>
      <c r="D109" s="30" t="s">
        <v>2972</v>
      </c>
      <c r="E109" s="26" t="s">
        <v>3518</v>
      </c>
      <c r="F109" s="26" t="s">
        <v>3519</v>
      </c>
      <c r="G109" s="142" t="s">
        <v>3477</v>
      </c>
    </row>
    <row r="110" spans="1:7" ht="20.25" customHeight="1">
      <c r="A110" s="543"/>
      <c r="B110" s="560"/>
      <c r="C110" s="2" t="s">
        <v>3434</v>
      </c>
      <c r="D110" s="30" t="s">
        <v>2846</v>
      </c>
      <c r="E110" s="26" t="s">
        <v>3521</v>
      </c>
      <c r="F110" s="26" t="s">
        <v>3522</v>
      </c>
      <c r="G110" s="2" t="s">
        <v>3523</v>
      </c>
    </row>
    <row r="111" spans="1:7" ht="33.75" customHeight="1">
      <c r="A111" s="543" t="s">
        <v>3524</v>
      </c>
      <c r="B111" s="560" t="s">
        <v>3433</v>
      </c>
      <c r="C111" s="2" t="s">
        <v>731</v>
      </c>
      <c r="D111" s="30" t="s">
        <v>2829</v>
      </c>
      <c r="E111" s="561" t="s">
        <v>3525</v>
      </c>
      <c r="F111" s="560" t="s">
        <v>3526</v>
      </c>
      <c r="G111" s="2"/>
    </row>
    <row r="112" spans="1:7" ht="20.25" customHeight="1">
      <c r="A112" s="543"/>
      <c r="B112" s="560"/>
      <c r="C112" s="2" t="s">
        <v>408</v>
      </c>
      <c r="D112" s="30" t="s">
        <v>2829</v>
      </c>
      <c r="E112" s="561"/>
      <c r="F112" s="560"/>
      <c r="G112" s="2"/>
    </row>
    <row r="113" spans="1:7" ht="20.25" customHeight="1">
      <c r="A113" s="543"/>
      <c r="B113" s="560"/>
      <c r="C113" s="2" t="s">
        <v>1031</v>
      </c>
      <c r="D113" s="30" t="s">
        <v>2829</v>
      </c>
      <c r="E113" s="561"/>
      <c r="F113" s="560"/>
      <c r="G113" s="2"/>
    </row>
    <row r="114" spans="1:7" ht="20.25" customHeight="1">
      <c r="A114" s="543"/>
      <c r="B114" s="560"/>
      <c r="C114" s="2" t="s">
        <v>380</v>
      </c>
      <c r="D114" s="30" t="s">
        <v>2829</v>
      </c>
      <c r="E114" s="561"/>
      <c r="F114" s="560"/>
      <c r="G114" s="2"/>
    </row>
    <row r="115" spans="1:7" ht="20.25" customHeight="1">
      <c r="A115" s="543"/>
      <c r="B115" s="560"/>
      <c r="C115" s="2" t="s">
        <v>400</v>
      </c>
      <c r="D115" s="30" t="s">
        <v>2829</v>
      </c>
      <c r="E115" s="561"/>
      <c r="F115" s="560"/>
      <c r="G115" s="2"/>
    </row>
    <row r="116" spans="1:7" ht="20.25" customHeight="1">
      <c r="A116" s="543"/>
      <c r="B116" s="560"/>
      <c r="C116" s="2" t="s">
        <v>3434</v>
      </c>
      <c r="D116" s="30" t="s">
        <v>2829</v>
      </c>
      <c r="E116" s="561"/>
      <c r="F116" s="560"/>
      <c r="G116" s="2"/>
    </row>
    <row r="117" spans="1:7" ht="38.25" customHeight="1">
      <c r="A117" s="543"/>
      <c r="B117" s="560"/>
      <c r="C117" s="2" t="s">
        <v>1866</v>
      </c>
      <c r="D117" s="30" t="s">
        <v>2972</v>
      </c>
      <c r="E117" s="26" t="s">
        <v>2972</v>
      </c>
      <c r="F117" s="26" t="s">
        <v>3527</v>
      </c>
      <c r="G117" s="2" t="s">
        <v>3528</v>
      </c>
    </row>
    <row r="118" spans="1:7" ht="20.25" customHeight="1">
      <c r="A118" s="543"/>
      <c r="B118" s="560"/>
      <c r="C118" s="2" t="s">
        <v>2757</v>
      </c>
      <c r="D118" s="30" t="s">
        <v>2829</v>
      </c>
      <c r="E118" s="26" t="s">
        <v>3529</v>
      </c>
      <c r="F118" s="26" t="s">
        <v>3530</v>
      </c>
      <c r="G118" s="2" t="s">
        <v>3531</v>
      </c>
    </row>
    <row r="119" spans="1:7" ht="20.25" customHeight="1">
      <c r="A119" s="543"/>
      <c r="B119" s="560"/>
      <c r="C119" s="2" t="s">
        <v>3434</v>
      </c>
      <c r="D119" s="30" t="s">
        <v>2829</v>
      </c>
      <c r="E119" s="26" t="s">
        <v>3532</v>
      </c>
      <c r="F119" s="26" t="s">
        <v>3533</v>
      </c>
      <c r="G119" s="2" t="s">
        <v>3534</v>
      </c>
    </row>
    <row r="120" spans="1:7" ht="20.25" customHeight="1">
      <c r="A120" s="543"/>
      <c r="B120" s="560"/>
      <c r="C120" s="2" t="s">
        <v>3535</v>
      </c>
      <c r="D120" s="30" t="s">
        <v>2972</v>
      </c>
      <c r="E120" s="26" t="s">
        <v>2972</v>
      </c>
      <c r="F120" s="26" t="s">
        <v>3536</v>
      </c>
      <c r="G120" s="2"/>
    </row>
    <row r="121" spans="1:7" ht="20.25" customHeight="1">
      <c r="A121" s="543"/>
      <c r="B121" s="560"/>
      <c r="C121" s="2" t="s">
        <v>3537</v>
      </c>
      <c r="D121" s="30" t="s">
        <v>2972</v>
      </c>
      <c r="E121" s="26" t="s">
        <v>2972</v>
      </c>
      <c r="F121" s="26" t="s">
        <v>3538</v>
      </c>
      <c r="G121" s="2"/>
    </row>
    <row r="122" spans="1:7" ht="20.25" customHeight="1">
      <c r="A122" s="543"/>
      <c r="B122" s="560"/>
      <c r="C122" s="2" t="s">
        <v>1857</v>
      </c>
      <c r="D122" s="30" t="s">
        <v>2972</v>
      </c>
      <c r="E122" s="26" t="s">
        <v>2972</v>
      </c>
      <c r="F122" s="26" t="s">
        <v>3539</v>
      </c>
      <c r="G122" s="2"/>
    </row>
    <row r="123" spans="1:7" ht="20.25" customHeight="1">
      <c r="A123" s="543"/>
      <c r="B123" s="560"/>
      <c r="C123" s="2" t="s">
        <v>2757</v>
      </c>
      <c r="D123" s="30" t="s">
        <v>2829</v>
      </c>
      <c r="E123" s="26" t="s">
        <v>3540</v>
      </c>
      <c r="F123" s="26" t="s">
        <v>3541</v>
      </c>
      <c r="G123" s="2"/>
    </row>
    <row r="124" spans="1:7" ht="20.25" customHeight="1">
      <c r="A124" s="543"/>
      <c r="B124" s="560"/>
      <c r="C124" s="2" t="s">
        <v>1031</v>
      </c>
      <c r="D124" s="30" t="s">
        <v>2829</v>
      </c>
      <c r="E124" s="26" t="s">
        <v>3542</v>
      </c>
      <c r="F124" s="26" t="s">
        <v>3543</v>
      </c>
      <c r="G124" s="2"/>
    </row>
    <row r="125" spans="1:7" ht="20.25" customHeight="1">
      <c r="A125" s="543"/>
      <c r="B125" s="560"/>
      <c r="C125" s="2" t="s">
        <v>400</v>
      </c>
      <c r="D125" s="30" t="s">
        <v>2829</v>
      </c>
      <c r="E125" s="26" t="s">
        <v>3542</v>
      </c>
      <c r="F125" s="26" t="s">
        <v>3544</v>
      </c>
      <c r="G125" s="2"/>
    </row>
    <row r="126" spans="1:7" ht="20.25" customHeight="1">
      <c r="A126" s="543"/>
      <c r="B126" s="560"/>
      <c r="C126" s="2" t="s">
        <v>408</v>
      </c>
      <c r="D126" s="30" t="s">
        <v>2829</v>
      </c>
      <c r="E126" s="26" t="s">
        <v>3545</v>
      </c>
      <c r="F126" s="26" t="s">
        <v>3546</v>
      </c>
      <c r="G126" s="2" t="s">
        <v>3547</v>
      </c>
    </row>
    <row r="127" spans="1:7" ht="48" customHeight="1">
      <c r="A127" s="543"/>
      <c r="B127" s="560"/>
      <c r="C127" s="2" t="s">
        <v>3548</v>
      </c>
      <c r="D127" s="2" t="s">
        <v>2829</v>
      </c>
      <c r="E127" s="26" t="s">
        <v>3549</v>
      </c>
      <c r="F127" s="26" t="s">
        <v>3550</v>
      </c>
      <c r="G127" s="2"/>
    </row>
    <row r="128" spans="1:7" ht="20.25" customHeight="1">
      <c r="A128" s="543" t="s">
        <v>3551</v>
      </c>
      <c r="B128" s="543" t="s">
        <v>3433</v>
      </c>
      <c r="C128" s="2" t="s">
        <v>2667</v>
      </c>
      <c r="D128" s="30" t="s">
        <v>2972</v>
      </c>
      <c r="E128" s="26" t="s">
        <v>3552</v>
      </c>
      <c r="F128" s="26" t="s">
        <v>3553</v>
      </c>
      <c r="G128" s="2"/>
    </row>
    <row r="129" spans="1:7" ht="20.25" customHeight="1">
      <c r="A129" s="543"/>
      <c r="B129" s="543"/>
      <c r="C129" s="2" t="s">
        <v>1031</v>
      </c>
      <c r="D129" s="30" t="s">
        <v>2817</v>
      </c>
      <c r="E129" s="26" t="s">
        <v>3554</v>
      </c>
      <c r="F129" s="26" t="s">
        <v>3555</v>
      </c>
      <c r="G129" s="2"/>
    </row>
    <row r="130" spans="1:7" ht="20.25" customHeight="1">
      <c r="A130" s="543"/>
      <c r="B130" s="543"/>
      <c r="C130" s="2" t="s">
        <v>751</v>
      </c>
      <c r="D130" s="30" t="s">
        <v>2972</v>
      </c>
      <c r="E130" s="26" t="s">
        <v>3556</v>
      </c>
      <c r="F130" s="26" t="s">
        <v>3557</v>
      </c>
      <c r="G130" s="2"/>
    </row>
    <row r="131" spans="1:7" ht="20.25" customHeight="1">
      <c r="A131" s="543"/>
      <c r="B131" s="543"/>
      <c r="C131" s="2" t="s">
        <v>2757</v>
      </c>
      <c r="D131" s="30" t="s">
        <v>2838</v>
      </c>
      <c r="E131" s="26" t="s">
        <v>3558</v>
      </c>
      <c r="F131" s="26" t="s">
        <v>3559</v>
      </c>
      <c r="G131" s="2" t="s">
        <v>3560</v>
      </c>
    </row>
    <row r="132" spans="1:7" ht="20.25" customHeight="1">
      <c r="A132" s="543"/>
      <c r="B132" s="543"/>
      <c r="C132" s="2" t="s">
        <v>2635</v>
      </c>
      <c r="D132" s="30" t="s">
        <v>2972</v>
      </c>
      <c r="E132" s="26" t="s">
        <v>3561</v>
      </c>
      <c r="F132" s="26"/>
      <c r="G132" s="2"/>
    </row>
    <row r="133" spans="1:7" ht="20.25" customHeight="1">
      <c r="A133" s="543"/>
      <c r="B133" s="543"/>
      <c r="C133" s="2" t="s">
        <v>3562</v>
      </c>
      <c r="D133" s="30" t="s">
        <v>2972</v>
      </c>
      <c r="E133" s="26" t="s">
        <v>3561</v>
      </c>
      <c r="F133" s="26"/>
      <c r="G133" s="2"/>
    </row>
    <row r="134" spans="1:7" ht="20.25" customHeight="1">
      <c r="A134" s="543"/>
      <c r="B134" s="543"/>
      <c r="C134" s="2" t="s">
        <v>3563</v>
      </c>
      <c r="D134" s="30" t="s">
        <v>2972</v>
      </c>
      <c r="E134" s="26" t="s">
        <v>3561</v>
      </c>
      <c r="F134" s="26"/>
      <c r="G134" s="2"/>
    </row>
    <row r="135" spans="1:7" ht="20.25" customHeight="1">
      <c r="A135" s="543"/>
      <c r="B135" s="543"/>
      <c r="C135" s="2" t="s">
        <v>3564</v>
      </c>
      <c r="D135" s="30" t="s">
        <v>2972</v>
      </c>
      <c r="E135" s="26" t="s">
        <v>3561</v>
      </c>
      <c r="F135" s="26"/>
      <c r="G135" s="2"/>
    </row>
    <row r="136" spans="1:7" ht="20.25" customHeight="1">
      <c r="A136" s="543"/>
      <c r="B136" s="543"/>
      <c r="C136" s="2" t="s">
        <v>3565</v>
      </c>
      <c r="D136" s="30" t="s">
        <v>2972</v>
      </c>
      <c r="E136" s="26" t="s">
        <v>3561</v>
      </c>
      <c r="F136" s="26"/>
      <c r="G136" s="2"/>
    </row>
    <row r="137" spans="1:7" ht="20.25" customHeight="1">
      <c r="A137" s="543"/>
      <c r="B137" s="543"/>
      <c r="C137" s="2" t="s">
        <v>2757</v>
      </c>
      <c r="D137" s="30" t="s">
        <v>2829</v>
      </c>
      <c r="E137" s="26" t="s">
        <v>3566</v>
      </c>
      <c r="F137" s="26" t="s">
        <v>3567</v>
      </c>
      <c r="G137" s="2"/>
    </row>
    <row r="138" spans="1:7" ht="42.75" customHeight="1">
      <c r="A138" s="543"/>
      <c r="B138" s="543"/>
      <c r="C138" s="2" t="s">
        <v>1031</v>
      </c>
      <c r="D138" s="30" t="s">
        <v>2838</v>
      </c>
      <c r="E138" s="26" t="s">
        <v>2839</v>
      </c>
      <c r="F138" s="26" t="s">
        <v>3568</v>
      </c>
      <c r="G138" s="26" t="s">
        <v>3569</v>
      </c>
    </row>
    <row r="139" spans="1:7" ht="47.25" customHeight="1">
      <c r="A139" s="543" t="s">
        <v>3570</v>
      </c>
      <c r="B139" s="543" t="s">
        <v>3433</v>
      </c>
      <c r="C139" s="2" t="s">
        <v>2757</v>
      </c>
      <c r="D139" s="30" t="s">
        <v>2972</v>
      </c>
      <c r="E139" s="26" t="s">
        <v>3571</v>
      </c>
      <c r="F139" s="26" t="s">
        <v>3572</v>
      </c>
      <c r="G139" s="2"/>
    </row>
    <row r="140" spans="1:7" ht="20.25" customHeight="1">
      <c r="A140" s="543"/>
      <c r="B140" s="543"/>
      <c r="C140" s="2" t="s">
        <v>3573</v>
      </c>
      <c r="D140" s="30" t="s">
        <v>2972</v>
      </c>
      <c r="E140" s="26" t="s">
        <v>3574</v>
      </c>
      <c r="F140" s="26" t="s">
        <v>3575</v>
      </c>
      <c r="G140" s="2"/>
    </row>
    <row r="141" spans="1:7" ht="20.25" customHeight="1">
      <c r="A141" s="543"/>
      <c r="B141" s="543"/>
      <c r="C141" s="2" t="s">
        <v>3576</v>
      </c>
      <c r="D141" s="30" t="s">
        <v>2972</v>
      </c>
      <c r="E141" s="26" t="s">
        <v>3574</v>
      </c>
      <c r="F141" s="26" t="s">
        <v>3575</v>
      </c>
      <c r="G141" s="2"/>
    </row>
    <row r="142" spans="1:7" ht="20.25" customHeight="1">
      <c r="A142" s="543"/>
      <c r="B142" s="543"/>
      <c r="C142" s="2" t="s">
        <v>1931</v>
      </c>
      <c r="D142" s="30" t="s">
        <v>2972</v>
      </c>
      <c r="E142" s="26" t="s">
        <v>3577</v>
      </c>
      <c r="F142" s="26" t="s">
        <v>3578</v>
      </c>
      <c r="G142" s="2"/>
    </row>
    <row r="143" spans="1:7" ht="20.25" customHeight="1">
      <c r="A143" s="543"/>
      <c r="B143" s="543"/>
      <c r="C143" s="2" t="s">
        <v>343</v>
      </c>
      <c r="D143" s="30" t="s">
        <v>3318</v>
      </c>
      <c r="E143" s="26" t="s">
        <v>3579</v>
      </c>
      <c r="F143" s="26" t="s">
        <v>3580</v>
      </c>
      <c r="G143" s="2"/>
    </row>
    <row r="144" spans="1:7" ht="20.25" customHeight="1">
      <c r="A144" s="543"/>
      <c r="B144" s="543"/>
      <c r="C144" s="2" t="s">
        <v>3434</v>
      </c>
      <c r="D144" s="30" t="s">
        <v>2829</v>
      </c>
      <c r="E144" s="26" t="s">
        <v>3581</v>
      </c>
      <c r="F144" s="26" t="s">
        <v>3582</v>
      </c>
      <c r="G144" s="2"/>
    </row>
    <row r="145" spans="1:7" ht="66.75" customHeight="1">
      <c r="A145" s="543"/>
      <c r="B145" s="543"/>
      <c r="C145" s="2" t="s">
        <v>3573</v>
      </c>
      <c r="D145" s="30" t="s">
        <v>2972</v>
      </c>
      <c r="E145" s="26" t="s">
        <v>3583</v>
      </c>
      <c r="F145" s="26" t="s">
        <v>3584</v>
      </c>
      <c r="G145" s="2"/>
    </row>
    <row r="146" spans="1:7" ht="30" customHeight="1">
      <c r="A146" s="543"/>
      <c r="B146" s="543"/>
      <c r="C146" s="2" t="s">
        <v>408</v>
      </c>
      <c r="D146" s="30" t="s">
        <v>2838</v>
      </c>
      <c r="E146" s="26" t="s">
        <v>3585</v>
      </c>
      <c r="F146" s="26" t="s">
        <v>3586</v>
      </c>
      <c r="G146" s="104" t="s">
        <v>3587</v>
      </c>
    </row>
    <row r="147" spans="1:7" ht="35.25" customHeight="1">
      <c r="A147" s="543"/>
      <c r="B147" s="543"/>
      <c r="C147" s="2" t="s">
        <v>1031</v>
      </c>
      <c r="D147" s="30" t="s">
        <v>2838</v>
      </c>
      <c r="E147" s="26" t="s">
        <v>3588</v>
      </c>
      <c r="F147" s="26" t="s">
        <v>3589</v>
      </c>
      <c r="G147" s="2"/>
    </row>
    <row r="148" spans="1:7" ht="20.25" customHeight="1">
      <c r="A148" s="543"/>
      <c r="B148" s="543"/>
      <c r="C148" s="2" t="s">
        <v>3590</v>
      </c>
      <c r="D148" s="30" t="s">
        <v>2972</v>
      </c>
      <c r="E148" s="26" t="s">
        <v>3577</v>
      </c>
      <c r="F148" s="26" t="s">
        <v>3578</v>
      </c>
      <c r="G148" s="2"/>
    </row>
    <row r="149" spans="1:7" ht="20.25" customHeight="1">
      <c r="A149" s="562" t="s">
        <v>3591</v>
      </c>
      <c r="B149" s="543" t="s">
        <v>3433</v>
      </c>
      <c r="C149" s="2" t="s">
        <v>2635</v>
      </c>
      <c r="D149" s="30" t="s">
        <v>3265</v>
      </c>
      <c r="E149" s="26" t="s">
        <v>3592</v>
      </c>
      <c r="F149" s="26" t="s">
        <v>3593</v>
      </c>
      <c r="G149" s="2"/>
    </row>
    <row r="150" spans="1:7" ht="20.25" customHeight="1">
      <c r="A150" s="562"/>
      <c r="B150" s="543"/>
      <c r="C150" s="2" t="s">
        <v>3594</v>
      </c>
      <c r="D150" s="2" t="s">
        <v>2829</v>
      </c>
      <c r="E150" s="26" t="s">
        <v>3595</v>
      </c>
      <c r="F150" s="26" t="s">
        <v>3596</v>
      </c>
      <c r="G150" s="2"/>
    </row>
    <row r="151" spans="1:7" ht="20.25" customHeight="1">
      <c r="A151" s="562"/>
      <c r="B151" s="543"/>
      <c r="C151" s="2" t="s">
        <v>3597</v>
      </c>
      <c r="D151" s="30" t="s">
        <v>2972</v>
      </c>
      <c r="E151" s="26" t="s">
        <v>3598</v>
      </c>
      <c r="F151" s="26" t="s">
        <v>3599</v>
      </c>
      <c r="G151" s="142" t="s">
        <v>3600</v>
      </c>
    </row>
    <row r="152" spans="1:7" ht="20.25" customHeight="1">
      <c r="A152" s="562"/>
      <c r="B152" s="543"/>
      <c r="C152" s="2" t="s">
        <v>3601</v>
      </c>
      <c r="D152" s="30" t="s">
        <v>2846</v>
      </c>
      <c r="E152" s="26" t="s">
        <v>3602</v>
      </c>
      <c r="F152" s="26" t="s">
        <v>3603</v>
      </c>
      <c r="G152" s="2"/>
    </row>
    <row r="153" spans="1:7" ht="20.25" customHeight="1">
      <c r="A153" s="562"/>
      <c r="B153" s="543"/>
      <c r="C153" s="2" t="s">
        <v>3336</v>
      </c>
      <c r="D153" s="30" t="s">
        <v>2829</v>
      </c>
      <c r="E153" s="26" t="s">
        <v>3595</v>
      </c>
      <c r="F153" s="26" t="s">
        <v>3604</v>
      </c>
      <c r="G153" s="2"/>
    </row>
    <row r="154" spans="1:7" ht="20.25" customHeight="1">
      <c r="A154" s="562"/>
      <c r="B154" s="543"/>
      <c r="C154" s="2" t="s">
        <v>631</v>
      </c>
      <c r="D154" s="30" t="s">
        <v>2972</v>
      </c>
      <c r="E154" s="26" t="s">
        <v>3605</v>
      </c>
      <c r="F154" s="26"/>
      <c r="G154" s="142" t="s">
        <v>3600</v>
      </c>
    </row>
    <row r="155" spans="1:7" ht="20.25" customHeight="1">
      <c r="A155" s="562"/>
      <c r="B155" s="543"/>
      <c r="C155" s="2" t="s">
        <v>3573</v>
      </c>
      <c r="D155" s="30" t="s">
        <v>2972</v>
      </c>
      <c r="E155" s="26" t="s">
        <v>3605</v>
      </c>
      <c r="F155" s="26"/>
      <c r="G155" s="142" t="s">
        <v>3600</v>
      </c>
    </row>
    <row r="156" spans="1:7" ht="20.25" customHeight="1">
      <c r="A156" s="562"/>
      <c r="B156" s="543"/>
      <c r="C156" s="2" t="s">
        <v>1446</v>
      </c>
      <c r="D156" s="30" t="s">
        <v>2972</v>
      </c>
      <c r="E156" s="26" t="s">
        <v>3606</v>
      </c>
      <c r="F156" s="26" t="s">
        <v>3607</v>
      </c>
      <c r="G156" s="2"/>
    </row>
    <row r="157" spans="1:7" ht="20.25" customHeight="1">
      <c r="A157" s="562"/>
      <c r="B157" s="543"/>
      <c r="C157" s="2" t="s">
        <v>1866</v>
      </c>
      <c r="D157" s="30" t="s">
        <v>2972</v>
      </c>
      <c r="E157" s="26" t="s">
        <v>3606</v>
      </c>
      <c r="F157" s="26" t="s">
        <v>3607</v>
      </c>
      <c r="G157" s="2"/>
    </row>
    <row r="158" spans="1:7" ht="20.25" customHeight="1">
      <c r="A158" s="562"/>
      <c r="B158" s="543"/>
      <c r="C158" s="2" t="s">
        <v>1898</v>
      </c>
      <c r="D158" s="30" t="s">
        <v>2972</v>
      </c>
      <c r="E158" s="26" t="s">
        <v>3606</v>
      </c>
      <c r="F158" s="26" t="s">
        <v>3607</v>
      </c>
      <c r="G158" s="2"/>
    </row>
    <row r="159" spans="1:7" ht="20.25" customHeight="1">
      <c r="A159" s="562"/>
      <c r="B159" s="543"/>
      <c r="C159" s="2" t="s">
        <v>3537</v>
      </c>
      <c r="D159" s="30" t="s">
        <v>2972</v>
      </c>
      <c r="E159" s="26" t="s">
        <v>3608</v>
      </c>
      <c r="F159" s="26" t="s">
        <v>3609</v>
      </c>
      <c r="G159" s="142" t="s">
        <v>3610</v>
      </c>
    </row>
    <row r="160" spans="1:7" ht="20.25" customHeight="1">
      <c r="A160" s="562"/>
      <c r="B160" s="543"/>
      <c r="C160" s="2" t="s">
        <v>3611</v>
      </c>
      <c r="D160" s="30" t="s">
        <v>2972</v>
      </c>
      <c r="E160" s="26" t="s">
        <v>3612</v>
      </c>
      <c r="F160" s="26" t="s">
        <v>3613</v>
      </c>
      <c r="G160" s="2"/>
    </row>
    <row r="161" spans="1:7" ht="20.25" customHeight="1">
      <c r="A161" s="562"/>
      <c r="B161" s="543"/>
      <c r="C161" s="2" t="s">
        <v>1866</v>
      </c>
      <c r="D161" s="30" t="s">
        <v>2972</v>
      </c>
      <c r="E161" s="26" t="s">
        <v>3614</v>
      </c>
      <c r="F161" s="26" t="s">
        <v>3615</v>
      </c>
      <c r="G161" s="2"/>
    </row>
    <row r="162" spans="1:7" ht="20.25" customHeight="1">
      <c r="A162" s="562"/>
      <c r="B162" s="543"/>
      <c r="C162" s="2" t="s">
        <v>1446</v>
      </c>
      <c r="D162" s="30" t="s">
        <v>2972</v>
      </c>
      <c r="E162" s="26" t="s">
        <v>3614</v>
      </c>
      <c r="F162" s="26" t="s">
        <v>3615</v>
      </c>
      <c r="G162" s="2"/>
    </row>
    <row r="163" spans="1:7" ht="20.25" customHeight="1">
      <c r="A163" s="562"/>
      <c r="B163" s="543"/>
      <c r="C163" s="2" t="s">
        <v>1898</v>
      </c>
      <c r="D163" s="30" t="s">
        <v>2972</v>
      </c>
      <c r="E163" s="26" t="s">
        <v>3614</v>
      </c>
      <c r="F163" s="26" t="s">
        <v>3615</v>
      </c>
      <c r="G163" s="2"/>
    </row>
    <row r="164" spans="1:7" ht="20.25" customHeight="1">
      <c r="A164" s="564" t="s">
        <v>3616</v>
      </c>
      <c r="B164" s="543" t="s">
        <v>3433</v>
      </c>
      <c r="C164" s="2" t="s">
        <v>2757</v>
      </c>
      <c r="D164" s="30" t="s">
        <v>2972</v>
      </c>
      <c r="E164" s="26" t="s">
        <v>3617</v>
      </c>
      <c r="F164" s="26" t="s">
        <v>3618</v>
      </c>
      <c r="G164" s="2"/>
    </row>
    <row r="165" spans="1:7" ht="20.25" customHeight="1">
      <c r="A165" s="564"/>
      <c r="B165" s="543"/>
      <c r="C165" s="2" t="s">
        <v>3590</v>
      </c>
      <c r="D165" s="30" t="s">
        <v>2972</v>
      </c>
      <c r="E165" s="26" t="s">
        <v>3619</v>
      </c>
      <c r="F165" s="26" t="s">
        <v>3620</v>
      </c>
      <c r="G165" s="2"/>
    </row>
    <row r="166" spans="1:7" ht="20.25" customHeight="1">
      <c r="A166" s="564"/>
      <c r="B166" s="543"/>
      <c r="C166" s="2" t="s">
        <v>751</v>
      </c>
      <c r="D166" s="30" t="s">
        <v>2972</v>
      </c>
      <c r="E166" s="26" t="s">
        <v>3621</v>
      </c>
      <c r="F166" s="26" t="s">
        <v>3622</v>
      </c>
      <c r="G166" s="2"/>
    </row>
    <row r="167" spans="1:7" ht="20.25" customHeight="1">
      <c r="A167" s="564"/>
      <c r="B167" s="543"/>
      <c r="C167" s="2" t="s">
        <v>3594</v>
      </c>
      <c r="D167" s="30" t="s">
        <v>2972</v>
      </c>
      <c r="E167" s="26" t="s">
        <v>3623</v>
      </c>
      <c r="F167" s="26" t="s">
        <v>3624</v>
      </c>
      <c r="G167" s="2"/>
    </row>
    <row r="168" spans="1:7" ht="20.25" customHeight="1">
      <c r="A168" s="564"/>
      <c r="B168" s="543"/>
      <c r="C168" s="2" t="s">
        <v>3625</v>
      </c>
      <c r="D168" s="30" t="s">
        <v>2972</v>
      </c>
      <c r="E168" s="26" t="s">
        <v>3626</v>
      </c>
      <c r="F168" s="26" t="s">
        <v>3627</v>
      </c>
      <c r="G168" s="2"/>
    </row>
    <row r="169" spans="1:7" ht="20.25" customHeight="1">
      <c r="A169" s="564"/>
      <c r="B169" s="543"/>
      <c r="C169" s="2" t="s">
        <v>400</v>
      </c>
      <c r="D169" s="30" t="s">
        <v>2972</v>
      </c>
      <c r="E169" s="26" t="s">
        <v>3628</v>
      </c>
      <c r="F169" s="26" t="s">
        <v>3629</v>
      </c>
      <c r="G169" s="2"/>
    </row>
    <row r="170" spans="1:7" ht="20.25" customHeight="1">
      <c r="A170" s="564"/>
      <c r="B170" s="543"/>
      <c r="C170" s="2" t="s">
        <v>3564</v>
      </c>
      <c r="D170" s="30" t="s">
        <v>2972</v>
      </c>
      <c r="E170" s="26" t="s">
        <v>3630</v>
      </c>
      <c r="F170" s="26" t="s">
        <v>3631</v>
      </c>
      <c r="G170" s="2"/>
    </row>
    <row r="171" spans="1:7" ht="20.25" customHeight="1">
      <c r="A171" s="564"/>
      <c r="B171" s="543"/>
      <c r="C171" s="2" t="s">
        <v>2681</v>
      </c>
      <c r="D171" s="30" t="s">
        <v>2972</v>
      </c>
      <c r="E171" s="26" t="s">
        <v>3632</v>
      </c>
      <c r="F171" s="26" t="s">
        <v>3633</v>
      </c>
      <c r="G171" s="2"/>
    </row>
    <row r="172" spans="1:7" ht="20.25" customHeight="1">
      <c r="A172" s="564"/>
      <c r="B172" s="543"/>
      <c r="C172" s="2" t="s">
        <v>2635</v>
      </c>
      <c r="D172" s="30" t="s">
        <v>2972</v>
      </c>
      <c r="E172" s="26" t="s">
        <v>3634</v>
      </c>
      <c r="F172" s="26" t="s">
        <v>3635</v>
      </c>
      <c r="G172" s="2"/>
    </row>
    <row r="173" spans="1:7" ht="46.5" customHeight="1">
      <c r="A173" s="564"/>
      <c r="B173" s="543"/>
      <c r="C173" s="2" t="s">
        <v>725</v>
      </c>
      <c r="D173" s="30" t="s">
        <v>2838</v>
      </c>
      <c r="E173" s="26" t="s">
        <v>3636</v>
      </c>
      <c r="F173" s="26" t="s">
        <v>3637</v>
      </c>
      <c r="G173" s="26" t="s">
        <v>3638</v>
      </c>
    </row>
    <row r="174" spans="1:7" ht="20.25" customHeight="1">
      <c r="A174" s="564"/>
      <c r="B174" s="543"/>
      <c r="C174" s="2" t="s">
        <v>3639</v>
      </c>
      <c r="D174" s="30" t="s">
        <v>2972</v>
      </c>
      <c r="E174" s="26" t="s">
        <v>3640</v>
      </c>
      <c r="F174" s="26" t="s">
        <v>3641</v>
      </c>
      <c r="G174" s="2"/>
    </row>
    <row r="175" spans="1:7" ht="20.25" customHeight="1">
      <c r="A175" s="564"/>
      <c r="B175" s="543"/>
      <c r="C175" s="2" t="s">
        <v>3562</v>
      </c>
      <c r="D175" s="30" t="s">
        <v>2972</v>
      </c>
      <c r="E175" s="26" t="s">
        <v>3642</v>
      </c>
      <c r="F175" s="26" t="s">
        <v>3643</v>
      </c>
      <c r="G175" s="2" t="s">
        <v>3644</v>
      </c>
    </row>
    <row r="176" spans="1:7" ht="20.25" customHeight="1">
      <c r="A176" s="564"/>
      <c r="B176" s="543"/>
      <c r="C176" s="2" t="s">
        <v>3565</v>
      </c>
      <c r="D176" s="30" t="s">
        <v>2972</v>
      </c>
      <c r="E176" s="26" t="s">
        <v>3645</v>
      </c>
      <c r="F176" s="26" t="s">
        <v>3646</v>
      </c>
      <c r="G176" s="2"/>
    </row>
    <row r="177" spans="1:7" ht="20.25" customHeight="1">
      <c r="A177" s="564"/>
      <c r="B177" s="543"/>
      <c r="C177" s="2" t="s">
        <v>1475</v>
      </c>
      <c r="D177" s="30" t="s">
        <v>2972</v>
      </c>
      <c r="E177" s="26" t="s">
        <v>3557</v>
      </c>
      <c r="F177" s="26" t="s">
        <v>3647</v>
      </c>
      <c r="G177" s="2"/>
    </row>
    <row r="178" spans="1:7" ht="20.25" customHeight="1">
      <c r="A178" s="564"/>
      <c r="B178" s="543"/>
      <c r="C178" s="2" t="s">
        <v>2667</v>
      </c>
      <c r="D178" s="30" t="s">
        <v>2972</v>
      </c>
      <c r="E178" s="26" t="s">
        <v>3557</v>
      </c>
      <c r="F178" s="26"/>
      <c r="G178" s="2"/>
    </row>
    <row r="179" spans="1:7" ht="20.25" customHeight="1">
      <c r="A179" s="564"/>
      <c r="B179" s="543"/>
      <c r="C179" s="2" t="s">
        <v>335</v>
      </c>
      <c r="D179" s="30" t="s">
        <v>2846</v>
      </c>
      <c r="E179" s="26" t="s">
        <v>3648</v>
      </c>
      <c r="F179" s="26" t="s">
        <v>3649</v>
      </c>
      <c r="G179" s="2"/>
    </row>
    <row r="180" spans="1:7" ht="20.25" customHeight="1">
      <c r="A180" s="564"/>
      <c r="B180" s="543"/>
      <c r="C180" s="2" t="s">
        <v>408</v>
      </c>
      <c r="D180" s="30" t="s">
        <v>2838</v>
      </c>
      <c r="E180" s="26" t="s">
        <v>3650</v>
      </c>
      <c r="F180" s="26" t="s">
        <v>3651</v>
      </c>
      <c r="G180" s="2"/>
    </row>
    <row r="181" spans="1:7" ht="20.25" customHeight="1">
      <c r="A181" s="564"/>
      <c r="B181" s="543"/>
      <c r="C181" s="2" t="s">
        <v>3573</v>
      </c>
      <c r="D181" s="30" t="s">
        <v>2972</v>
      </c>
      <c r="E181" s="26" t="s">
        <v>3557</v>
      </c>
      <c r="F181" s="26" t="s">
        <v>3652</v>
      </c>
      <c r="G181" s="2"/>
    </row>
    <row r="182" spans="1:7" ht="20.25" customHeight="1">
      <c r="A182" s="563" t="s">
        <v>3653</v>
      </c>
      <c r="B182" s="560" t="s">
        <v>3433</v>
      </c>
      <c r="C182" s="2" t="s">
        <v>2635</v>
      </c>
      <c r="D182" s="2"/>
      <c r="E182" s="26"/>
      <c r="F182" s="26"/>
      <c r="G182" s="2"/>
    </row>
    <row r="183" spans="1:7" ht="20.25" customHeight="1">
      <c r="A183" s="563"/>
      <c r="B183" s="560"/>
      <c r="C183" s="2" t="s">
        <v>3565</v>
      </c>
      <c r="D183" s="2"/>
      <c r="E183" s="26"/>
      <c r="F183" s="26"/>
      <c r="G183" s="2"/>
    </row>
    <row r="184" spans="1:7" ht="20.25" customHeight="1">
      <c r="A184" s="563"/>
      <c r="B184" s="560"/>
      <c r="C184" s="2" t="s">
        <v>3562</v>
      </c>
      <c r="D184" s="30" t="s">
        <v>2972</v>
      </c>
      <c r="E184" s="26" t="s">
        <v>3557</v>
      </c>
      <c r="F184" s="26" t="s">
        <v>3654</v>
      </c>
      <c r="G184" s="2" t="s">
        <v>3655</v>
      </c>
    </row>
    <row r="185" spans="1:7" ht="20.25" customHeight="1">
      <c r="A185" s="563"/>
      <c r="B185" s="560"/>
      <c r="C185" s="2" t="s">
        <v>1475</v>
      </c>
      <c r="D185" s="30" t="s">
        <v>2972</v>
      </c>
      <c r="E185" s="26" t="s">
        <v>3656</v>
      </c>
      <c r="F185" s="26" t="s">
        <v>3657</v>
      </c>
      <c r="G185" s="2"/>
    </row>
    <row r="186" spans="1:7" ht="20.25" customHeight="1">
      <c r="A186" s="563"/>
      <c r="B186" s="560"/>
      <c r="C186" s="2" t="s">
        <v>751</v>
      </c>
      <c r="D186" s="30" t="s">
        <v>2972</v>
      </c>
      <c r="E186" s="26" t="s">
        <v>3658</v>
      </c>
      <c r="F186" s="26" t="s">
        <v>3659</v>
      </c>
      <c r="G186" s="2"/>
    </row>
    <row r="187" spans="1:7" ht="20.25" customHeight="1">
      <c r="A187" s="563"/>
      <c r="B187" s="560"/>
      <c r="C187" s="2" t="s">
        <v>1898</v>
      </c>
      <c r="D187" s="30" t="s">
        <v>2972</v>
      </c>
      <c r="E187" s="26" t="s">
        <v>3557</v>
      </c>
      <c r="F187" s="26" t="s">
        <v>3660</v>
      </c>
      <c r="G187" s="2"/>
    </row>
    <row r="188" spans="1:7" ht="20.25" customHeight="1">
      <c r="A188" s="563"/>
      <c r="B188" s="560"/>
      <c r="C188" s="2" t="s">
        <v>2667</v>
      </c>
      <c r="D188" s="30" t="s">
        <v>2972</v>
      </c>
      <c r="E188" s="26" t="s">
        <v>3557</v>
      </c>
      <c r="F188" s="26" t="s">
        <v>3660</v>
      </c>
      <c r="G188" s="2"/>
    </row>
    <row r="189" spans="1:7" ht="20.25" customHeight="1">
      <c r="A189" s="563"/>
      <c r="B189" s="560"/>
      <c r="C189" s="2" t="s">
        <v>322</v>
      </c>
      <c r="D189" s="2"/>
      <c r="E189" s="26"/>
      <c r="F189" s="26"/>
      <c r="G189" s="2"/>
    </row>
    <row r="190" spans="1:7" ht="20.25" customHeight="1">
      <c r="A190" s="563"/>
      <c r="B190" s="560"/>
      <c r="C190" s="2" t="s">
        <v>3573</v>
      </c>
      <c r="D190" s="2"/>
      <c r="E190" s="26"/>
      <c r="F190" s="26"/>
      <c r="G190" s="2"/>
    </row>
    <row r="191" spans="1:7" ht="20.25" customHeight="1">
      <c r="A191" s="563" t="s">
        <v>3661</v>
      </c>
      <c r="B191" s="26" t="s">
        <v>20</v>
      </c>
      <c r="C191" s="2" t="s">
        <v>1898</v>
      </c>
      <c r="D191" s="2"/>
      <c r="E191" s="26"/>
      <c r="F191" s="26"/>
      <c r="G191" s="2"/>
    </row>
    <row r="192" spans="1:7" ht="20.25" customHeight="1">
      <c r="A192" s="563"/>
      <c r="B192" s="2"/>
      <c r="C192" s="2" t="s">
        <v>408</v>
      </c>
      <c r="D192" s="2"/>
      <c r="E192" s="26"/>
      <c r="F192" s="26"/>
      <c r="G192" s="2"/>
    </row>
    <row r="193" spans="1:3" ht="20.25" customHeight="1">
      <c r="A193" s="563"/>
      <c r="C193" s="2" t="s">
        <v>343</v>
      </c>
    </row>
    <row r="194" spans="1:3" ht="20.25" customHeight="1">
      <c r="A194" s="563"/>
      <c r="C194" s="2" t="s">
        <v>400</v>
      </c>
    </row>
    <row r="195" spans="1:3" ht="20.25" customHeight="1">
      <c r="A195" s="563"/>
      <c r="C195" s="2" t="s">
        <v>3573</v>
      </c>
    </row>
    <row r="196" spans="1:3" ht="20.25" customHeight="1">
      <c r="A196" s="563"/>
      <c r="C196" s="2" t="s">
        <v>631</v>
      </c>
    </row>
    <row r="197" spans="1:3" ht="20.25" customHeight="1">
      <c r="A197" s="563"/>
      <c r="C197" s="2"/>
    </row>
    <row r="198" spans="1:3" ht="20.25" customHeight="1">
      <c r="A198" s="563"/>
      <c r="C198" s="2"/>
    </row>
    <row r="199" spans="1:3" ht="20.25" customHeight="1">
      <c r="A199" s="563"/>
      <c r="C199" s="2"/>
    </row>
  </sheetData>
  <mergeCells count="32">
    <mergeCell ref="A5:A7"/>
    <mergeCell ref="A8:A12"/>
    <mergeCell ref="B13:B24"/>
    <mergeCell ref="A13:A24"/>
    <mergeCell ref="A58:A70"/>
    <mergeCell ref="B58:B70"/>
    <mergeCell ref="A44:A57"/>
    <mergeCell ref="B44:B57"/>
    <mergeCell ref="A25:A43"/>
    <mergeCell ref="B25:B43"/>
    <mergeCell ref="B71:B81"/>
    <mergeCell ref="A97:A102"/>
    <mergeCell ref="B82:B96"/>
    <mergeCell ref="B97:B110"/>
    <mergeCell ref="A103:A110"/>
    <mergeCell ref="A71:A81"/>
    <mergeCell ref="A182:A190"/>
    <mergeCell ref="B182:B190"/>
    <mergeCell ref="A191:A199"/>
    <mergeCell ref="A82:A96"/>
    <mergeCell ref="A111:A127"/>
    <mergeCell ref="B111:B127"/>
    <mergeCell ref="B164:B181"/>
    <mergeCell ref="A164:A181"/>
    <mergeCell ref="F111:F116"/>
    <mergeCell ref="E111:E116"/>
    <mergeCell ref="A128:A138"/>
    <mergeCell ref="B128:B138"/>
    <mergeCell ref="A149:A163"/>
    <mergeCell ref="B149:B163"/>
    <mergeCell ref="A139:A148"/>
    <mergeCell ref="B139:B148"/>
  </mergeCells>
  <phoneticPr fontId="3" type="noConversion"/>
  <conditionalFormatting sqref="C86:C94">
    <cfRule type="duplicateValues" dxfId="0" priority="1"/>
  </conditionalFormatting>
  <dataValidations count="2">
    <dataValidation type="list" allowBlank="1" showInputMessage="1" showErrorMessage="1" sqref="D3:D126 D128:D149 D151:D181 D184:D188"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9:D192 D182:D183" xr:uid="{A3498D1D-F4B5-4836-BB18-4718D4FE1556}">
      <formula1>"API이슈,프로모션제안,요금문제,시스템장애,기타"</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101" t="s">
        <v>3662</v>
      </c>
      <c r="B1" s="101" t="s">
        <v>3663</v>
      </c>
      <c r="C1" s="101" t="s">
        <v>3664</v>
      </c>
      <c r="D1" s="101" t="s">
        <v>3665</v>
      </c>
    </row>
    <row r="2" spans="1:4" ht="24.75" customHeight="1">
      <c r="A2" s="101" t="s">
        <v>3666</v>
      </c>
      <c r="B2" s="101">
        <v>2023</v>
      </c>
      <c r="C2" s="576" t="s">
        <v>3667</v>
      </c>
      <c r="D2" s="102"/>
    </row>
    <row r="3" spans="1:4" ht="24.75" customHeight="1">
      <c r="A3" s="101" t="s">
        <v>3668</v>
      </c>
      <c r="B3" s="101">
        <v>2024</v>
      </c>
      <c r="C3" s="577"/>
      <c r="D3" s="102"/>
    </row>
    <row r="4" spans="1:4" ht="24.75" customHeight="1">
      <c r="A4" s="101" t="s">
        <v>3668</v>
      </c>
      <c r="B4" s="101">
        <v>2025</v>
      </c>
      <c r="C4" s="577"/>
      <c r="D4" s="102" t="s">
        <v>3669</v>
      </c>
    </row>
    <row r="5" spans="1:4" ht="24.75" customHeight="1">
      <c r="A5" s="101" t="s">
        <v>3670</v>
      </c>
      <c r="B5" s="101">
        <v>2025</v>
      </c>
      <c r="C5" s="577"/>
      <c r="D5" s="102" t="s">
        <v>3671</v>
      </c>
    </row>
    <row r="6" spans="1:4" ht="24.75" customHeight="1">
      <c r="A6" s="101" t="s">
        <v>3672</v>
      </c>
      <c r="B6" s="101">
        <v>2026</v>
      </c>
      <c r="C6" s="578"/>
      <c r="D6" s="102" t="s">
        <v>3671</v>
      </c>
    </row>
    <row r="7" spans="1:4" ht="24.75" customHeight="1">
      <c r="A7" s="101" t="s">
        <v>3673</v>
      </c>
      <c r="B7" s="101">
        <v>2022</v>
      </c>
      <c r="C7" s="575" t="s">
        <v>3674</v>
      </c>
      <c r="D7" s="102"/>
    </row>
    <row r="8" spans="1:4" ht="24.75" customHeight="1">
      <c r="A8" s="101" t="s">
        <v>3675</v>
      </c>
      <c r="B8" s="101">
        <v>2025</v>
      </c>
      <c r="C8" s="575"/>
      <c r="D8" s="102"/>
    </row>
    <row r="9" spans="1:4" ht="24.75" customHeight="1">
      <c r="A9" s="138" t="s">
        <v>3676</v>
      </c>
      <c r="B9" s="138">
        <v>2025</v>
      </c>
      <c r="C9" s="138" t="s">
        <v>3677</v>
      </c>
      <c r="D9" s="140"/>
    </row>
    <row r="10" spans="1:4" ht="24.75" customHeight="1">
      <c r="A10" s="139" t="s">
        <v>3678</v>
      </c>
      <c r="B10" s="139">
        <v>2025</v>
      </c>
      <c r="C10" s="139" t="s">
        <v>408</v>
      </c>
      <c r="D10" s="139"/>
    </row>
  </sheetData>
  <mergeCells count="2">
    <mergeCell ref="C7:C8"/>
    <mergeCell ref="C2:C6"/>
  </mergeCells>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34" t="s">
        <v>2802</v>
      </c>
      <c r="B1" s="134" t="s">
        <v>2803</v>
      </c>
      <c r="C1" s="134" t="s">
        <v>2804</v>
      </c>
      <c r="D1" s="134" t="s">
        <v>2805</v>
      </c>
      <c r="E1" s="134" t="s">
        <v>2806</v>
      </c>
      <c r="F1" s="134" t="s">
        <v>2807</v>
      </c>
      <c r="G1" s="134" t="s">
        <v>2808</v>
      </c>
    </row>
    <row r="2" spans="1:7" ht="43.5">
      <c r="A2" s="27" t="s">
        <v>2809</v>
      </c>
      <c r="B2" s="27" t="s">
        <v>2810</v>
      </c>
      <c r="C2" s="27" t="s">
        <v>2811</v>
      </c>
      <c r="D2" s="27" t="s">
        <v>2812</v>
      </c>
      <c r="E2" s="27" t="s">
        <v>2813</v>
      </c>
      <c r="F2" s="27" t="s">
        <v>2814</v>
      </c>
      <c r="G2" s="28"/>
    </row>
    <row r="3" spans="1:7" ht="101.45">
      <c r="A3" s="579" t="s">
        <v>3679</v>
      </c>
      <c r="B3" s="543" t="s">
        <v>3680</v>
      </c>
      <c r="C3" s="543" t="s">
        <v>3681</v>
      </c>
      <c r="D3" s="2" t="s">
        <v>2838</v>
      </c>
      <c r="E3" s="26" t="s">
        <v>3682</v>
      </c>
      <c r="F3" s="26" t="s">
        <v>3683</v>
      </c>
    </row>
    <row r="4" spans="1:7" ht="43.5">
      <c r="A4" s="579"/>
      <c r="B4" s="543"/>
      <c r="C4" s="543"/>
      <c r="D4" s="2" t="s">
        <v>2838</v>
      </c>
      <c r="E4" s="26" t="s">
        <v>3684</v>
      </c>
      <c r="F4" s="26" t="s">
        <v>3685</v>
      </c>
    </row>
    <row r="5" spans="1:7" ht="29.1">
      <c r="A5" s="579"/>
      <c r="B5" s="543"/>
      <c r="C5" s="543" t="s">
        <v>3686</v>
      </c>
      <c r="D5" s="2" t="s">
        <v>2817</v>
      </c>
      <c r="E5" s="26" t="s">
        <v>3687</v>
      </c>
      <c r="F5" s="26" t="s">
        <v>3688</v>
      </c>
    </row>
    <row r="6" spans="1:7" ht="43.5">
      <c r="A6" s="579"/>
      <c r="B6" s="543"/>
      <c r="C6" s="543"/>
      <c r="D6" s="2" t="s">
        <v>2817</v>
      </c>
      <c r="E6" s="26" t="s">
        <v>3689</v>
      </c>
      <c r="F6" s="26" t="s">
        <v>3690</v>
      </c>
    </row>
    <row r="7" spans="1:7">
      <c r="A7" s="579"/>
      <c r="B7" s="543"/>
      <c r="C7" s="543"/>
      <c r="D7" s="2" t="s">
        <v>2817</v>
      </c>
      <c r="E7" s="26" t="s">
        <v>3691</v>
      </c>
      <c r="F7" s="26" t="s">
        <v>3692</v>
      </c>
    </row>
    <row r="8" spans="1:7" ht="72.599999999999994">
      <c r="A8" s="579"/>
      <c r="B8" s="543"/>
      <c r="C8" s="2" t="s">
        <v>2835</v>
      </c>
      <c r="D8" s="2" t="s">
        <v>2838</v>
      </c>
      <c r="E8" s="26" t="s">
        <v>3693</v>
      </c>
      <c r="F8" s="26" t="s">
        <v>3694</v>
      </c>
    </row>
    <row r="9" spans="1:7" ht="19.5" customHeight="1">
      <c r="A9" s="579"/>
      <c r="B9" s="543"/>
      <c r="C9" s="2" t="s">
        <v>3695</v>
      </c>
      <c r="D9" s="2" t="s">
        <v>2846</v>
      </c>
      <c r="E9" s="2" t="s">
        <v>3696</v>
      </c>
      <c r="F9" s="2" t="s">
        <v>3697</v>
      </c>
    </row>
    <row r="10" spans="1:7" ht="43.5">
      <c r="A10" s="579" t="s">
        <v>2823</v>
      </c>
      <c r="B10" s="543" t="s">
        <v>3680</v>
      </c>
      <c r="C10" s="543" t="s">
        <v>3681</v>
      </c>
      <c r="D10" s="2" t="s">
        <v>2838</v>
      </c>
      <c r="E10" s="2" t="s">
        <v>3698</v>
      </c>
      <c r="F10" s="26" t="s">
        <v>3685</v>
      </c>
    </row>
    <row r="11" spans="1:7" ht="120" customHeight="1">
      <c r="A11" s="579"/>
      <c r="B11" s="543"/>
      <c r="C11" s="543"/>
      <c r="D11" s="2" t="s">
        <v>2817</v>
      </c>
      <c r="E11" s="26" t="s">
        <v>3699</v>
      </c>
      <c r="F11" s="26" t="s">
        <v>3700</v>
      </c>
    </row>
    <row r="12" spans="1:7" ht="79.5" customHeight="1">
      <c r="A12" s="579"/>
      <c r="B12" s="543"/>
      <c r="C12" s="543"/>
      <c r="D12" s="2" t="s">
        <v>2817</v>
      </c>
      <c r="E12" s="26" t="s">
        <v>3701</v>
      </c>
      <c r="F12" s="26" t="s">
        <v>3702</v>
      </c>
    </row>
    <row r="13" spans="1:7" ht="168" customHeight="1">
      <c r="A13" s="579"/>
      <c r="B13" s="543"/>
      <c r="C13" s="543"/>
      <c r="D13" s="2" t="s">
        <v>2838</v>
      </c>
      <c r="E13" s="2" t="s">
        <v>3703</v>
      </c>
      <c r="F13" s="26" t="s">
        <v>3704</v>
      </c>
    </row>
    <row r="14" spans="1:7" ht="104.25" customHeight="1">
      <c r="A14" s="579"/>
      <c r="B14" s="543"/>
      <c r="C14" s="543" t="s">
        <v>3686</v>
      </c>
      <c r="D14" s="2" t="s">
        <v>2824</v>
      </c>
      <c r="E14" s="2" t="s">
        <v>3705</v>
      </c>
      <c r="F14" s="26" t="s">
        <v>3706</v>
      </c>
    </row>
    <row r="15" spans="1:7" ht="93" customHeight="1">
      <c r="A15" s="579"/>
      <c r="B15" s="543"/>
      <c r="C15" s="543"/>
      <c r="D15" s="2" t="s">
        <v>2824</v>
      </c>
      <c r="E15" s="2" t="s">
        <v>3707</v>
      </c>
      <c r="F15" s="26" t="s">
        <v>3708</v>
      </c>
    </row>
    <row r="16" spans="1:7" ht="116.25" customHeight="1">
      <c r="A16" s="579"/>
      <c r="B16" s="543"/>
      <c r="D16" s="2" t="s">
        <v>2846</v>
      </c>
      <c r="E16" s="2" t="s">
        <v>3709</v>
      </c>
      <c r="F16" s="26" t="s">
        <v>3710</v>
      </c>
    </row>
    <row r="17" spans="1:6" ht="29.1">
      <c r="A17" s="579"/>
      <c r="B17" s="543"/>
      <c r="C17" s="543" t="s">
        <v>3695</v>
      </c>
      <c r="D17" s="2" t="s">
        <v>2846</v>
      </c>
      <c r="E17" s="2" t="s">
        <v>3711</v>
      </c>
      <c r="F17" s="26" t="s">
        <v>3712</v>
      </c>
    </row>
    <row r="18" spans="1:6" ht="43.5">
      <c r="A18" s="579"/>
      <c r="B18" s="543"/>
      <c r="C18" s="543"/>
      <c r="D18" s="2" t="s">
        <v>2846</v>
      </c>
      <c r="E18" s="2" t="s">
        <v>3713</v>
      </c>
      <c r="F18" s="26" t="s">
        <v>3714</v>
      </c>
    </row>
    <row r="19" spans="1:6" ht="29.1">
      <c r="A19" s="543" t="s">
        <v>3715</v>
      </c>
      <c r="B19" s="543" t="s">
        <v>3680</v>
      </c>
      <c r="C19" s="543" t="s">
        <v>3681</v>
      </c>
      <c r="D19" s="2" t="s">
        <v>2846</v>
      </c>
      <c r="E19" s="2" t="s">
        <v>3716</v>
      </c>
      <c r="F19" s="26" t="s">
        <v>3717</v>
      </c>
    </row>
    <row r="20" spans="1:6" ht="14.45" customHeight="1">
      <c r="A20" s="543"/>
      <c r="B20" s="543"/>
      <c r="C20" s="543"/>
      <c r="D20" s="2" t="s">
        <v>2838</v>
      </c>
      <c r="E20" s="2" t="s">
        <v>3718</v>
      </c>
      <c r="F20" s="2" t="s">
        <v>3719</v>
      </c>
    </row>
    <row r="21" spans="1:6" ht="14.45" customHeight="1">
      <c r="A21" s="543"/>
      <c r="B21" s="543"/>
      <c r="C21" s="543"/>
      <c r="D21" s="2" t="s">
        <v>2838</v>
      </c>
      <c r="E21" s="2" t="s">
        <v>3720</v>
      </c>
      <c r="F21" s="2" t="s">
        <v>3719</v>
      </c>
    </row>
    <row r="22" spans="1:6" ht="65.25" customHeight="1">
      <c r="A22" s="543"/>
      <c r="B22" s="543"/>
      <c r="C22" s="543" t="s">
        <v>3686</v>
      </c>
      <c r="D22" s="2" t="s">
        <v>2824</v>
      </c>
      <c r="E22" s="2" t="s">
        <v>3721</v>
      </c>
      <c r="F22" s="26" t="s">
        <v>3722</v>
      </c>
    </row>
    <row r="23" spans="1:6" ht="75.75" customHeight="1">
      <c r="A23" s="543"/>
      <c r="B23" s="543"/>
      <c r="C23" s="543"/>
      <c r="D23" s="2" t="s">
        <v>2824</v>
      </c>
      <c r="E23" s="2" t="s">
        <v>3723</v>
      </c>
      <c r="F23" s="26" t="s">
        <v>3724</v>
      </c>
    </row>
    <row r="24" spans="1:6" ht="75.75" customHeight="1">
      <c r="A24" s="543"/>
      <c r="B24" s="543"/>
      <c r="C24" s="543"/>
      <c r="D24" s="2" t="s">
        <v>2846</v>
      </c>
      <c r="E24" s="2" t="s">
        <v>3725</v>
      </c>
      <c r="F24" s="26" t="s">
        <v>3726</v>
      </c>
    </row>
    <row r="25" spans="1:6" ht="14.45" customHeight="1">
      <c r="A25" s="543"/>
      <c r="B25" s="543"/>
      <c r="C25" s="543"/>
      <c r="D25" s="2" t="s">
        <v>2846</v>
      </c>
      <c r="E25" s="2" t="s">
        <v>3727</v>
      </c>
      <c r="F25" s="2" t="s">
        <v>3728</v>
      </c>
    </row>
    <row r="26" spans="1:6" ht="29.1">
      <c r="A26" s="543"/>
      <c r="B26" s="543"/>
      <c r="C26" s="543" t="s">
        <v>3729</v>
      </c>
      <c r="D26" s="2" t="s">
        <v>2846</v>
      </c>
      <c r="E26" s="2" t="s">
        <v>3730</v>
      </c>
      <c r="F26" s="26" t="s">
        <v>3731</v>
      </c>
    </row>
    <row r="27" spans="1:6" ht="29.1">
      <c r="A27" s="543"/>
      <c r="B27" s="543"/>
      <c r="C27" s="543"/>
      <c r="D27" s="2" t="s">
        <v>2846</v>
      </c>
      <c r="E27" s="2" t="s">
        <v>3732</v>
      </c>
      <c r="F27" s="26" t="s">
        <v>3733</v>
      </c>
    </row>
    <row r="28" spans="1:6" ht="43.5">
      <c r="A28" s="543" t="s">
        <v>3734</v>
      </c>
      <c r="B28" s="543" t="s">
        <v>3680</v>
      </c>
      <c r="C28" s="543" t="s">
        <v>3686</v>
      </c>
      <c r="D28" s="2" t="s">
        <v>2824</v>
      </c>
      <c r="E28" s="2" t="s">
        <v>3721</v>
      </c>
      <c r="F28" s="26" t="s">
        <v>3735</v>
      </c>
    </row>
    <row r="29" spans="1:6">
      <c r="A29" s="543"/>
      <c r="B29" s="543"/>
      <c r="C29" s="543"/>
      <c r="D29" s="2" t="s">
        <v>2846</v>
      </c>
      <c r="E29" s="2" t="s">
        <v>3727</v>
      </c>
      <c r="F29" s="2" t="s">
        <v>3736</v>
      </c>
    </row>
    <row r="30" spans="1:6">
      <c r="A30" s="543"/>
      <c r="B30" s="543"/>
      <c r="C30" s="543" t="s">
        <v>2994</v>
      </c>
      <c r="D30" s="2" t="s">
        <v>2846</v>
      </c>
      <c r="E30" s="2" t="s">
        <v>3737</v>
      </c>
      <c r="F30" s="2" t="s">
        <v>3738</v>
      </c>
    </row>
    <row r="31" spans="1:6" ht="72.599999999999994">
      <c r="A31" s="543"/>
      <c r="B31" s="543"/>
      <c r="C31" s="543"/>
      <c r="D31" s="2" t="s">
        <v>2824</v>
      </c>
      <c r="E31" s="2" t="s">
        <v>3739</v>
      </c>
      <c r="F31" s="26" t="s">
        <v>3740</v>
      </c>
    </row>
    <row r="32" spans="1:6" ht="29.1">
      <c r="A32" s="543"/>
      <c r="B32" s="543"/>
      <c r="C32" s="2" t="s">
        <v>497</v>
      </c>
      <c r="D32" s="2" t="s">
        <v>2846</v>
      </c>
      <c r="E32" s="2" t="s">
        <v>3741</v>
      </c>
      <c r="F32" s="26" t="s">
        <v>3742</v>
      </c>
    </row>
    <row r="33" spans="1:6">
      <c r="A33" s="543"/>
      <c r="B33" s="543"/>
      <c r="C33" s="543" t="s">
        <v>3729</v>
      </c>
      <c r="D33" s="2" t="s">
        <v>2846</v>
      </c>
      <c r="E33" s="2" t="s">
        <v>3743</v>
      </c>
      <c r="F33" s="2" t="s">
        <v>3744</v>
      </c>
    </row>
    <row r="34" spans="1:6">
      <c r="A34" s="543"/>
      <c r="B34" s="543"/>
      <c r="C34" s="543"/>
      <c r="D34" s="2" t="s">
        <v>2846</v>
      </c>
      <c r="E34" s="2" t="s">
        <v>3745</v>
      </c>
      <c r="F34" s="2" t="s">
        <v>3746</v>
      </c>
    </row>
    <row r="35" spans="1:6">
      <c r="A35" s="543"/>
      <c r="B35" s="543"/>
      <c r="C35" s="2" t="s">
        <v>2829</v>
      </c>
      <c r="D35" s="2" t="s">
        <v>2846</v>
      </c>
      <c r="E35" s="2" t="s">
        <v>3747</v>
      </c>
      <c r="F35" s="2" t="s">
        <v>3748</v>
      </c>
    </row>
    <row r="36" spans="1:6" ht="29.1">
      <c r="A36" s="543" t="s">
        <v>3749</v>
      </c>
      <c r="B36" s="543" t="s">
        <v>3680</v>
      </c>
      <c r="C36" s="2" t="s">
        <v>3750</v>
      </c>
      <c r="D36" s="2" t="s">
        <v>2846</v>
      </c>
      <c r="E36" s="2" t="s">
        <v>3751</v>
      </c>
      <c r="F36" s="26" t="s">
        <v>3752</v>
      </c>
    </row>
    <row r="37" spans="1:6" ht="29.1">
      <c r="A37" s="543"/>
      <c r="B37" s="543"/>
      <c r="C37" s="543" t="s">
        <v>33</v>
      </c>
      <c r="D37" s="2" t="s">
        <v>2838</v>
      </c>
      <c r="E37" s="26" t="s">
        <v>3753</v>
      </c>
      <c r="F37" s="2" t="s">
        <v>3754</v>
      </c>
    </row>
    <row r="38" spans="1:6">
      <c r="A38" s="543"/>
      <c r="B38" s="543"/>
      <c r="C38" s="543"/>
      <c r="D38" s="2" t="s">
        <v>2846</v>
      </c>
      <c r="E38" s="2" t="s">
        <v>3755</v>
      </c>
      <c r="F38" s="2" t="s">
        <v>3756</v>
      </c>
    </row>
    <row r="39" spans="1:6">
      <c r="A39" s="543"/>
      <c r="B39" s="543"/>
      <c r="C39" s="2" t="s">
        <v>3757</v>
      </c>
      <c r="D39" s="2" t="s">
        <v>2846</v>
      </c>
      <c r="E39" s="2" t="s">
        <v>3758</v>
      </c>
      <c r="F39" s="2" t="s">
        <v>3759</v>
      </c>
    </row>
    <row r="40" spans="1:6">
      <c r="A40" s="543"/>
      <c r="B40" s="543"/>
      <c r="C40" s="2" t="s">
        <v>3760</v>
      </c>
      <c r="D40" s="2" t="s">
        <v>2846</v>
      </c>
      <c r="E40" s="2" t="s">
        <v>3761</v>
      </c>
      <c r="F40" s="2" t="s">
        <v>3762</v>
      </c>
    </row>
    <row r="41" spans="1:6">
      <c r="A41" s="543"/>
      <c r="B41" s="543"/>
      <c r="C41" s="2" t="s">
        <v>477</v>
      </c>
      <c r="D41" s="2" t="s">
        <v>2817</v>
      </c>
      <c r="E41" s="2" t="s">
        <v>3763</v>
      </c>
      <c r="F41" s="2" t="s">
        <v>3764</v>
      </c>
    </row>
    <row r="42" spans="1:6">
      <c r="A42" s="543"/>
      <c r="B42" s="543"/>
      <c r="C42" s="2" t="s">
        <v>3686</v>
      </c>
      <c r="D42" s="2" t="s">
        <v>2846</v>
      </c>
      <c r="E42" s="2" t="s">
        <v>3765</v>
      </c>
      <c r="F42" s="2" t="s">
        <v>3766</v>
      </c>
    </row>
    <row r="43" spans="1:6">
      <c r="A43" s="543" t="s">
        <v>3767</v>
      </c>
      <c r="B43" s="543" t="s">
        <v>3680</v>
      </c>
      <c r="C43" s="2" t="s">
        <v>3768</v>
      </c>
      <c r="D43" s="2" t="s">
        <v>2846</v>
      </c>
      <c r="E43" s="2" t="s">
        <v>3769</v>
      </c>
      <c r="F43" s="2" t="s">
        <v>3770</v>
      </c>
    </row>
    <row r="44" spans="1:6">
      <c r="A44" s="543"/>
      <c r="B44" s="543"/>
      <c r="C44" s="2" t="s">
        <v>2994</v>
      </c>
      <c r="D44" s="2" t="s">
        <v>2846</v>
      </c>
      <c r="E44" s="2" t="s">
        <v>3771</v>
      </c>
      <c r="F44" s="2" t="s">
        <v>3772</v>
      </c>
    </row>
    <row r="45" spans="1:6">
      <c r="A45" s="543"/>
      <c r="B45" s="543"/>
      <c r="C45" s="2" t="s">
        <v>497</v>
      </c>
      <c r="D45" s="2" t="s">
        <v>2846</v>
      </c>
      <c r="E45" s="2" t="s">
        <v>3773</v>
      </c>
      <c r="F45" s="2" t="s">
        <v>3774</v>
      </c>
    </row>
    <row r="46" spans="1:6" ht="57.95">
      <c r="A46" s="543"/>
      <c r="B46" s="543"/>
      <c r="C46" s="2" t="s">
        <v>3760</v>
      </c>
      <c r="D46" s="2" t="s">
        <v>2838</v>
      </c>
      <c r="E46" s="2" t="s">
        <v>3775</v>
      </c>
      <c r="F46" s="26" t="s">
        <v>3776</v>
      </c>
    </row>
    <row r="47" spans="1:6" ht="29.1">
      <c r="A47" s="543"/>
      <c r="B47" s="543"/>
      <c r="C47" s="2" t="s">
        <v>3750</v>
      </c>
      <c r="D47" s="2" t="s">
        <v>2846</v>
      </c>
      <c r="E47" s="2" t="s">
        <v>3777</v>
      </c>
      <c r="F47" s="26" t="s">
        <v>3778</v>
      </c>
    </row>
    <row r="48" spans="1:6">
      <c r="A48" s="543"/>
      <c r="B48" s="543"/>
      <c r="C48" s="543" t="s">
        <v>3686</v>
      </c>
      <c r="D48" s="2" t="s">
        <v>2846</v>
      </c>
      <c r="E48" s="2" t="s">
        <v>3765</v>
      </c>
      <c r="F48" s="2" t="s">
        <v>3779</v>
      </c>
    </row>
    <row r="49" spans="1:6">
      <c r="A49" s="543"/>
      <c r="B49" s="543"/>
      <c r="C49" s="543"/>
      <c r="D49" s="2" t="s">
        <v>2846</v>
      </c>
      <c r="E49" s="2" t="s">
        <v>3780</v>
      </c>
      <c r="F49" s="2" t="s">
        <v>3781</v>
      </c>
    </row>
    <row r="50" spans="1:6" ht="87">
      <c r="A50" s="543"/>
      <c r="B50" s="543"/>
      <c r="C50" s="543"/>
      <c r="D50" s="2" t="s">
        <v>2846</v>
      </c>
      <c r="E50" s="2" t="s">
        <v>3782</v>
      </c>
      <c r="F50" s="26" t="s">
        <v>3783</v>
      </c>
    </row>
    <row r="51" spans="1:6" ht="57.95">
      <c r="A51" s="543"/>
      <c r="B51" s="543"/>
      <c r="C51" s="543"/>
      <c r="D51" s="2" t="s">
        <v>2846</v>
      </c>
      <c r="E51" s="2" t="s">
        <v>3784</v>
      </c>
      <c r="F51" s="26" t="s">
        <v>3785</v>
      </c>
    </row>
    <row r="52" spans="1:6" ht="43.5">
      <c r="A52" s="543" t="s">
        <v>2859</v>
      </c>
      <c r="B52" s="543" t="s">
        <v>3680</v>
      </c>
      <c r="C52" s="543" t="s">
        <v>3686</v>
      </c>
      <c r="D52" s="2" t="s">
        <v>2846</v>
      </c>
      <c r="E52" s="2" t="s">
        <v>3786</v>
      </c>
      <c r="F52" s="26" t="s">
        <v>3787</v>
      </c>
    </row>
    <row r="53" spans="1:6" ht="43.5">
      <c r="A53" s="543"/>
      <c r="B53" s="543"/>
      <c r="C53" s="543"/>
      <c r="D53" s="2" t="s">
        <v>3265</v>
      </c>
      <c r="E53" s="2" t="s">
        <v>3788</v>
      </c>
      <c r="F53" s="26" t="s">
        <v>3789</v>
      </c>
    </row>
    <row r="54" spans="1:6" ht="29.1">
      <c r="A54" s="543"/>
      <c r="B54" s="543"/>
      <c r="C54" s="543"/>
      <c r="D54" s="2" t="s">
        <v>2846</v>
      </c>
      <c r="E54" s="2" t="s">
        <v>3790</v>
      </c>
      <c r="F54" s="26" t="s">
        <v>3791</v>
      </c>
    </row>
    <row r="55" spans="1:6">
      <c r="A55" s="543"/>
      <c r="B55" s="543"/>
      <c r="C55" s="543"/>
      <c r="D55" s="2" t="s">
        <v>2846</v>
      </c>
      <c r="E55" s="2" t="s">
        <v>3792</v>
      </c>
      <c r="F55" s="26" t="s">
        <v>3793</v>
      </c>
    </row>
    <row r="56" spans="1:6">
      <c r="A56" s="543"/>
      <c r="B56" s="543"/>
      <c r="C56" s="543" t="s">
        <v>2829</v>
      </c>
      <c r="D56" s="2" t="s">
        <v>2846</v>
      </c>
      <c r="E56" s="2" t="s">
        <v>3794</v>
      </c>
      <c r="F56" s="2" t="s">
        <v>3794</v>
      </c>
    </row>
    <row r="57" spans="1:6">
      <c r="A57" s="543"/>
      <c r="B57" s="543"/>
      <c r="C57" s="543"/>
      <c r="D57" s="2" t="s">
        <v>2846</v>
      </c>
      <c r="E57" s="2" t="s">
        <v>3795</v>
      </c>
      <c r="F57" s="2" t="s">
        <v>3796</v>
      </c>
    </row>
    <row r="58" spans="1:6">
      <c r="A58" s="543"/>
      <c r="B58" s="543"/>
      <c r="C58" s="543"/>
      <c r="D58" s="2" t="s">
        <v>2846</v>
      </c>
      <c r="E58" s="2" t="s">
        <v>3797</v>
      </c>
      <c r="F58" s="2" t="s">
        <v>3798</v>
      </c>
    </row>
    <row r="59" spans="1:6">
      <c r="A59" s="543"/>
      <c r="B59" s="543"/>
      <c r="C59" s="543"/>
      <c r="D59" s="2" t="s">
        <v>2846</v>
      </c>
      <c r="E59" s="2" t="s">
        <v>3799</v>
      </c>
      <c r="F59" s="2" t="s">
        <v>3800</v>
      </c>
    </row>
    <row r="60" spans="1:6" ht="29.1">
      <c r="A60" s="543" t="s">
        <v>2871</v>
      </c>
      <c r="B60" s="543" t="s">
        <v>3680</v>
      </c>
      <c r="C60" s="543" t="s">
        <v>3768</v>
      </c>
      <c r="D60" s="2" t="s">
        <v>2817</v>
      </c>
      <c r="E60" s="2" t="s">
        <v>3801</v>
      </c>
      <c r="F60" s="26" t="s">
        <v>3802</v>
      </c>
    </row>
    <row r="61" spans="1:6" ht="29.1">
      <c r="A61" s="543"/>
      <c r="B61" s="543"/>
      <c r="C61" s="543"/>
      <c r="D61" s="2" t="s">
        <v>2817</v>
      </c>
      <c r="E61" s="2" t="s">
        <v>3803</v>
      </c>
      <c r="F61" s="26" t="s">
        <v>3802</v>
      </c>
    </row>
    <row r="62" spans="1:6" ht="29.1">
      <c r="A62" s="543"/>
      <c r="B62" s="543"/>
      <c r="C62" s="543"/>
      <c r="D62" s="2" t="s">
        <v>2817</v>
      </c>
      <c r="E62" s="2" t="s">
        <v>3804</v>
      </c>
      <c r="F62" s="26" t="s">
        <v>3802</v>
      </c>
    </row>
    <row r="63" spans="1:6" ht="29.1">
      <c r="A63" s="543"/>
      <c r="B63" s="543"/>
      <c r="C63" s="543"/>
      <c r="D63" s="2" t="s">
        <v>2817</v>
      </c>
      <c r="E63" s="26" t="s">
        <v>3805</v>
      </c>
      <c r="F63" s="26" t="s">
        <v>3802</v>
      </c>
    </row>
    <row r="64" spans="1:6">
      <c r="A64" s="543"/>
      <c r="B64" s="543"/>
      <c r="C64" s="543"/>
      <c r="D64" s="2" t="s">
        <v>2817</v>
      </c>
      <c r="E64" s="26" t="s">
        <v>3806</v>
      </c>
      <c r="F64" s="2" t="s">
        <v>3807</v>
      </c>
    </row>
    <row r="65" spans="1:6" ht="29.1">
      <c r="A65" s="543"/>
      <c r="B65" s="543"/>
      <c r="C65" s="543" t="s">
        <v>3686</v>
      </c>
      <c r="D65" s="2" t="s">
        <v>2846</v>
      </c>
      <c r="E65" s="26" t="s">
        <v>3808</v>
      </c>
      <c r="F65" s="26" t="s">
        <v>3809</v>
      </c>
    </row>
    <row r="66" spans="1:6">
      <c r="A66" s="543"/>
      <c r="B66" s="543"/>
      <c r="C66" s="543"/>
      <c r="D66" s="2" t="s">
        <v>2846</v>
      </c>
      <c r="E66" s="26" t="s">
        <v>3810</v>
      </c>
      <c r="F66" s="26" t="s">
        <v>3811</v>
      </c>
    </row>
    <row r="67" spans="1:6">
      <c r="A67" s="543"/>
      <c r="B67" s="543"/>
      <c r="C67" s="2" t="s">
        <v>2835</v>
      </c>
      <c r="D67" s="2" t="s">
        <v>2846</v>
      </c>
      <c r="E67" s="2" t="s">
        <v>3812</v>
      </c>
      <c r="F67" s="2" t="s">
        <v>3813</v>
      </c>
    </row>
    <row r="68" spans="1:6">
      <c r="A68" s="543"/>
      <c r="B68" s="543"/>
      <c r="C68" s="2" t="s">
        <v>2829</v>
      </c>
      <c r="D68" s="2" t="s">
        <v>2846</v>
      </c>
      <c r="E68" s="2" t="s">
        <v>3814</v>
      </c>
      <c r="F68" s="2" t="s">
        <v>3815</v>
      </c>
    </row>
  </sheetData>
  <mergeCells count="33">
    <mergeCell ref="B28:B35"/>
    <mergeCell ref="C52:C55"/>
    <mergeCell ref="C56:C59"/>
    <mergeCell ref="B52:B59"/>
    <mergeCell ref="A52:A59"/>
    <mergeCell ref="C48:C51"/>
    <mergeCell ref="B43:B51"/>
    <mergeCell ref="A43:A51"/>
    <mergeCell ref="C14:C15"/>
    <mergeCell ref="C17:C18"/>
    <mergeCell ref="A10:A18"/>
    <mergeCell ref="B10:B18"/>
    <mergeCell ref="C3:C4"/>
    <mergeCell ref="C5:C7"/>
    <mergeCell ref="B3:B9"/>
    <mergeCell ref="A3:A9"/>
    <mergeCell ref="C10:C1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6" customFormat="1" ht="36" customHeight="1">
      <c r="A1" s="25" t="s">
        <v>2802</v>
      </c>
      <c r="B1" s="25" t="s">
        <v>2803</v>
      </c>
      <c r="C1" s="25" t="s">
        <v>2804</v>
      </c>
      <c r="D1" s="25" t="s">
        <v>2805</v>
      </c>
      <c r="E1" s="25" t="s">
        <v>2806</v>
      </c>
      <c r="F1" s="25" t="s">
        <v>2807</v>
      </c>
      <c r="G1" s="25" t="s">
        <v>2808</v>
      </c>
    </row>
    <row r="2" spans="1:7" ht="33.75" customHeight="1">
      <c r="A2" s="27" t="s">
        <v>2809</v>
      </c>
      <c r="B2" s="27" t="s">
        <v>2810</v>
      </c>
      <c r="C2" s="27" t="s">
        <v>2811</v>
      </c>
      <c r="D2" s="27" t="s">
        <v>2812</v>
      </c>
      <c r="E2" s="27" t="s">
        <v>2813</v>
      </c>
      <c r="F2" s="27" t="s">
        <v>2814</v>
      </c>
      <c r="G2" s="28"/>
    </row>
    <row r="3" spans="1:7">
      <c r="A3" s="584" t="s">
        <v>3816</v>
      </c>
      <c r="B3" s="40" t="s">
        <v>21</v>
      </c>
      <c r="C3" s="34" t="s">
        <v>3817</v>
      </c>
      <c r="D3" s="34" t="s">
        <v>2972</v>
      </c>
      <c r="E3" s="35" t="s">
        <v>3818</v>
      </c>
      <c r="F3" s="35" t="s">
        <v>3819</v>
      </c>
      <c r="G3" s="36" t="s">
        <v>3820</v>
      </c>
    </row>
    <row r="4" spans="1:7">
      <c r="A4" s="543"/>
      <c r="B4" s="40" t="s">
        <v>21</v>
      </c>
      <c r="C4" s="34" t="s">
        <v>3821</v>
      </c>
      <c r="D4" s="34" t="s">
        <v>2972</v>
      </c>
      <c r="E4" s="35" t="s">
        <v>3822</v>
      </c>
      <c r="F4" s="35" t="s">
        <v>3823</v>
      </c>
      <c r="G4" s="36" t="s">
        <v>26</v>
      </c>
    </row>
    <row r="5" spans="1:7">
      <c r="A5" s="543"/>
      <c r="B5" s="40" t="s">
        <v>21</v>
      </c>
      <c r="C5" s="34" t="s">
        <v>3824</v>
      </c>
      <c r="D5" s="34" t="s">
        <v>2972</v>
      </c>
      <c r="E5" s="35" t="s">
        <v>3825</v>
      </c>
      <c r="F5" s="35" t="s">
        <v>3823</v>
      </c>
      <c r="G5" s="36" t="s">
        <v>26</v>
      </c>
    </row>
    <row r="6" spans="1:7" ht="29.1">
      <c r="A6" s="543"/>
      <c r="B6" s="40" t="s">
        <v>21</v>
      </c>
      <c r="C6" s="34" t="s">
        <v>3826</v>
      </c>
      <c r="D6" s="34" t="s">
        <v>2972</v>
      </c>
      <c r="E6" s="35" t="s">
        <v>3827</v>
      </c>
      <c r="F6" s="35" t="s">
        <v>3828</v>
      </c>
      <c r="G6" s="36" t="s">
        <v>26</v>
      </c>
    </row>
    <row r="7" spans="1:7" ht="29.1">
      <c r="A7" s="543"/>
      <c r="B7" s="40" t="s">
        <v>21</v>
      </c>
      <c r="C7" s="34" t="s">
        <v>3829</v>
      </c>
      <c r="D7" s="34" t="s">
        <v>2972</v>
      </c>
      <c r="E7" s="35" t="s">
        <v>3830</v>
      </c>
      <c r="F7" s="35" t="s">
        <v>3831</v>
      </c>
      <c r="G7" s="36" t="s">
        <v>27</v>
      </c>
    </row>
    <row r="8" spans="1:7" ht="57.95">
      <c r="A8" s="543"/>
      <c r="B8" s="40" t="s">
        <v>21</v>
      </c>
      <c r="C8" s="34" t="s">
        <v>3832</v>
      </c>
      <c r="D8" s="34" t="s">
        <v>2824</v>
      </c>
      <c r="E8" s="35" t="s">
        <v>3833</v>
      </c>
      <c r="F8" s="35" t="s">
        <v>3834</v>
      </c>
      <c r="G8" s="36" t="s">
        <v>3835</v>
      </c>
    </row>
    <row r="9" spans="1:7" ht="29.1">
      <c r="A9" s="543"/>
      <c r="B9" s="40" t="s">
        <v>21</v>
      </c>
      <c r="C9" s="34" t="s">
        <v>3836</v>
      </c>
      <c r="D9" s="34" t="s">
        <v>3280</v>
      </c>
      <c r="E9" s="35" t="s">
        <v>3837</v>
      </c>
      <c r="F9" s="35"/>
      <c r="G9" s="36" t="s">
        <v>27</v>
      </c>
    </row>
    <row r="10" spans="1:7" ht="43.5">
      <c r="A10" s="543"/>
      <c r="B10" s="40" t="s">
        <v>21</v>
      </c>
      <c r="C10" s="34" t="s">
        <v>3838</v>
      </c>
      <c r="D10" s="34" t="s">
        <v>2824</v>
      </c>
      <c r="E10" s="35" t="s">
        <v>3839</v>
      </c>
      <c r="F10" s="35" t="s">
        <v>3840</v>
      </c>
      <c r="G10" s="36" t="s">
        <v>26</v>
      </c>
    </row>
    <row r="11" spans="1:7" ht="29.1">
      <c r="A11" s="543"/>
      <c r="B11" s="40" t="s">
        <v>21</v>
      </c>
      <c r="C11" s="34" t="s">
        <v>3841</v>
      </c>
      <c r="D11" s="34" t="s">
        <v>2824</v>
      </c>
      <c r="E11" s="35" t="s">
        <v>3842</v>
      </c>
      <c r="F11" s="35" t="s">
        <v>3843</v>
      </c>
      <c r="G11" s="36" t="s">
        <v>3844</v>
      </c>
    </row>
    <row r="12" spans="1:7" ht="29.1">
      <c r="A12" s="543"/>
      <c r="B12" s="40" t="s">
        <v>21</v>
      </c>
      <c r="C12" s="34" t="s">
        <v>3845</v>
      </c>
      <c r="D12" s="34" t="s">
        <v>2972</v>
      </c>
      <c r="E12" s="35" t="s">
        <v>3846</v>
      </c>
      <c r="F12" s="35" t="s">
        <v>3847</v>
      </c>
      <c r="G12" s="38" t="s">
        <v>3848</v>
      </c>
    </row>
    <row r="13" spans="1:7" ht="43.5">
      <c r="A13" s="543"/>
      <c r="B13" s="40" t="s">
        <v>21</v>
      </c>
      <c r="C13" s="34" t="s">
        <v>3849</v>
      </c>
      <c r="D13" s="34" t="s">
        <v>2972</v>
      </c>
      <c r="E13" s="35" t="s">
        <v>3850</v>
      </c>
      <c r="F13" s="35" t="s">
        <v>3851</v>
      </c>
      <c r="G13" s="36" t="s">
        <v>3852</v>
      </c>
    </row>
    <row r="14" spans="1:7" ht="29.1">
      <c r="A14" s="543"/>
      <c r="B14" s="40" t="s">
        <v>21</v>
      </c>
      <c r="C14" s="34" t="s">
        <v>3853</v>
      </c>
      <c r="D14" s="34" t="s">
        <v>2972</v>
      </c>
      <c r="E14" s="35" t="s">
        <v>3854</v>
      </c>
      <c r="F14" s="35" t="s">
        <v>3855</v>
      </c>
      <c r="G14" s="36"/>
    </row>
    <row r="15" spans="1:7">
      <c r="A15" s="543"/>
      <c r="B15" s="40" t="s">
        <v>21</v>
      </c>
      <c r="C15" s="34" t="s">
        <v>3856</v>
      </c>
      <c r="D15" s="34" t="s">
        <v>2972</v>
      </c>
      <c r="E15" s="35" t="s">
        <v>3857</v>
      </c>
      <c r="F15" s="35" t="s">
        <v>3858</v>
      </c>
      <c r="G15" s="36"/>
    </row>
    <row r="16" spans="1:7" ht="18.75" customHeight="1">
      <c r="A16" s="543" t="s">
        <v>3859</v>
      </c>
      <c r="B16" s="40" t="s">
        <v>21</v>
      </c>
      <c r="C16" s="34" t="s">
        <v>3860</v>
      </c>
      <c r="D16" s="34" t="s">
        <v>2824</v>
      </c>
      <c r="E16" s="35" t="s">
        <v>3861</v>
      </c>
      <c r="F16" s="35" t="s">
        <v>3862</v>
      </c>
      <c r="G16" s="36" t="s">
        <v>3863</v>
      </c>
    </row>
    <row r="17" spans="1:7" ht="26.25" customHeight="1">
      <c r="A17" s="543"/>
      <c r="B17" s="40" t="s">
        <v>21</v>
      </c>
      <c r="C17" s="34" t="s">
        <v>3864</v>
      </c>
      <c r="D17" s="34" t="s">
        <v>2824</v>
      </c>
      <c r="E17" s="35" t="s">
        <v>3865</v>
      </c>
      <c r="F17" s="35" t="s">
        <v>3866</v>
      </c>
      <c r="G17" s="36"/>
    </row>
    <row r="18" spans="1:7" ht="21.75" customHeight="1">
      <c r="A18" s="543"/>
      <c r="B18" s="40" t="s">
        <v>21</v>
      </c>
      <c r="C18" s="34" t="s">
        <v>3867</v>
      </c>
      <c r="D18" s="34" t="s">
        <v>2824</v>
      </c>
      <c r="E18" s="35" t="s">
        <v>3865</v>
      </c>
      <c r="F18" s="35" t="s">
        <v>3866</v>
      </c>
      <c r="G18" s="36"/>
    </row>
    <row r="19" spans="1:7" ht="27" customHeight="1">
      <c r="A19" s="543"/>
      <c r="B19" s="40" t="s">
        <v>21</v>
      </c>
      <c r="C19" s="34" t="s">
        <v>3868</v>
      </c>
      <c r="D19" s="34" t="s">
        <v>2824</v>
      </c>
      <c r="E19" s="35" t="s">
        <v>3865</v>
      </c>
      <c r="F19" s="35" t="s">
        <v>3866</v>
      </c>
      <c r="G19" s="36"/>
    </row>
    <row r="20" spans="1:7" ht="28.5" customHeight="1">
      <c r="A20" s="543"/>
      <c r="B20" s="40" t="s">
        <v>21</v>
      </c>
      <c r="C20" s="34" t="s">
        <v>3869</v>
      </c>
      <c r="D20" s="34" t="s">
        <v>2824</v>
      </c>
      <c r="E20" s="35" t="s">
        <v>3865</v>
      </c>
      <c r="F20" s="35" t="s">
        <v>3866</v>
      </c>
      <c r="G20" s="36"/>
    </row>
    <row r="21" spans="1:7" ht="27" customHeight="1">
      <c r="A21" s="543"/>
      <c r="B21" s="40" t="s">
        <v>21</v>
      </c>
      <c r="C21" s="34" t="s">
        <v>3870</v>
      </c>
      <c r="D21" s="34" t="s">
        <v>2824</v>
      </c>
      <c r="E21" s="35" t="s">
        <v>3871</v>
      </c>
      <c r="F21" s="35" t="s">
        <v>3872</v>
      </c>
      <c r="G21" s="36"/>
    </row>
    <row r="22" spans="1:7" ht="21.75" customHeight="1">
      <c r="A22" s="543"/>
      <c r="B22" s="40" t="s">
        <v>21</v>
      </c>
      <c r="C22" s="34" t="s">
        <v>3873</v>
      </c>
      <c r="D22" s="34" t="s">
        <v>2824</v>
      </c>
      <c r="E22" s="35" t="s">
        <v>3874</v>
      </c>
      <c r="F22" s="35" t="s">
        <v>3875</v>
      </c>
      <c r="G22" s="36" t="s">
        <v>3876</v>
      </c>
    </row>
    <row r="23" spans="1:7">
      <c r="A23" s="543"/>
      <c r="B23" s="40" t="s">
        <v>21</v>
      </c>
      <c r="C23" s="34" t="s">
        <v>3877</v>
      </c>
      <c r="D23" s="34" t="s">
        <v>2824</v>
      </c>
      <c r="E23" s="35" t="s">
        <v>3865</v>
      </c>
      <c r="F23" s="35" t="s">
        <v>3866</v>
      </c>
      <c r="G23" s="36"/>
    </row>
    <row r="24" spans="1:7">
      <c r="A24" s="543"/>
      <c r="B24" s="40" t="s">
        <v>21</v>
      </c>
      <c r="C24" s="34" t="s">
        <v>3878</v>
      </c>
      <c r="D24" s="34" t="s">
        <v>2829</v>
      </c>
      <c r="E24" s="35" t="s">
        <v>3879</v>
      </c>
      <c r="F24" s="35" t="s">
        <v>3880</v>
      </c>
      <c r="G24" s="36"/>
    </row>
    <row r="25" spans="1:7">
      <c r="A25" s="543"/>
      <c r="B25" s="40" t="s">
        <v>21</v>
      </c>
      <c r="C25" s="34" t="s">
        <v>3881</v>
      </c>
      <c r="D25" s="34" t="s">
        <v>2829</v>
      </c>
      <c r="E25" s="35" t="s">
        <v>3879</v>
      </c>
      <c r="F25" s="35" t="s">
        <v>3882</v>
      </c>
      <c r="G25" s="36"/>
    </row>
    <row r="26" spans="1:7" ht="43.5">
      <c r="A26" s="543"/>
      <c r="B26" s="40" t="s">
        <v>21</v>
      </c>
      <c r="C26" s="34" t="s">
        <v>3883</v>
      </c>
      <c r="D26" s="34" t="s">
        <v>2824</v>
      </c>
      <c r="E26" s="35" t="s">
        <v>3884</v>
      </c>
      <c r="F26" s="35" t="s">
        <v>3885</v>
      </c>
      <c r="G26" s="36"/>
    </row>
    <row r="27" spans="1:7">
      <c r="A27" s="543"/>
      <c r="B27" s="40" t="s">
        <v>21</v>
      </c>
      <c r="C27" s="34" t="s">
        <v>3886</v>
      </c>
      <c r="D27" s="34" t="s">
        <v>2824</v>
      </c>
      <c r="E27" s="35" t="s">
        <v>3887</v>
      </c>
      <c r="F27" s="35" t="s">
        <v>3888</v>
      </c>
      <c r="G27" s="36"/>
    </row>
    <row r="28" spans="1:7" ht="57.95">
      <c r="A28" s="543"/>
      <c r="B28" s="40" t="s">
        <v>21</v>
      </c>
      <c r="C28" s="34" t="s">
        <v>3832</v>
      </c>
      <c r="D28" s="34" t="s">
        <v>2829</v>
      </c>
      <c r="E28" s="35" t="s">
        <v>3889</v>
      </c>
      <c r="F28" s="35" t="s">
        <v>3890</v>
      </c>
      <c r="G28" s="38" t="s">
        <v>3891</v>
      </c>
    </row>
    <row r="29" spans="1:7">
      <c r="A29" s="543" t="s">
        <v>3892</v>
      </c>
      <c r="B29" s="40" t="s">
        <v>21</v>
      </c>
      <c r="C29" s="34" t="s">
        <v>3893</v>
      </c>
      <c r="D29" s="34" t="s">
        <v>3894</v>
      </c>
      <c r="E29" s="35" t="s">
        <v>3895</v>
      </c>
      <c r="F29" s="35" t="s">
        <v>3896</v>
      </c>
      <c r="G29" s="36"/>
    </row>
    <row r="30" spans="1:7" ht="72.599999999999994">
      <c r="A30" s="543"/>
      <c r="B30" s="40" t="s">
        <v>21</v>
      </c>
      <c r="C30" s="34" t="s">
        <v>3886</v>
      </c>
      <c r="D30" s="34" t="s">
        <v>3894</v>
      </c>
      <c r="E30" s="35" t="s">
        <v>3897</v>
      </c>
      <c r="F30" s="35" t="s">
        <v>3898</v>
      </c>
      <c r="G30" s="36" t="s">
        <v>3899</v>
      </c>
    </row>
    <row r="31" spans="1:7" ht="43.5">
      <c r="A31" s="543"/>
      <c r="B31" s="40" t="s">
        <v>21</v>
      </c>
      <c r="C31" s="34" t="s">
        <v>3883</v>
      </c>
      <c r="D31" s="34" t="s">
        <v>2829</v>
      </c>
      <c r="E31" s="35" t="s">
        <v>3900</v>
      </c>
      <c r="F31" s="35" t="s">
        <v>3901</v>
      </c>
      <c r="G31" s="36"/>
    </row>
    <row r="32" spans="1:7" ht="29.1">
      <c r="A32" s="543"/>
      <c r="B32" s="40" t="s">
        <v>21</v>
      </c>
      <c r="C32" s="34" t="s">
        <v>3860</v>
      </c>
      <c r="D32" s="34" t="s">
        <v>3902</v>
      </c>
      <c r="E32" s="35" t="s">
        <v>3903</v>
      </c>
      <c r="F32" s="35" t="s">
        <v>3904</v>
      </c>
      <c r="G32" s="36" t="s">
        <v>3905</v>
      </c>
    </row>
    <row r="33" spans="1:7">
      <c r="A33" s="543"/>
      <c r="B33" s="40" t="s">
        <v>21</v>
      </c>
      <c r="C33" s="34" t="s">
        <v>3906</v>
      </c>
      <c r="D33" s="34" t="s">
        <v>3894</v>
      </c>
      <c r="E33" s="35" t="s">
        <v>3907</v>
      </c>
      <c r="F33" s="35" t="s">
        <v>3908</v>
      </c>
      <c r="G33" s="36"/>
    </row>
    <row r="34" spans="1:7" ht="43.5">
      <c r="A34" s="543"/>
      <c r="B34" s="41" t="s">
        <v>21</v>
      </c>
      <c r="C34" s="42" t="s">
        <v>3909</v>
      </c>
      <c r="D34" s="42" t="s">
        <v>2829</v>
      </c>
      <c r="E34" s="39" t="s">
        <v>3910</v>
      </c>
      <c r="F34" s="39"/>
      <c r="G34" s="43" t="s">
        <v>3911</v>
      </c>
    </row>
    <row r="35" spans="1:7" ht="29.1">
      <c r="A35" s="543"/>
      <c r="B35" s="2" t="s">
        <v>21</v>
      </c>
      <c r="C35" s="2" t="s">
        <v>3838</v>
      </c>
      <c r="D35" s="42" t="s">
        <v>2829</v>
      </c>
      <c r="E35" s="26" t="s">
        <v>3912</v>
      </c>
      <c r="F35" s="26"/>
      <c r="G35" s="2" t="s">
        <v>3911</v>
      </c>
    </row>
    <row r="36" spans="1:7" ht="43.5">
      <c r="A36" s="543" t="s">
        <v>3913</v>
      </c>
      <c r="B36" s="2" t="s">
        <v>21</v>
      </c>
      <c r="C36" s="2" t="s">
        <v>3873</v>
      </c>
      <c r="D36" s="42" t="s">
        <v>2829</v>
      </c>
      <c r="E36" s="26" t="s">
        <v>3914</v>
      </c>
      <c r="F36" s="26" t="s">
        <v>3915</v>
      </c>
      <c r="G36" s="2" t="s">
        <v>3916</v>
      </c>
    </row>
    <row r="37" spans="1:7">
      <c r="A37" s="543"/>
      <c r="B37" s="2" t="s">
        <v>21</v>
      </c>
      <c r="C37" s="2" t="s">
        <v>3917</v>
      </c>
      <c r="D37" s="42" t="s">
        <v>2829</v>
      </c>
      <c r="E37" s="35" t="s">
        <v>3865</v>
      </c>
      <c r="F37" s="35" t="s">
        <v>3866</v>
      </c>
      <c r="G37" s="36"/>
    </row>
    <row r="38" spans="1:7" ht="72.599999999999994">
      <c r="A38" s="543"/>
      <c r="B38" s="2" t="s">
        <v>21</v>
      </c>
      <c r="C38" s="2" t="s">
        <v>3918</v>
      </c>
      <c r="D38" s="2" t="s">
        <v>2824</v>
      </c>
      <c r="E38" s="26" t="s">
        <v>3919</v>
      </c>
      <c r="F38" s="26" t="s">
        <v>3920</v>
      </c>
    </row>
    <row r="39" spans="1:7">
      <c r="A39" s="543"/>
      <c r="B39" s="2" t="s">
        <v>21</v>
      </c>
      <c r="C39" s="2" t="s">
        <v>3921</v>
      </c>
      <c r="D39" s="42" t="s">
        <v>2829</v>
      </c>
      <c r="E39" s="26" t="s">
        <v>3922</v>
      </c>
      <c r="F39" s="26"/>
    </row>
    <row r="40" spans="1:7">
      <c r="A40" s="543"/>
      <c r="B40" s="2" t="s">
        <v>21</v>
      </c>
      <c r="C40" s="2" t="s">
        <v>3923</v>
      </c>
      <c r="D40" s="42" t="s">
        <v>2829</v>
      </c>
      <c r="E40" s="35" t="s">
        <v>3865</v>
      </c>
      <c r="F40" s="35" t="s">
        <v>3866</v>
      </c>
    </row>
    <row r="41" spans="1:7">
      <c r="A41" s="543"/>
      <c r="B41" s="2" t="s">
        <v>21</v>
      </c>
      <c r="C41" s="2" t="s">
        <v>3924</v>
      </c>
      <c r="D41" s="42" t="s">
        <v>2829</v>
      </c>
      <c r="E41" s="35" t="s">
        <v>3865</v>
      </c>
      <c r="F41" s="35" t="s">
        <v>3866</v>
      </c>
    </row>
    <row r="42" spans="1:7">
      <c r="A42" s="543"/>
      <c r="B42" s="543" t="s">
        <v>21</v>
      </c>
      <c r="C42" s="2" t="s">
        <v>3925</v>
      </c>
      <c r="D42" s="42" t="s">
        <v>2829</v>
      </c>
      <c r="E42" s="35" t="s">
        <v>3865</v>
      </c>
      <c r="F42" s="35" t="s">
        <v>3866</v>
      </c>
      <c r="G42" s="583" t="s">
        <v>3926</v>
      </c>
    </row>
    <row r="43" spans="1:7">
      <c r="A43" s="543"/>
      <c r="B43" s="543"/>
      <c r="C43" s="2" t="s">
        <v>3927</v>
      </c>
      <c r="D43" s="42" t="s">
        <v>2829</v>
      </c>
      <c r="E43" s="35" t="s">
        <v>3865</v>
      </c>
      <c r="F43" s="35" t="s">
        <v>3866</v>
      </c>
      <c r="G43" s="583"/>
    </row>
    <row r="44" spans="1:7">
      <c r="A44" s="543"/>
      <c r="B44" s="543"/>
      <c r="C44" s="2" t="s">
        <v>3928</v>
      </c>
      <c r="D44" s="42" t="s">
        <v>2829</v>
      </c>
      <c r="E44" s="35" t="s">
        <v>3865</v>
      </c>
      <c r="F44" s="35" t="s">
        <v>3866</v>
      </c>
      <c r="G44" s="583"/>
    </row>
    <row r="45" spans="1:7">
      <c r="A45" s="543"/>
      <c r="B45" s="543"/>
      <c r="C45" s="2" t="s">
        <v>3929</v>
      </c>
      <c r="D45" s="42" t="s">
        <v>2829</v>
      </c>
      <c r="E45" s="35" t="s">
        <v>3865</v>
      </c>
      <c r="F45" s="35" t="s">
        <v>3866</v>
      </c>
      <c r="G45" s="583"/>
    </row>
    <row r="46" spans="1:7">
      <c r="A46" s="543"/>
      <c r="B46" s="543"/>
      <c r="C46" s="2" t="s">
        <v>3930</v>
      </c>
      <c r="D46" s="42" t="s">
        <v>2829</v>
      </c>
      <c r="E46" s="35" t="s">
        <v>3865</v>
      </c>
      <c r="F46" s="35" t="s">
        <v>3866</v>
      </c>
      <c r="G46" s="583"/>
    </row>
    <row r="47" spans="1:7">
      <c r="A47" s="543"/>
      <c r="B47" s="543"/>
      <c r="C47" s="2" t="s">
        <v>3931</v>
      </c>
      <c r="D47" s="42" t="s">
        <v>2829</v>
      </c>
      <c r="E47" s="35" t="s">
        <v>3865</v>
      </c>
      <c r="F47" s="35" t="s">
        <v>3866</v>
      </c>
      <c r="G47" s="583"/>
    </row>
    <row r="48" spans="1:7">
      <c r="A48" s="543"/>
      <c r="B48" s="543"/>
      <c r="C48" s="2" t="s">
        <v>3932</v>
      </c>
      <c r="D48" s="42" t="s">
        <v>2829</v>
      </c>
      <c r="E48" s="35" t="s">
        <v>3865</v>
      </c>
      <c r="F48" s="35" t="s">
        <v>3866</v>
      </c>
      <c r="G48" s="583"/>
    </row>
    <row r="49" spans="1:7">
      <c r="A49" s="543"/>
      <c r="B49" s="543"/>
      <c r="C49" s="2" t="s">
        <v>3933</v>
      </c>
      <c r="D49" s="42" t="s">
        <v>2829</v>
      </c>
      <c r="E49" s="35" t="s">
        <v>3865</v>
      </c>
      <c r="F49" s="35" t="s">
        <v>3866</v>
      </c>
      <c r="G49" s="583"/>
    </row>
    <row r="50" spans="1:7" ht="29.1">
      <c r="A50" s="543"/>
      <c r="B50" s="2" t="s">
        <v>21</v>
      </c>
      <c r="C50" s="2" t="s">
        <v>3893</v>
      </c>
      <c r="D50" s="2" t="s">
        <v>2829</v>
      </c>
      <c r="E50" s="26" t="s">
        <v>3934</v>
      </c>
      <c r="F50" s="26"/>
    </row>
    <row r="51" spans="1:7">
      <c r="A51" s="543"/>
      <c r="B51" s="2" t="s">
        <v>21</v>
      </c>
      <c r="C51" s="2" t="s">
        <v>3870</v>
      </c>
      <c r="D51" s="2" t="s">
        <v>2829</v>
      </c>
      <c r="E51" s="26" t="s">
        <v>3935</v>
      </c>
      <c r="F51" s="26" t="s">
        <v>3936</v>
      </c>
    </row>
    <row r="52" spans="1:7" ht="43.5">
      <c r="A52" s="543"/>
      <c r="B52" s="2" t="s">
        <v>21</v>
      </c>
      <c r="C52" s="2" t="s">
        <v>3860</v>
      </c>
      <c r="D52" s="2" t="s">
        <v>2829</v>
      </c>
      <c r="E52" s="26" t="s">
        <v>3937</v>
      </c>
      <c r="F52" s="26"/>
    </row>
    <row r="53" spans="1:7">
      <c r="A53" s="543"/>
      <c r="B53" s="2" t="s">
        <v>21</v>
      </c>
      <c r="C53" s="2" t="s">
        <v>3938</v>
      </c>
      <c r="D53" s="2" t="s">
        <v>2829</v>
      </c>
      <c r="E53" s="35" t="s">
        <v>3865</v>
      </c>
      <c r="F53" s="35" t="s">
        <v>3866</v>
      </c>
    </row>
    <row r="54" spans="1:7">
      <c r="A54" s="543"/>
      <c r="B54" s="2" t="s">
        <v>21</v>
      </c>
      <c r="C54" s="2" t="s">
        <v>3939</v>
      </c>
      <c r="D54" s="2" t="s">
        <v>2829</v>
      </c>
      <c r="E54" s="26" t="s">
        <v>3940</v>
      </c>
      <c r="F54" s="26"/>
    </row>
    <row r="55" spans="1:7">
      <c r="A55" s="580" t="s">
        <v>3941</v>
      </c>
      <c r="B55" s="2" t="s">
        <v>21</v>
      </c>
      <c r="C55" s="2" t="s">
        <v>3939</v>
      </c>
      <c r="D55" s="2" t="s">
        <v>2829</v>
      </c>
      <c r="E55" s="26" t="s">
        <v>3942</v>
      </c>
      <c r="F55" s="26" t="s">
        <v>3943</v>
      </c>
    </row>
    <row r="56" spans="1:7">
      <c r="A56" s="543"/>
      <c r="B56" s="2" t="s">
        <v>21</v>
      </c>
      <c r="C56" s="2" t="s">
        <v>3870</v>
      </c>
      <c r="D56" s="2" t="s">
        <v>2829</v>
      </c>
      <c r="E56" s="26" t="s">
        <v>3944</v>
      </c>
      <c r="F56" s="26" t="s">
        <v>3945</v>
      </c>
      <c r="G56" s="560" t="s">
        <v>3946</v>
      </c>
    </row>
    <row r="57" spans="1:7">
      <c r="A57" s="543"/>
      <c r="B57" s="2" t="s">
        <v>21</v>
      </c>
      <c r="C57" s="2" t="s">
        <v>3860</v>
      </c>
      <c r="D57" s="2" t="s">
        <v>2829</v>
      </c>
      <c r="E57" s="26" t="s">
        <v>3944</v>
      </c>
      <c r="F57" s="26" t="s">
        <v>3945</v>
      </c>
      <c r="G57" s="560"/>
    </row>
    <row r="58" spans="1:7" ht="29.1">
      <c r="A58" s="543"/>
      <c r="B58" s="2" t="s">
        <v>21</v>
      </c>
      <c r="C58" s="2" t="s">
        <v>311</v>
      </c>
      <c r="D58" s="2" t="s">
        <v>3947</v>
      </c>
      <c r="E58" s="26" t="s">
        <v>3948</v>
      </c>
      <c r="F58" s="26"/>
    </row>
    <row r="59" spans="1:7">
      <c r="A59" s="543"/>
      <c r="B59" s="2" t="s">
        <v>21</v>
      </c>
      <c r="C59" s="2" t="s">
        <v>3949</v>
      </c>
      <c r="D59" s="2" t="s">
        <v>2829</v>
      </c>
      <c r="E59" s="26" t="s">
        <v>3950</v>
      </c>
      <c r="F59" s="26"/>
    </row>
    <row r="60" spans="1:7">
      <c r="A60" s="543"/>
      <c r="B60" s="2" t="s">
        <v>21</v>
      </c>
      <c r="C60" s="2" t="s">
        <v>2610</v>
      </c>
      <c r="D60" s="2" t="s">
        <v>2829</v>
      </c>
      <c r="E60" s="26" t="s">
        <v>3951</v>
      </c>
      <c r="F60" s="26"/>
    </row>
    <row r="61" spans="1:7" ht="29.1">
      <c r="A61" s="543" t="s">
        <v>3952</v>
      </c>
      <c r="B61" s="543" t="s">
        <v>21</v>
      </c>
      <c r="C61" s="2" t="s">
        <v>311</v>
      </c>
      <c r="D61" s="2" t="s">
        <v>2829</v>
      </c>
      <c r="E61" s="26" t="s">
        <v>3953</v>
      </c>
      <c r="F61" s="26" t="s">
        <v>3954</v>
      </c>
      <c r="G61" s="26" t="s">
        <v>3955</v>
      </c>
    </row>
    <row r="62" spans="1:7">
      <c r="A62" s="543"/>
      <c r="B62" s="543"/>
      <c r="C62" s="2" t="s">
        <v>3956</v>
      </c>
      <c r="D62" s="2" t="s">
        <v>2829</v>
      </c>
      <c r="E62" s="26" t="s">
        <v>3957</v>
      </c>
      <c r="F62" s="26" t="s">
        <v>3958</v>
      </c>
      <c r="G62" s="2" t="s">
        <v>3959</v>
      </c>
    </row>
    <row r="63" spans="1:7">
      <c r="A63" s="543"/>
      <c r="B63" s="543"/>
      <c r="C63" s="2" t="s">
        <v>3960</v>
      </c>
      <c r="D63" s="2" t="s">
        <v>2829</v>
      </c>
      <c r="E63" s="26" t="s">
        <v>3961</v>
      </c>
      <c r="F63" s="26"/>
    </row>
    <row r="64" spans="1:7">
      <c r="A64" s="543"/>
      <c r="B64" s="543"/>
      <c r="C64" s="2" t="s">
        <v>3962</v>
      </c>
      <c r="D64" s="2" t="s">
        <v>2829</v>
      </c>
      <c r="E64" s="26" t="s">
        <v>3963</v>
      </c>
      <c r="F64" s="26"/>
    </row>
    <row r="65" spans="1:7">
      <c r="A65" s="543"/>
      <c r="B65" s="543"/>
      <c r="C65" s="2" t="s">
        <v>1142</v>
      </c>
      <c r="D65" s="2" t="s">
        <v>2829</v>
      </c>
      <c r="E65" s="26" t="s">
        <v>3964</v>
      </c>
      <c r="F65" s="26" t="s">
        <v>3943</v>
      </c>
    </row>
    <row r="66" spans="1:7">
      <c r="A66" s="543"/>
      <c r="B66" s="543"/>
      <c r="C66" s="2" t="s">
        <v>2610</v>
      </c>
      <c r="D66" s="2" t="s">
        <v>3894</v>
      </c>
      <c r="E66" s="26" t="s">
        <v>3965</v>
      </c>
      <c r="F66" s="26"/>
    </row>
    <row r="67" spans="1:7">
      <c r="A67" s="543"/>
      <c r="B67" s="543"/>
      <c r="C67" s="2" t="s">
        <v>2613</v>
      </c>
      <c r="D67" s="2" t="s">
        <v>3894</v>
      </c>
      <c r="E67" s="26" t="s">
        <v>3966</v>
      </c>
      <c r="F67" s="26"/>
    </row>
    <row r="68" spans="1:7">
      <c r="A68" s="543" t="s">
        <v>3967</v>
      </c>
      <c r="B68" s="560" t="s">
        <v>21</v>
      </c>
      <c r="C68" s="2" t="s">
        <v>3968</v>
      </c>
      <c r="D68" s="2" t="s">
        <v>2829</v>
      </c>
      <c r="E68" s="26" t="s">
        <v>3969</v>
      </c>
      <c r="F68" s="26" t="s">
        <v>3970</v>
      </c>
    </row>
    <row r="69" spans="1:7">
      <c r="A69" s="543"/>
      <c r="B69" s="560"/>
      <c r="C69" s="2" t="s">
        <v>3971</v>
      </c>
      <c r="D69" s="2" t="s">
        <v>2829</v>
      </c>
      <c r="E69" s="26" t="s">
        <v>3972</v>
      </c>
      <c r="F69" s="26"/>
      <c r="G69" s="582" t="s">
        <v>3973</v>
      </c>
    </row>
    <row r="70" spans="1:7">
      <c r="A70" s="543"/>
      <c r="B70" s="560"/>
      <c r="C70" s="2" t="s">
        <v>3974</v>
      </c>
      <c r="D70" s="2" t="s">
        <v>2829</v>
      </c>
      <c r="E70" s="26" t="s">
        <v>3972</v>
      </c>
      <c r="F70" s="26"/>
      <c r="G70" s="582"/>
    </row>
    <row r="71" spans="1:7">
      <c r="A71" s="543"/>
      <c r="B71" s="560"/>
      <c r="C71" s="2" t="s">
        <v>3975</v>
      </c>
      <c r="D71" s="2" t="s">
        <v>2829</v>
      </c>
      <c r="E71" s="26" t="s">
        <v>3972</v>
      </c>
      <c r="F71" s="26"/>
      <c r="G71" s="582"/>
    </row>
    <row r="72" spans="1:7">
      <c r="A72" s="543"/>
      <c r="B72" s="560"/>
      <c r="C72" s="2" t="s">
        <v>3976</v>
      </c>
      <c r="D72" s="2" t="s">
        <v>2829</v>
      </c>
      <c r="E72" s="26" t="s">
        <v>3972</v>
      </c>
      <c r="F72" s="26"/>
      <c r="G72" s="582"/>
    </row>
    <row r="73" spans="1:7">
      <c r="A73" s="543"/>
      <c r="B73" s="560"/>
      <c r="C73" s="2" t="s">
        <v>3977</v>
      </c>
      <c r="D73" s="2" t="s">
        <v>2829</v>
      </c>
      <c r="E73" s="26" t="s">
        <v>3972</v>
      </c>
      <c r="F73" s="26"/>
      <c r="G73" s="582"/>
    </row>
    <row r="74" spans="1:7">
      <c r="A74" s="543"/>
      <c r="B74" s="560"/>
      <c r="C74" s="2" t="s">
        <v>3978</v>
      </c>
      <c r="D74" s="2" t="s">
        <v>2829</v>
      </c>
      <c r="E74" s="26" t="s">
        <v>3972</v>
      </c>
      <c r="F74" s="26"/>
      <c r="G74" s="582"/>
    </row>
    <row r="75" spans="1:7">
      <c r="A75" s="543"/>
      <c r="B75" s="560"/>
      <c r="C75" s="2" t="s">
        <v>3979</v>
      </c>
      <c r="D75" s="2" t="s">
        <v>2829</v>
      </c>
      <c r="E75" s="26" t="s">
        <v>3972</v>
      </c>
      <c r="F75" s="26"/>
      <c r="G75" s="582"/>
    </row>
    <row r="76" spans="1:7">
      <c r="A76" s="543"/>
      <c r="B76" s="560"/>
      <c r="C76" s="2" t="s">
        <v>3980</v>
      </c>
      <c r="D76" s="2" t="s">
        <v>2829</v>
      </c>
      <c r="E76" s="26" t="s">
        <v>3972</v>
      </c>
      <c r="F76" s="26"/>
      <c r="G76" s="582"/>
    </row>
    <row r="77" spans="1:7">
      <c r="A77" s="543"/>
      <c r="B77" s="560"/>
      <c r="C77" s="2" t="s">
        <v>3981</v>
      </c>
      <c r="D77" s="2" t="s">
        <v>2829</v>
      </c>
      <c r="E77" s="26" t="s">
        <v>3982</v>
      </c>
      <c r="F77" s="26"/>
      <c r="G77" s="582"/>
    </row>
    <row r="78" spans="1:7">
      <c r="A78" s="543"/>
      <c r="B78" s="560"/>
      <c r="C78" s="2" t="s">
        <v>3983</v>
      </c>
      <c r="D78" s="2" t="s">
        <v>2829</v>
      </c>
      <c r="E78" s="26" t="s">
        <v>3972</v>
      </c>
      <c r="F78" s="26"/>
      <c r="G78" s="582"/>
    </row>
    <row r="79" spans="1:7">
      <c r="A79" s="543"/>
      <c r="B79" s="560"/>
      <c r="C79" s="2" t="s">
        <v>3984</v>
      </c>
      <c r="D79" s="2" t="s">
        <v>2829</v>
      </c>
      <c r="E79" s="26" t="s">
        <v>3985</v>
      </c>
      <c r="F79" s="26"/>
      <c r="G79" s="581" t="s">
        <v>3986</v>
      </c>
    </row>
    <row r="80" spans="1:7">
      <c r="A80" s="543"/>
      <c r="B80" s="560"/>
      <c r="C80" s="2" t="s">
        <v>3987</v>
      </c>
      <c r="D80" s="2" t="s">
        <v>2829</v>
      </c>
      <c r="E80" s="26" t="s">
        <v>3985</v>
      </c>
      <c r="F80" s="26"/>
      <c r="G80" s="581"/>
    </row>
    <row r="81" spans="1:7">
      <c r="A81" s="543"/>
      <c r="B81" s="560"/>
      <c r="C81" s="2" t="s">
        <v>3988</v>
      </c>
      <c r="D81" s="2" t="s">
        <v>2829</v>
      </c>
      <c r="E81" s="26" t="s">
        <v>3985</v>
      </c>
      <c r="F81" s="26"/>
      <c r="G81" s="581"/>
    </row>
    <row r="82" spans="1:7">
      <c r="A82" s="543"/>
      <c r="B82" s="560"/>
      <c r="C82" s="2" t="s">
        <v>3989</v>
      </c>
      <c r="D82" s="2" t="s">
        <v>2829</v>
      </c>
      <c r="E82" s="26" t="s">
        <v>3985</v>
      </c>
      <c r="F82" s="26"/>
      <c r="G82" s="581"/>
    </row>
    <row r="83" spans="1:7">
      <c r="A83" s="543"/>
      <c r="B83" s="560"/>
      <c r="C83" s="2" t="s">
        <v>3990</v>
      </c>
      <c r="D83" s="2" t="s">
        <v>2829</v>
      </c>
      <c r="E83" s="26" t="s">
        <v>3991</v>
      </c>
      <c r="F83" s="26"/>
      <c r="G83" s="581"/>
    </row>
    <row r="84" spans="1:7">
      <c r="A84" s="543"/>
      <c r="B84" s="560"/>
      <c r="C84" s="2" t="s">
        <v>3992</v>
      </c>
      <c r="D84" s="2" t="s">
        <v>2829</v>
      </c>
      <c r="E84" s="26" t="s">
        <v>3985</v>
      </c>
      <c r="F84" s="26"/>
      <c r="G84" s="581"/>
    </row>
    <row r="85" spans="1:7">
      <c r="A85" s="543"/>
      <c r="B85" s="560"/>
      <c r="C85" s="2" t="s">
        <v>3993</v>
      </c>
      <c r="D85" s="2" t="s">
        <v>2829</v>
      </c>
      <c r="E85" s="26" t="s">
        <v>3985</v>
      </c>
      <c r="F85" s="26"/>
      <c r="G85" s="581"/>
    </row>
    <row r="86" spans="1:7">
      <c r="A86" s="543"/>
      <c r="B86" s="560"/>
      <c r="C86" s="2" t="s">
        <v>3994</v>
      </c>
      <c r="D86" s="2" t="s">
        <v>2829</v>
      </c>
      <c r="E86" s="26" t="s">
        <v>3985</v>
      </c>
      <c r="F86" s="26"/>
      <c r="G86" s="581"/>
    </row>
    <row r="87" spans="1:7">
      <c r="A87" s="543"/>
      <c r="B87" s="560"/>
      <c r="C87" s="2" t="s">
        <v>3995</v>
      </c>
      <c r="D87" s="2" t="s">
        <v>2829</v>
      </c>
      <c r="E87" s="26" t="s">
        <v>3985</v>
      </c>
      <c r="F87" s="26"/>
      <c r="G87" s="581"/>
    </row>
    <row r="88" spans="1:7">
      <c r="A88" s="543"/>
      <c r="B88" s="560"/>
      <c r="C88" s="2" t="s">
        <v>3996</v>
      </c>
      <c r="D88" s="2" t="s">
        <v>2829</v>
      </c>
      <c r="E88" s="26" t="s">
        <v>3997</v>
      </c>
      <c r="F88" s="26"/>
      <c r="G88" s="581"/>
    </row>
    <row r="89" spans="1:7">
      <c r="A89" s="543"/>
      <c r="B89" s="560"/>
      <c r="C89" s="2" t="s">
        <v>3998</v>
      </c>
      <c r="D89" s="2" t="s">
        <v>2829</v>
      </c>
      <c r="E89" s="26" t="s">
        <v>3999</v>
      </c>
      <c r="F89" s="26"/>
    </row>
    <row r="90" spans="1:7" ht="29.1">
      <c r="A90" s="543"/>
      <c r="B90" s="560"/>
      <c r="C90" s="2" t="s">
        <v>3873</v>
      </c>
      <c r="D90" s="2" t="s">
        <v>2829</v>
      </c>
      <c r="E90" s="26" t="s">
        <v>4000</v>
      </c>
      <c r="F90" s="26" t="s">
        <v>4001</v>
      </c>
    </row>
    <row r="91" spans="1:7">
      <c r="A91" s="543"/>
      <c r="B91" s="560"/>
      <c r="C91" s="560" t="s">
        <v>467</v>
      </c>
      <c r="D91" s="2" t="s">
        <v>3894</v>
      </c>
      <c r="E91" s="26" t="s">
        <v>4002</v>
      </c>
      <c r="F91" s="26" t="s">
        <v>4003</v>
      </c>
    </row>
    <row r="92" spans="1:7" ht="43.5">
      <c r="A92" s="543"/>
      <c r="B92" s="560"/>
      <c r="C92" s="560"/>
      <c r="D92" s="2" t="s">
        <v>2824</v>
      </c>
      <c r="E92" s="26" t="s">
        <v>4004</v>
      </c>
      <c r="F92" s="26" t="s">
        <v>4005</v>
      </c>
    </row>
    <row r="93" spans="1:7" ht="43.5">
      <c r="A93" s="543"/>
      <c r="B93" s="560"/>
      <c r="C93" s="560"/>
      <c r="D93" s="2" t="s">
        <v>3947</v>
      </c>
      <c r="E93" s="26" t="s">
        <v>4006</v>
      </c>
      <c r="F93" s="26" t="s">
        <v>4007</v>
      </c>
    </row>
    <row r="94" spans="1:7" ht="29.1">
      <c r="A94" s="543"/>
      <c r="B94" s="560"/>
      <c r="C94" s="2" t="s">
        <v>3962</v>
      </c>
      <c r="D94" s="2" t="s">
        <v>3947</v>
      </c>
      <c r="E94" s="26" t="s">
        <v>4008</v>
      </c>
      <c r="F94" s="26" t="s">
        <v>4009</v>
      </c>
    </row>
    <row r="95" spans="1:7" ht="43.5">
      <c r="A95" s="543"/>
      <c r="B95" s="560"/>
      <c r="C95" s="2" t="s">
        <v>3860</v>
      </c>
      <c r="D95" s="2" t="s">
        <v>2829</v>
      </c>
      <c r="E95" s="2" t="s">
        <v>4010</v>
      </c>
      <c r="F95" s="26" t="s">
        <v>4011</v>
      </c>
    </row>
    <row r="96" spans="1:7">
      <c r="A96" s="543"/>
      <c r="B96" s="560"/>
      <c r="C96" s="2" t="s">
        <v>708</v>
      </c>
      <c r="D96" s="2" t="s">
        <v>2829</v>
      </c>
      <c r="E96" s="26" t="s">
        <v>4012</v>
      </c>
      <c r="F96" s="26"/>
    </row>
    <row r="97" spans="1:6" ht="29.1">
      <c r="A97" s="543" t="s">
        <v>4013</v>
      </c>
      <c r="B97" s="543" t="s">
        <v>21</v>
      </c>
      <c r="C97" s="543" t="s">
        <v>362</v>
      </c>
      <c r="D97" s="543" t="s">
        <v>2829</v>
      </c>
      <c r="E97" s="26" t="s">
        <v>4014</v>
      </c>
      <c r="F97" s="26" t="s">
        <v>4015</v>
      </c>
    </row>
    <row r="98" spans="1:6" ht="29.1">
      <c r="A98" s="543"/>
      <c r="B98" s="543"/>
      <c r="C98" s="543"/>
      <c r="D98" s="543"/>
      <c r="E98" s="26" t="s">
        <v>3515</v>
      </c>
      <c r="F98" s="26" t="s">
        <v>4016</v>
      </c>
    </row>
    <row r="99" spans="1:6">
      <c r="A99" s="543"/>
      <c r="B99" s="543"/>
      <c r="C99" s="543"/>
      <c r="D99" s="2" t="s">
        <v>3947</v>
      </c>
      <c r="E99" s="26" t="s">
        <v>4017</v>
      </c>
      <c r="F99" s="26" t="s">
        <v>4018</v>
      </c>
    </row>
    <row r="100" spans="1:6">
      <c r="A100" s="543"/>
      <c r="B100" s="543"/>
      <c r="C100" s="2" t="s">
        <v>467</v>
      </c>
      <c r="D100" s="2" t="s">
        <v>2829</v>
      </c>
      <c r="E100" s="26" t="s">
        <v>4019</v>
      </c>
      <c r="F100" s="26" t="s">
        <v>4020</v>
      </c>
    </row>
    <row r="101" spans="1:6">
      <c r="A101" s="543"/>
      <c r="B101" s="543"/>
      <c r="C101" s="2" t="s">
        <v>1782</v>
      </c>
      <c r="D101" s="2" t="s">
        <v>2829</v>
      </c>
      <c r="E101" s="26" t="s">
        <v>4021</v>
      </c>
      <c r="F101" s="26"/>
    </row>
    <row r="102" spans="1:6">
      <c r="A102" s="543"/>
      <c r="B102" s="543"/>
      <c r="C102" s="2" t="s">
        <v>4022</v>
      </c>
      <c r="D102" s="2" t="s">
        <v>2829</v>
      </c>
      <c r="E102" s="26" t="s">
        <v>4023</v>
      </c>
      <c r="F102" s="26"/>
    </row>
    <row r="103" spans="1:6">
      <c r="A103" s="543"/>
      <c r="B103" s="543"/>
      <c r="C103" s="2" t="s">
        <v>1790</v>
      </c>
      <c r="D103" s="2" t="s">
        <v>2829</v>
      </c>
      <c r="E103" s="26" t="s">
        <v>4024</v>
      </c>
      <c r="F103" s="26" t="s">
        <v>4025</v>
      </c>
    </row>
    <row r="104" spans="1:6">
      <c r="A104" s="543" t="s">
        <v>4026</v>
      </c>
      <c r="B104" s="543" t="s">
        <v>21</v>
      </c>
      <c r="C104" s="2" t="s">
        <v>467</v>
      </c>
      <c r="D104" s="2" t="s">
        <v>3894</v>
      </c>
      <c r="E104" s="26" t="s">
        <v>4027</v>
      </c>
      <c r="F104" s="26" t="s">
        <v>4028</v>
      </c>
    </row>
    <row r="105" spans="1:6">
      <c r="A105" s="543"/>
      <c r="B105" s="543"/>
      <c r="C105" s="2" t="s">
        <v>1023</v>
      </c>
      <c r="D105" s="2" t="s">
        <v>2829</v>
      </c>
      <c r="E105" s="26" t="s">
        <v>4029</v>
      </c>
      <c r="F105" s="26"/>
    </row>
    <row r="106" spans="1:6">
      <c r="A106" s="543"/>
      <c r="B106" s="543"/>
      <c r="C106" s="2" t="s">
        <v>1762</v>
      </c>
      <c r="D106" s="2" t="s">
        <v>2829</v>
      </c>
      <c r="E106" s="26" t="s">
        <v>4029</v>
      </c>
      <c r="F106" s="26"/>
    </row>
    <row r="107" spans="1:6">
      <c r="A107" s="543"/>
      <c r="B107" s="543"/>
      <c r="C107" s="2" t="s">
        <v>3962</v>
      </c>
      <c r="D107" s="2" t="s">
        <v>3894</v>
      </c>
      <c r="E107" s="26" t="s">
        <v>4030</v>
      </c>
      <c r="F107" s="26" t="s">
        <v>4031</v>
      </c>
    </row>
    <row r="108" spans="1:6">
      <c r="A108" s="543"/>
      <c r="B108" s="543"/>
      <c r="C108" s="2" t="s">
        <v>1790</v>
      </c>
      <c r="E108" s="26" t="s">
        <v>4032</v>
      </c>
      <c r="F108" s="26"/>
    </row>
    <row r="109" spans="1:6">
      <c r="A109" s="560" t="s">
        <v>4033</v>
      </c>
      <c r="B109" s="543" t="s">
        <v>21</v>
      </c>
      <c r="C109" s="2" t="s">
        <v>1762</v>
      </c>
      <c r="D109" s="2" t="s">
        <v>2829</v>
      </c>
      <c r="E109" s="26" t="s">
        <v>4034</v>
      </c>
      <c r="F109" s="26"/>
    </row>
    <row r="110" spans="1:6">
      <c r="A110" s="560"/>
      <c r="B110" s="543"/>
      <c r="C110" s="2" t="s">
        <v>4035</v>
      </c>
      <c r="D110" s="2" t="s">
        <v>2829</v>
      </c>
      <c r="E110" s="26" t="s">
        <v>3964</v>
      </c>
      <c r="F110" s="26" t="s">
        <v>4036</v>
      </c>
    </row>
    <row r="111" spans="1:6" ht="29.1">
      <c r="A111" s="560"/>
      <c r="B111" s="543"/>
      <c r="C111" s="2" t="s">
        <v>4037</v>
      </c>
      <c r="D111" s="2" t="s">
        <v>2829</v>
      </c>
      <c r="E111" s="26" t="s">
        <v>4038</v>
      </c>
      <c r="F111" s="26"/>
    </row>
    <row r="112" spans="1:6">
      <c r="A112" s="560"/>
      <c r="B112" s="543"/>
      <c r="C112" s="2" t="s">
        <v>4039</v>
      </c>
      <c r="D112" s="2" t="s">
        <v>2829</v>
      </c>
      <c r="E112" s="26" t="s">
        <v>4040</v>
      </c>
      <c r="F112" s="26" t="s">
        <v>4041</v>
      </c>
    </row>
    <row r="113" spans="1:7">
      <c r="A113" s="560"/>
      <c r="B113" s="543"/>
      <c r="C113" s="2" t="s">
        <v>4042</v>
      </c>
      <c r="D113" s="2" t="s">
        <v>2829</v>
      </c>
      <c r="E113" s="26" t="s">
        <v>4043</v>
      </c>
      <c r="F113" s="26" t="s">
        <v>4044</v>
      </c>
    </row>
    <row r="114" spans="1:7">
      <c r="A114" s="560"/>
      <c r="B114" s="543"/>
      <c r="C114" s="2" t="s">
        <v>1790</v>
      </c>
      <c r="D114" s="2" t="s">
        <v>2829</v>
      </c>
      <c r="E114" s="26" t="s">
        <v>4043</v>
      </c>
      <c r="F114" s="26" t="s">
        <v>4045</v>
      </c>
    </row>
    <row r="115" spans="1:7">
      <c r="A115" s="560"/>
      <c r="B115" s="543"/>
      <c r="C115" s="2" t="s">
        <v>895</v>
      </c>
      <c r="D115" s="2" t="s">
        <v>2829</v>
      </c>
      <c r="E115" s="26" t="s">
        <v>4046</v>
      </c>
      <c r="F115" s="26"/>
    </row>
    <row r="116" spans="1:7">
      <c r="A116" s="560"/>
      <c r="B116" s="543"/>
      <c r="C116" s="2" t="s">
        <v>876</v>
      </c>
      <c r="D116" s="2" t="s">
        <v>2829</v>
      </c>
      <c r="E116" s="26" t="s">
        <v>4047</v>
      </c>
      <c r="F116" s="26"/>
    </row>
    <row r="117" spans="1:7">
      <c r="A117" s="560"/>
      <c r="B117" s="543"/>
      <c r="C117" s="2" t="s">
        <v>4048</v>
      </c>
      <c r="D117" s="2" t="s">
        <v>2829</v>
      </c>
      <c r="E117" s="26" t="s">
        <v>4049</v>
      </c>
      <c r="F117" s="26"/>
    </row>
    <row r="118" spans="1:7">
      <c r="A118" s="543" t="s">
        <v>4050</v>
      </c>
      <c r="B118" s="543" t="s">
        <v>21</v>
      </c>
      <c r="C118" s="2" t="s">
        <v>311</v>
      </c>
      <c r="D118" s="2" t="s">
        <v>2829</v>
      </c>
      <c r="E118" s="26" t="s">
        <v>4051</v>
      </c>
      <c r="F118" s="26" t="s">
        <v>4052</v>
      </c>
    </row>
    <row r="119" spans="1:7">
      <c r="A119" s="543"/>
      <c r="B119" s="543"/>
      <c r="C119" s="2" t="s">
        <v>3962</v>
      </c>
      <c r="D119" s="2" t="s">
        <v>3947</v>
      </c>
      <c r="E119" s="26" t="s">
        <v>4053</v>
      </c>
      <c r="F119" s="26" t="s">
        <v>4054</v>
      </c>
      <c r="G119" s="2" t="s">
        <v>4055</v>
      </c>
    </row>
    <row r="120" spans="1:7">
      <c r="A120" s="543"/>
      <c r="B120" s="543"/>
      <c r="C120" s="2" t="s">
        <v>4056</v>
      </c>
      <c r="D120" s="2" t="s">
        <v>2829</v>
      </c>
      <c r="E120" s="26" t="s">
        <v>4057</v>
      </c>
      <c r="F120" s="26"/>
    </row>
    <row r="121" spans="1:7">
      <c r="A121" s="543"/>
      <c r="B121" s="543"/>
      <c r="C121" s="2" t="s">
        <v>4058</v>
      </c>
      <c r="D121" s="2" t="s">
        <v>2829</v>
      </c>
      <c r="E121" s="26" t="s">
        <v>4057</v>
      </c>
      <c r="F121" s="26"/>
    </row>
    <row r="122" spans="1:7">
      <c r="A122" s="543"/>
      <c r="B122" s="543"/>
      <c r="C122" s="2" t="s">
        <v>4059</v>
      </c>
      <c r="D122" s="2" t="s">
        <v>2829</v>
      </c>
      <c r="E122" s="26" t="s">
        <v>4057</v>
      </c>
      <c r="F122" s="26"/>
    </row>
    <row r="123" spans="1:7">
      <c r="A123" s="543"/>
      <c r="B123" s="543"/>
      <c r="C123" s="2" t="s">
        <v>4060</v>
      </c>
      <c r="D123" s="2" t="s">
        <v>2829</v>
      </c>
      <c r="E123" s="26" t="s">
        <v>4057</v>
      </c>
      <c r="F123" s="26"/>
    </row>
    <row r="124" spans="1:7">
      <c r="A124" s="543"/>
      <c r="B124" s="543"/>
      <c r="C124" s="2" t="s">
        <v>4061</v>
      </c>
      <c r="D124" s="2" t="s">
        <v>2829</v>
      </c>
      <c r="E124" s="26" t="s">
        <v>4057</v>
      </c>
      <c r="F124" s="26"/>
    </row>
    <row r="125" spans="1:7">
      <c r="A125" s="543"/>
      <c r="B125" s="543"/>
      <c r="C125" s="2" t="s">
        <v>4062</v>
      </c>
      <c r="D125" s="2" t="s">
        <v>2829</v>
      </c>
      <c r="E125" s="26" t="s">
        <v>4057</v>
      </c>
      <c r="F125" s="26"/>
    </row>
    <row r="126" spans="1:7">
      <c r="A126" s="543"/>
      <c r="B126" s="543"/>
      <c r="C126" s="2" t="s">
        <v>4063</v>
      </c>
      <c r="D126" s="2" t="s">
        <v>2829</v>
      </c>
      <c r="E126" s="26" t="s">
        <v>4064</v>
      </c>
      <c r="F126" s="26"/>
    </row>
    <row r="127" spans="1:7">
      <c r="A127" s="543"/>
      <c r="B127" s="543"/>
      <c r="C127" s="2" t="s">
        <v>4065</v>
      </c>
      <c r="D127" s="2" t="s">
        <v>2829</v>
      </c>
      <c r="E127" s="26" t="s">
        <v>4066</v>
      </c>
      <c r="F127" s="26"/>
    </row>
    <row r="128" spans="1:7">
      <c r="A128" s="543" t="s">
        <v>4067</v>
      </c>
      <c r="B128" s="543" t="s">
        <v>21</v>
      </c>
      <c r="C128" s="2" t="s">
        <v>4068</v>
      </c>
      <c r="D128" s="2" t="s">
        <v>3894</v>
      </c>
      <c r="E128" s="26" t="s">
        <v>4069</v>
      </c>
      <c r="F128" s="26"/>
    </row>
    <row r="129" spans="1:6">
      <c r="A129" s="543"/>
      <c r="B129" s="543"/>
      <c r="C129" s="2" t="s">
        <v>1572</v>
      </c>
      <c r="D129" s="2" t="s">
        <v>3894</v>
      </c>
      <c r="E129" s="26" t="s">
        <v>4069</v>
      </c>
      <c r="F129" s="26"/>
    </row>
    <row r="130" spans="1:6">
      <c r="A130" s="543"/>
      <c r="B130" s="543"/>
      <c r="C130" s="2" t="s">
        <v>4070</v>
      </c>
      <c r="D130" s="2" t="s">
        <v>3894</v>
      </c>
      <c r="E130" s="26" t="s">
        <v>4069</v>
      </c>
      <c r="F130" s="26"/>
    </row>
    <row r="131" spans="1:6">
      <c r="A131" s="543"/>
      <c r="B131" s="543"/>
      <c r="C131" s="2" t="s">
        <v>4061</v>
      </c>
      <c r="D131" s="2" t="s">
        <v>3894</v>
      </c>
      <c r="E131" s="26" t="s">
        <v>4069</v>
      </c>
      <c r="F131" s="26"/>
    </row>
    <row r="132" spans="1:6">
      <c r="A132" s="543"/>
      <c r="B132" s="543"/>
      <c r="C132" s="2" t="s">
        <v>4071</v>
      </c>
      <c r="D132" s="2" t="s">
        <v>3894</v>
      </c>
      <c r="E132" s="26" t="s">
        <v>4069</v>
      </c>
      <c r="F132" s="26"/>
    </row>
    <row r="133" spans="1:6">
      <c r="A133" s="543"/>
      <c r="B133" s="543"/>
      <c r="C133" s="2" t="s">
        <v>4072</v>
      </c>
      <c r="D133" s="2" t="s">
        <v>3894</v>
      </c>
      <c r="E133" s="26" t="s">
        <v>4069</v>
      </c>
      <c r="F133" s="26"/>
    </row>
    <row r="134" spans="1:6">
      <c r="A134" s="543"/>
      <c r="B134" s="543"/>
      <c r="C134" s="2" t="s">
        <v>4073</v>
      </c>
      <c r="D134" s="2" t="s">
        <v>3894</v>
      </c>
      <c r="E134" s="26" t="s">
        <v>4069</v>
      </c>
      <c r="F134" s="26"/>
    </row>
    <row r="135" spans="1:6">
      <c r="A135" s="543"/>
      <c r="B135" s="543"/>
      <c r="C135" s="2" t="s">
        <v>1790</v>
      </c>
      <c r="D135" s="2" t="s">
        <v>2829</v>
      </c>
      <c r="E135" s="26" t="s">
        <v>4074</v>
      </c>
      <c r="F135" s="26" t="s">
        <v>4075</v>
      </c>
    </row>
    <row r="136" spans="1:6">
      <c r="A136" s="543"/>
      <c r="B136" s="543"/>
      <c r="C136" s="2" t="s">
        <v>879</v>
      </c>
      <c r="D136" s="2" t="s">
        <v>2829</v>
      </c>
      <c r="E136" s="26" t="s">
        <v>4074</v>
      </c>
      <c r="F136" s="26" t="s">
        <v>4076</v>
      </c>
    </row>
    <row r="137" spans="1:6">
      <c r="A137" s="543"/>
      <c r="B137" s="543"/>
      <c r="C137" s="2" t="s">
        <v>1762</v>
      </c>
      <c r="D137" s="2" t="s">
        <v>2829</v>
      </c>
      <c r="E137" s="26" t="s">
        <v>4077</v>
      </c>
      <c r="F137" s="26"/>
    </row>
    <row r="138" spans="1:6">
      <c r="A138" s="2" t="s">
        <v>4078</v>
      </c>
      <c r="C138" s="2" t="s">
        <v>1762</v>
      </c>
      <c r="D138" s="2" t="s">
        <v>2829</v>
      </c>
      <c r="E138" s="26" t="s">
        <v>4079</v>
      </c>
      <c r="F138" s="26" t="s">
        <v>4080</v>
      </c>
    </row>
    <row r="139" spans="1:6">
      <c r="E139" s="26"/>
      <c r="F139" s="26"/>
    </row>
    <row r="140" spans="1:6">
      <c r="E140" s="26"/>
      <c r="F140" s="26"/>
    </row>
    <row r="141" spans="1:6">
      <c r="E141" s="26"/>
      <c r="F141" s="26"/>
    </row>
    <row r="142" spans="1:6">
      <c r="E142" s="26"/>
      <c r="F142" s="26"/>
    </row>
    <row r="143" spans="1:6">
      <c r="E143" s="26"/>
      <c r="F143" s="26"/>
    </row>
    <row r="144" spans="1:6">
      <c r="E144" s="26"/>
      <c r="F144" s="26"/>
    </row>
    <row r="145" spans="5:6">
      <c r="E145" s="26"/>
      <c r="F145" s="26"/>
    </row>
    <row r="146" spans="5:6">
      <c r="E146" s="26"/>
      <c r="F146" s="26"/>
    </row>
    <row r="147" spans="5:6">
      <c r="E147" s="26"/>
      <c r="F147" s="26"/>
    </row>
    <row r="148" spans="5:6">
      <c r="E148" s="26"/>
      <c r="F148" s="26"/>
    </row>
    <row r="149" spans="5:6">
      <c r="E149" s="26"/>
      <c r="F149" s="26"/>
    </row>
    <row r="150" spans="5:6">
      <c r="E150" s="26"/>
      <c r="F150" s="26"/>
    </row>
    <row r="151" spans="5:6">
      <c r="E151" s="26"/>
      <c r="F151" s="26"/>
    </row>
    <row r="152" spans="5:6">
      <c r="E152" s="26"/>
      <c r="F152" s="26"/>
    </row>
    <row r="153" spans="5:6">
      <c r="E153" s="26"/>
      <c r="F153" s="26"/>
    </row>
    <row r="154" spans="5:6">
      <c r="E154" s="26"/>
      <c r="F154" s="26"/>
    </row>
    <row r="155" spans="5:6">
      <c r="E155" s="26"/>
      <c r="F155" s="26"/>
    </row>
    <row r="156" spans="5:6">
      <c r="E156" s="26"/>
      <c r="F156" s="26"/>
    </row>
    <row r="157" spans="5:6">
      <c r="E157" s="26"/>
      <c r="F157" s="26"/>
    </row>
    <row r="158" spans="5:6">
      <c r="E158" s="26"/>
      <c r="F158" s="26"/>
    </row>
    <row r="159" spans="5:6">
      <c r="E159" s="26"/>
      <c r="F159" s="26"/>
    </row>
    <row r="160" spans="5:6">
      <c r="E160" s="26"/>
      <c r="F160" s="26"/>
    </row>
    <row r="161" spans="5:6">
      <c r="E161" s="26"/>
      <c r="F161" s="26"/>
    </row>
    <row r="162" spans="5:6">
      <c r="E162" s="26"/>
      <c r="F162" s="26"/>
    </row>
    <row r="163" spans="5:6">
      <c r="E163" s="26"/>
      <c r="F163" s="26"/>
    </row>
    <row r="164" spans="5:6">
      <c r="E164" s="26"/>
      <c r="F164" s="26"/>
    </row>
    <row r="165" spans="5:6">
      <c r="E165" s="26"/>
      <c r="F165" s="26"/>
    </row>
    <row r="166" spans="5:6">
      <c r="E166" s="26"/>
      <c r="F166" s="26"/>
    </row>
    <row r="167" spans="5:6">
      <c r="E167" s="26"/>
      <c r="F167" s="26"/>
    </row>
    <row r="168" spans="5:6">
      <c r="E168" s="26"/>
      <c r="F168" s="26"/>
    </row>
    <row r="169" spans="5:6">
      <c r="E169" s="26"/>
      <c r="F169" s="26"/>
    </row>
    <row r="170" spans="5:6">
      <c r="E170" s="26"/>
      <c r="F170" s="26"/>
    </row>
    <row r="171" spans="5:6">
      <c r="E171" s="26"/>
      <c r="F171" s="26"/>
    </row>
    <row r="172" spans="5:6">
      <c r="E172" s="26"/>
      <c r="F172" s="26"/>
    </row>
    <row r="173" spans="5:6">
      <c r="E173" s="26"/>
      <c r="F173" s="26"/>
    </row>
    <row r="174" spans="5:6">
      <c r="E174" s="26"/>
      <c r="F174" s="26"/>
    </row>
    <row r="175" spans="5:6">
      <c r="E175" s="26"/>
      <c r="F175" s="26"/>
    </row>
    <row r="176" spans="5:6">
      <c r="E176" s="26"/>
      <c r="F176" s="26"/>
    </row>
    <row r="177" spans="5:6">
      <c r="E177" s="26"/>
      <c r="F177" s="26"/>
    </row>
    <row r="178" spans="5:6">
      <c r="E178" s="26"/>
      <c r="F178" s="26"/>
    </row>
    <row r="179" spans="5:6">
      <c r="E179" s="26"/>
      <c r="F179" s="26"/>
    </row>
    <row r="180" spans="5:6">
      <c r="E180" s="26"/>
      <c r="F180" s="26"/>
    </row>
    <row r="181" spans="5:6">
      <c r="E181" s="26"/>
      <c r="F181" s="26"/>
    </row>
    <row r="182" spans="5:6">
      <c r="E182" s="26"/>
      <c r="F182" s="26"/>
    </row>
    <row r="183" spans="5:6">
      <c r="E183" s="26"/>
      <c r="F183" s="26"/>
    </row>
    <row r="184" spans="5:6">
      <c r="E184" s="26"/>
      <c r="F184" s="26"/>
    </row>
  </sheetData>
  <mergeCells count="27">
    <mergeCell ref="G42:G49"/>
    <mergeCell ref="A3:A15"/>
    <mergeCell ref="A16:A28"/>
    <mergeCell ref="A29:A35"/>
    <mergeCell ref="B42:B49"/>
    <mergeCell ref="A36:A54"/>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B128:B137"/>
    <mergeCell ref="A128:A137"/>
    <mergeCell ref="B118:B127"/>
    <mergeCell ref="A118:A127"/>
    <mergeCell ref="B61:B67"/>
    <mergeCell ref="A61:A67"/>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Park Changbae (Aiden)</cp:lastModifiedBy>
  <cp:revision/>
  <dcterms:created xsi:type="dcterms:W3CDTF">2025-11-13T03:28:02Z</dcterms:created>
  <dcterms:modified xsi:type="dcterms:W3CDTF">2026-08-15T09:30:29Z</dcterms:modified>
  <cp:category/>
  <cp:contentStatus/>
</cp:coreProperties>
</file>